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queryTables/queryTable15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16.xml" ContentType="application/vnd.openxmlformats-officedocument.spreadsheetml.queryTable+xml"/>
  <Override PartName="/xl/tables/table63.xml" ContentType="application/vnd.openxmlformats-officedocument.spreadsheetml.table+xml"/>
  <Override PartName="/xl/queryTables/queryTable17.xml" ContentType="application/vnd.openxmlformats-officedocument.spreadsheetml.queryTable+xml"/>
  <Override PartName="/xl/tables/table64.xml" ContentType="application/vnd.openxmlformats-officedocument.spreadsheetml.table+xml"/>
  <Override PartName="/xl/queryTables/queryTable18.xml" ContentType="application/vnd.openxmlformats-officedocument.spreadsheetml.queryTable+xml"/>
  <Override PartName="/xl/tables/table65.xml" ContentType="application/vnd.openxmlformats-officedocument.spreadsheetml.table+xml"/>
  <Override PartName="/xl/queryTables/queryTable19.xml" ContentType="application/vnd.openxmlformats-officedocument.spreadsheetml.queryTable+xml"/>
  <Override PartName="/xl/tables/table66.xml" ContentType="application/vnd.openxmlformats-officedocument.spreadsheetml.table+xml"/>
  <Override PartName="/xl/queryTables/queryTable20.xml" ContentType="application/vnd.openxmlformats-officedocument.spreadsheetml.query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Project\UDU-Andri Iskandar\"/>
    </mc:Choice>
  </mc:AlternateContent>
  <xr:revisionPtr revIDLastSave="0" documentId="13_ncr:1_{F6574D03-8F1D-46AC-B42C-1FB92ED3ECB9}" xr6:coauthVersionLast="47" xr6:coauthVersionMax="47" xr10:uidLastSave="{00000000-0000-0000-0000-000000000000}"/>
  <workbookProtection workbookAlgorithmName="SHA-512" workbookHashValue="/wfehSGI3FXIadx+YQF6O1V6qReHVRoY4kusfqGxqVT5BzpchGEZ+yyaDa2Jjk1cJ21k5Y02ukOEjqhjA/u90Q==" workbookSaltValue="9ZrhfRnCpFzkW23rIbmOiA==" workbookSpinCount="100000" lockStructure="1"/>
  <bookViews>
    <workbookView xWindow="-108" yWindow="-108" windowWidth="23256" windowHeight="12720" firstSheet="3" activeTab="4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dbAPI!$J$10:$Q$12</definedName>
    <definedName name="ExternalData_1" localSheetId="8" hidden="1">PlanProductivity!$A$1:$I$9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dbAPI!$CK$10:$CL$18</definedName>
    <definedName name="ExternalData_11" localSheetId="1" hidden="1">dbAPI!$CT$10:$DC$19</definedName>
    <definedName name="ExternalData_12" localSheetId="1" hidden="1">dbAPI!$DF$10:$DK$81</definedName>
    <definedName name="ExternalData_12" localSheetId="7" hidden="1">InputData2Web!$A$1:$Z$21</definedName>
    <definedName name="ExternalData_13" localSheetId="1" hidden="1">dbAPI!$DO$10:$DU$19</definedName>
    <definedName name="ExternalData_14" localSheetId="1" hidden="1">dbAPI!$DY$10:$EE$81</definedName>
    <definedName name="ExternalData_15" localSheetId="1" hidden="1">dbAPI!$T$10:$W$76</definedName>
    <definedName name="ExternalData_16" localSheetId="1" hidden="1">dbAPI!$EH$10:$EJ$12</definedName>
    <definedName name="ExternalData_16" localSheetId="6" hidden="1">ValidationActualProgress!$A$1:$D$2</definedName>
    <definedName name="ExternalData_17" localSheetId="6" hidden="1">ValidationActualProgress!$G$1:$J$2</definedName>
    <definedName name="ExternalData_17" localSheetId="5" hidden="1">ValidationPlan!$A$1:$D$2</definedName>
    <definedName name="ExternalData_3" localSheetId="1" hidden="1">dbAPI!$AA$10:$AC$11</definedName>
    <definedName name="ExternalData_4" localSheetId="1" hidden="1">dbAPI!$AF$10:$AM$16</definedName>
    <definedName name="ExternalData_5" localSheetId="1" hidden="1">dbAPI!$AQ$10:$AX$11</definedName>
    <definedName name="ExternalData_6" localSheetId="1" hidden="1">dbAPI!$BA$10:$BJ$34</definedName>
    <definedName name="ExternalData_7" localSheetId="1" hidden="1">dbAPI!$BM$10:$BW$39</definedName>
    <definedName name="ExternalData_8" localSheetId="1" hidden="1">dbAPI!$BZ$10:$CD$26</definedName>
    <definedName name="ExternalData_9" localSheetId="1" hidden="1">dbAPI!$CG$10:$CH$19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4" i="2" l="1"/>
  <c r="C33" i="2" l="1"/>
  <c r="D33" i="2"/>
  <c r="G33" i="2"/>
  <c r="J33" i="2"/>
  <c r="K33" i="2"/>
  <c r="L33" i="2"/>
  <c r="M33" i="2"/>
  <c r="N33" i="2"/>
  <c r="O33" i="2"/>
  <c r="P33" i="2"/>
  <c r="T33" i="2"/>
  <c r="W33" i="2"/>
  <c r="Y33" i="2"/>
  <c r="Z33" i="2"/>
  <c r="AA33" i="2"/>
  <c r="AD33" i="2"/>
  <c r="AG33" i="2"/>
  <c r="AH33" i="2" s="1"/>
  <c r="AJ33" i="2"/>
  <c r="CO33" i="2"/>
  <c r="CP33" i="2"/>
  <c r="DA33" i="2"/>
  <c r="DC33" i="2" s="1"/>
  <c r="C32" i="2"/>
  <c r="D32" i="2"/>
  <c r="G32" i="2"/>
  <c r="J32" i="2"/>
  <c r="K32" i="2"/>
  <c r="L32" i="2"/>
  <c r="M32" i="2"/>
  <c r="N32" i="2"/>
  <c r="O32" i="2"/>
  <c r="P32" i="2"/>
  <c r="T32" i="2"/>
  <c r="W32" i="2"/>
  <c r="Y32" i="2"/>
  <c r="Z32" i="2"/>
  <c r="AA32" i="2"/>
  <c r="AD32" i="2"/>
  <c r="AG32" i="2"/>
  <c r="AH32" i="2" s="1"/>
  <c r="AJ32" i="2"/>
  <c r="CO32" i="2"/>
  <c r="S32" i="2" s="1"/>
  <c r="CP32" i="2"/>
  <c r="DA32" i="2"/>
  <c r="DC32" i="2" s="1"/>
  <c r="C31" i="2"/>
  <c r="D31" i="2"/>
  <c r="G31" i="2"/>
  <c r="J31" i="2"/>
  <c r="K31" i="2"/>
  <c r="L31" i="2"/>
  <c r="M31" i="2"/>
  <c r="N31" i="2"/>
  <c r="O31" i="2"/>
  <c r="P31" i="2"/>
  <c r="T31" i="2"/>
  <c r="W31" i="2"/>
  <c r="Y31" i="2"/>
  <c r="Z31" i="2"/>
  <c r="AA31" i="2"/>
  <c r="AD31" i="2"/>
  <c r="AG31" i="2"/>
  <c r="AH31" i="2" s="1"/>
  <c r="AJ31" i="2"/>
  <c r="CO31" i="2"/>
  <c r="CP31" i="2"/>
  <c r="DA31" i="2"/>
  <c r="DD31" i="2" s="1"/>
  <c r="C30" i="2"/>
  <c r="D30" i="2"/>
  <c r="G30" i="2"/>
  <c r="J30" i="2"/>
  <c r="K30" i="2"/>
  <c r="L30" i="2"/>
  <c r="M30" i="2"/>
  <c r="N30" i="2"/>
  <c r="O30" i="2"/>
  <c r="P30" i="2"/>
  <c r="T30" i="2"/>
  <c r="W30" i="2"/>
  <c r="Y30" i="2"/>
  <c r="Z30" i="2"/>
  <c r="AA30" i="2"/>
  <c r="AD30" i="2"/>
  <c r="AG30" i="2"/>
  <c r="AH30" i="2" s="1"/>
  <c r="AJ30" i="2"/>
  <c r="CO30" i="2"/>
  <c r="CS30" i="2" s="1"/>
  <c r="CP30" i="2"/>
  <c r="DA30" i="2"/>
  <c r="DC30" i="2" s="1"/>
  <c r="C29" i="2"/>
  <c r="D29" i="2"/>
  <c r="G29" i="2"/>
  <c r="J29" i="2"/>
  <c r="K29" i="2"/>
  <c r="L29" i="2"/>
  <c r="M29" i="2"/>
  <c r="N29" i="2"/>
  <c r="O29" i="2"/>
  <c r="P29" i="2"/>
  <c r="T29" i="2"/>
  <c r="W29" i="2"/>
  <c r="Y29" i="2"/>
  <c r="Z29" i="2"/>
  <c r="AA29" i="2"/>
  <c r="AD29" i="2"/>
  <c r="AG29" i="2"/>
  <c r="AH29" i="2" s="1"/>
  <c r="AJ29" i="2"/>
  <c r="CO29" i="2"/>
  <c r="CP29" i="2"/>
  <c r="DA29" i="2"/>
  <c r="DC29" i="2" s="1"/>
  <c r="C28" i="2"/>
  <c r="D28" i="2"/>
  <c r="G28" i="2"/>
  <c r="J28" i="2"/>
  <c r="K28" i="2"/>
  <c r="L28" i="2"/>
  <c r="M28" i="2"/>
  <c r="N28" i="2"/>
  <c r="O28" i="2"/>
  <c r="P28" i="2"/>
  <c r="T28" i="2"/>
  <c r="W28" i="2"/>
  <c r="Y28" i="2"/>
  <c r="Z28" i="2"/>
  <c r="AA28" i="2"/>
  <c r="AD28" i="2"/>
  <c r="AG28" i="2"/>
  <c r="AH28" i="2" s="1"/>
  <c r="AJ28" i="2"/>
  <c r="CO28" i="2"/>
  <c r="S28" i="2" s="1"/>
  <c r="CP28" i="2"/>
  <c r="DA28" i="2"/>
  <c r="DC28" i="2" s="1"/>
  <c r="C27" i="2"/>
  <c r="D27" i="2"/>
  <c r="G27" i="2"/>
  <c r="J27" i="2"/>
  <c r="K27" i="2"/>
  <c r="L27" i="2"/>
  <c r="M27" i="2"/>
  <c r="N27" i="2"/>
  <c r="O27" i="2"/>
  <c r="P27" i="2"/>
  <c r="T27" i="2"/>
  <c r="W27" i="2"/>
  <c r="Y27" i="2"/>
  <c r="Z27" i="2"/>
  <c r="AA27" i="2"/>
  <c r="AD27" i="2"/>
  <c r="AG27" i="2"/>
  <c r="AH27" i="2" s="1"/>
  <c r="AJ27" i="2"/>
  <c r="CO27" i="2"/>
  <c r="CP27" i="2"/>
  <c r="DA27" i="2"/>
  <c r="DD27" i="2" s="1"/>
  <c r="C26" i="2"/>
  <c r="D26" i="2"/>
  <c r="G26" i="2"/>
  <c r="J26" i="2"/>
  <c r="K26" i="2"/>
  <c r="L26" i="2"/>
  <c r="M26" i="2"/>
  <c r="N26" i="2"/>
  <c r="O26" i="2"/>
  <c r="P26" i="2"/>
  <c r="T26" i="2"/>
  <c r="W26" i="2"/>
  <c r="Y26" i="2"/>
  <c r="Z26" i="2"/>
  <c r="AA26" i="2"/>
  <c r="AD26" i="2"/>
  <c r="AG26" i="2"/>
  <c r="AH26" i="2" s="1"/>
  <c r="AJ26" i="2"/>
  <c r="CO26" i="2"/>
  <c r="CS26" i="2" s="1"/>
  <c r="CP26" i="2"/>
  <c r="DA26" i="2"/>
  <c r="DC26" i="2" s="1"/>
  <c r="C25" i="2"/>
  <c r="D25" i="2"/>
  <c r="G25" i="2"/>
  <c r="J25" i="2"/>
  <c r="K25" i="2"/>
  <c r="L25" i="2"/>
  <c r="M25" i="2"/>
  <c r="N25" i="2"/>
  <c r="O25" i="2"/>
  <c r="P25" i="2"/>
  <c r="T25" i="2"/>
  <c r="W25" i="2"/>
  <c r="Y25" i="2"/>
  <c r="Z25" i="2"/>
  <c r="AA25" i="2"/>
  <c r="AD25" i="2"/>
  <c r="AG25" i="2"/>
  <c r="AH25" i="2" s="1"/>
  <c r="AJ25" i="2"/>
  <c r="CO25" i="2"/>
  <c r="CP25" i="2"/>
  <c r="DA25" i="2"/>
  <c r="DC25" i="2" s="1"/>
  <c r="C24" i="2"/>
  <c r="D24" i="2"/>
  <c r="G24" i="2"/>
  <c r="J24" i="2"/>
  <c r="K24" i="2"/>
  <c r="L24" i="2"/>
  <c r="M24" i="2"/>
  <c r="N24" i="2"/>
  <c r="O24" i="2"/>
  <c r="P24" i="2"/>
  <c r="T24" i="2"/>
  <c r="W24" i="2"/>
  <c r="Y24" i="2"/>
  <c r="Z24" i="2"/>
  <c r="AA24" i="2"/>
  <c r="AD24" i="2"/>
  <c r="AG24" i="2"/>
  <c r="AH24" i="2"/>
  <c r="AJ24" i="2"/>
  <c r="CO24" i="2"/>
  <c r="S24" i="2" s="1"/>
  <c r="CP24" i="2"/>
  <c r="DA24" i="2"/>
  <c r="DC24" i="2" s="1"/>
  <c r="C23" i="2"/>
  <c r="D23" i="2"/>
  <c r="G23" i="2"/>
  <c r="J23" i="2"/>
  <c r="K23" i="2"/>
  <c r="L23" i="2"/>
  <c r="M23" i="2"/>
  <c r="N23" i="2"/>
  <c r="O23" i="2"/>
  <c r="P23" i="2"/>
  <c r="T23" i="2"/>
  <c r="W23" i="2"/>
  <c r="Y23" i="2"/>
  <c r="Z23" i="2"/>
  <c r="AA23" i="2"/>
  <c r="AD23" i="2"/>
  <c r="AG23" i="2"/>
  <c r="AH23" i="2" s="1"/>
  <c r="AJ23" i="2"/>
  <c r="CO23" i="2"/>
  <c r="CP23" i="2"/>
  <c r="DA23" i="2"/>
  <c r="DD23" i="2" s="1"/>
  <c r="C22" i="2"/>
  <c r="D22" i="2"/>
  <c r="G22" i="2"/>
  <c r="J22" i="2"/>
  <c r="K22" i="2"/>
  <c r="L22" i="2"/>
  <c r="M22" i="2"/>
  <c r="N22" i="2"/>
  <c r="O22" i="2"/>
  <c r="P22" i="2"/>
  <c r="T22" i="2"/>
  <c r="W22" i="2"/>
  <c r="Y22" i="2"/>
  <c r="Z22" i="2"/>
  <c r="AA22" i="2"/>
  <c r="AD22" i="2"/>
  <c r="AG22" i="2"/>
  <c r="AH22" i="2" s="1"/>
  <c r="AJ22" i="2"/>
  <c r="CO22" i="2"/>
  <c r="CP22" i="2"/>
  <c r="DA22" i="2"/>
  <c r="DC22" i="2" s="1"/>
  <c r="C21" i="2"/>
  <c r="D21" i="2"/>
  <c r="G21" i="2"/>
  <c r="J21" i="2"/>
  <c r="K21" i="2"/>
  <c r="L21" i="2"/>
  <c r="M21" i="2"/>
  <c r="N21" i="2"/>
  <c r="O21" i="2"/>
  <c r="P21" i="2"/>
  <c r="T21" i="2"/>
  <c r="W21" i="2"/>
  <c r="Y21" i="2"/>
  <c r="Z21" i="2"/>
  <c r="AA21" i="2"/>
  <c r="AD21" i="2"/>
  <c r="AG21" i="2"/>
  <c r="AH21" i="2"/>
  <c r="AJ21" i="2"/>
  <c r="CO21" i="2"/>
  <c r="CP21" i="2"/>
  <c r="DA21" i="2"/>
  <c r="DC21" i="2" s="1"/>
  <c r="C20" i="2"/>
  <c r="D20" i="2"/>
  <c r="G20" i="2"/>
  <c r="J20" i="2"/>
  <c r="K20" i="2"/>
  <c r="L20" i="2"/>
  <c r="M20" i="2"/>
  <c r="N20" i="2"/>
  <c r="O20" i="2"/>
  <c r="P20" i="2"/>
  <c r="T20" i="2"/>
  <c r="W20" i="2"/>
  <c r="Y20" i="2"/>
  <c r="Z20" i="2"/>
  <c r="AA20" i="2"/>
  <c r="AD20" i="2"/>
  <c r="AG20" i="2"/>
  <c r="AH20" i="2" s="1"/>
  <c r="AJ20" i="2"/>
  <c r="CO20" i="2"/>
  <c r="S20" i="2" s="1"/>
  <c r="CP20" i="2"/>
  <c r="DA20" i="2"/>
  <c r="DC20" i="2" s="1"/>
  <c r="C19" i="2"/>
  <c r="D19" i="2"/>
  <c r="G19" i="2"/>
  <c r="J19" i="2"/>
  <c r="K19" i="2"/>
  <c r="L19" i="2"/>
  <c r="M19" i="2"/>
  <c r="N19" i="2"/>
  <c r="O19" i="2"/>
  <c r="P19" i="2"/>
  <c r="T19" i="2"/>
  <c r="W19" i="2"/>
  <c r="Y19" i="2"/>
  <c r="Z19" i="2"/>
  <c r="AA19" i="2"/>
  <c r="AD19" i="2"/>
  <c r="AG19" i="2"/>
  <c r="AH19" i="2" s="1"/>
  <c r="AJ19" i="2"/>
  <c r="CO19" i="2"/>
  <c r="CP19" i="2"/>
  <c r="DA19" i="2"/>
  <c r="V19" i="2" s="1"/>
  <c r="C18" i="2"/>
  <c r="D18" i="2"/>
  <c r="G18" i="2"/>
  <c r="J18" i="2"/>
  <c r="K18" i="2"/>
  <c r="L18" i="2"/>
  <c r="M18" i="2"/>
  <c r="N18" i="2"/>
  <c r="O18" i="2"/>
  <c r="P18" i="2"/>
  <c r="T18" i="2"/>
  <c r="W18" i="2"/>
  <c r="Y18" i="2"/>
  <c r="Z18" i="2"/>
  <c r="AA18" i="2"/>
  <c r="AD18" i="2"/>
  <c r="AG18" i="2"/>
  <c r="AH18" i="2" s="1"/>
  <c r="AJ18" i="2"/>
  <c r="CO18" i="2"/>
  <c r="CP18" i="2"/>
  <c r="DA18" i="2"/>
  <c r="DC18" i="2" s="1"/>
  <c r="C17" i="2"/>
  <c r="D17" i="2"/>
  <c r="G17" i="2"/>
  <c r="J17" i="2"/>
  <c r="K17" i="2"/>
  <c r="L17" i="2"/>
  <c r="M17" i="2"/>
  <c r="N17" i="2"/>
  <c r="O17" i="2"/>
  <c r="P17" i="2"/>
  <c r="T17" i="2"/>
  <c r="W17" i="2"/>
  <c r="Y17" i="2"/>
  <c r="Z17" i="2"/>
  <c r="AA17" i="2"/>
  <c r="AD17" i="2"/>
  <c r="AG17" i="2"/>
  <c r="AH17" i="2" s="1"/>
  <c r="AJ17" i="2"/>
  <c r="CO17" i="2"/>
  <c r="CS17" i="2" s="1"/>
  <c r="CP17" i="2"/>
  <c r="DA17" i="2"/>
  <c r="DC17" i="2" s="1"/>
  <c r="C16" i="2"/>
  <c r="D16" i="2"/>
  <c r="G16" i="2"/>
  <c r="J16" i="2"/>
  <c r="K16" i="2"/>
  <c r="L16" i="2"/>
  <c r="M16" i="2"/>
  <c r="N16" i="2"/>
  <c r="O16" i="2"/>
  <c r="P16" i="2"/>
  <c r="T16" i="2"/>
  <c r="W16" i="2"/>
  <c r="Y16" i="2"/>
  <c r="Z16" i="2"/>
  <c r="AA16" i="2"/>
  <c r="AD16" i="2"/>
  <c r="AG16" i="2"/>
  <c r="AH16" i="2" s="1"/>
  <c r="AJ16" i="2"/>
  <c r="CO16" i="2"/>
  <c r="S16" i="2" s="1"/>
  <c r="CP16" i="2"/>
  <c r="DA16" i="2"/>
  <c r="DC16" i="2" s="1"/>
  <c r="C15" i="2"/>
  <c r="D15" i="2"/>
  <c r="G15" i="2"/>
  <c r="J15" i="2"/>
  <c r="K15" i="2"/>
  <c r="L15" i="2"/>
  <c r="M15" i="2"/>
  <c r="N15" i="2"/>
  <c r="O15" i="2"/>
  <c r="P15" i="2"/>
  <c r="T15" i="2"/>
  <c r="W15" i="2"/>
  <c r="Y15" i="2"/>
  <c r="Z15" i="2"/>
  <c r="AA15" i="2"/>
  <c r="AD15" i="2"/>
  <c r="AG15" i="2"/>
  <c r="AH15" i="2" s="1"/>
  <c r="AJ15" i="2"/>
  <c r="CO15" i="2"/>
  <c r="CP15" i="2"/>
  <c r="DA15" i="2"/>
  <c r="V15" i="2" s="1"/>
  <c r="C14" i="2"/>
  <c r="D14" i="2"/>
  <c r="G14" i="2"/>
  <c r="J14" i="2"/>
  <c r="K14" i="2"/>
  <c r="L14" i="2"/>
  <c r="M14" i="2"/>
  <c r="N14" i="2"/>
  <c r="O14" i="2"/>
  <c r="P14" i="2"/>
  <c r="T14" i="2"/>
  <c r="W14" i="2"/>
  <c r="Y14" i="2"/>
  <c r="Z14" i="2"/>
  <c r="AA14" i="2"/>
  <c r="AG14" i="2"/>
  <c r="AH14" i="2" s="1"/>
  <c r="AJ14" i="2"/>
  <c r="CO14" i="2"/>
  <c r="CP14" i="2"/>
  <c r="DA14" i="2"/>
  <c r="V14" i="2" s="1"/>
  <c r="CR25" i="2" l="1"/>
  <c r="CR21" i="2"/>
  <c r="CR23" i="2"/>
  <c r="CR33" i="2"/>
  <c r="CR31" i="2"/>
  <c r="CR29" i="2"/>
  <c r="CR27" i="2"/>
  <c r="CR19" i="2"/>
  <c r="CR15" i="2"/>
  <c r="CR22" i="2"/>
  <c r="CR14" i="2"/>
  <c r="CR18" i="2"/>
  <c r="CS32" i="2"/>
  <c r="DC31" i="2"/>
  <c r="DD28" i="2"/>
  <c r="DE26" i="2"/>
  <c r="Q25" i="2"/>
  <c r="DE22" i="2"/>
  <c r="Q21" i="2"/>
  <c r="DD19" i="2"/>
  <c r="DC19" i="2"/>
  <c r="Q20" i="2"/>
  <c r="Q33" i="2"/>
  <c r="Q18" i="2"/>
  <c r="S23" i="2"/>
  <c r="CS28" i="2"/>
  <c r="CR26" i="2"/>
  <c r="DD32" i="2"/>
  <c r="DC23" i="2"/>
  <c r="S27" i="2"/>
  <c r="CS16" i="2"/>
  <c r="S19" i="2"/>
  <c r="Q26" i="2"/>
  <c r="CR17" i="2"/>
  <c r="Q19" i="2"/>
  <c r="CS20" i="2"/>
  <c r="V22" i="2"/>
  <c r="Q29" i="2"/>
  <c r="DE30" i="2"/>
  <c r="Q30" i="2"/>
  <c r="Q32" i="2"/>
  <c r="V18" i="2"/>
  <c r="DC27" i="2"/>
  <c r="CR30" i="2"/>
  <c r="Q31" i="2"/>
  <c r="Q22" i="2"/>
  <c r="Q23" i="2"/>
  <c r="Q27" i="2"/>
  <c r="Q28" i="2"/>
  <c r="Q16" i="2"/>
  <c r="CS24" i="2"/>
  <c r="V30" i="2"/>
  <c r="Q24" i="2"/>
  <c r="Q17" i="2"/>
  <c r="DE18" i="2"/>
  <c r="V26" i="2"/>
  <c r="S31" i="2"/>
  <c r="DC15" i="2"/>
  <c r="Q15" i="2"/>
  <c r="DD15" i="2"/>
  <c r="S15" i="2"/>
  <c r="Q14" i="2"/>
  <c r="DD14" i="2"/>
  <c r="CR16" i="2"/>
  <c r="CR20" i="2"/>
  <c r="CR24" i="2"/>
  <c r="DD26" i="2"/>
  <c r="CR28" i="2"/>
  <c r="DD30" i="2"/>
  <c r="CR32" i="2"/>
  <c r="DD18" i="2"/>
  <c r="DD22" i="2"/>
  <c r="DC14" i="2"/>
  <c r="S14" i="2"/>
  <c r="CS15" i="2"/>
  <c r="DE17" i="2"/>
  <c r="V17" i="2"/>
  <c r="S18" i="2"/>
  <c r="CS19" i="2"/>
  <c r="DE21" i="2"/>
  <c r="V21" i="2"/>
  <c r="S22" i="2"/>
  <c r="CS23" i="2"/>
  <c r="DE25" i="2"/>
  <c r="V25" i="2"/>
  <c r="S26" i="2"/>
  <c r="CS27" i="2"/>
  <c r="DE29" i="2"/>
  <c r="V29" i="2"/>
  <c r="S30" i="2"/>
  <c r="CS31" i="2"/>
  <c r="DE33" i="2"/>
  <c r="V33" i="2"/>
  <c r="DD17" i="2"/>
  <c r="DD21" i="2"/>
  <c r="DD25" i="2"/>
  <c r="DD29" i="2"/>
  <c r="DD33" i="2"/>
  <c r="CS14" i="2"/>
  <c r="DE16" i="2"/>
  <c r="V16" i="2"/>
  <c r="S17" i="2"/>
  <c r="CS18" i="2"/>
  <c r="DE20" i="2"/>
  <c r="V20" i="2"/>
  <c r="S21" i="2"/>
  <c r="CS22" i="2"/>
  <c r="DE24" i="2"/>
  <c r="V24" i="2"/>
  <c r="S25" i="2"/>
  <c r="DE28" i="2"/>
  <c r="V28" i="2"/>
  <c r="S29" i="2"/>
  <c r="DE32" i="2"/>
  <c r="V32" i="2"/>
  <c r="S33" i="2"/>
  <c r="DD24" i="2"/>
  <c r="DE14" i="2"/>
  <c r="DD16" i="2"/>
  <c r="DD20" i="2"/>
  <c r="DE15" i="2"/>
  <c r="DE19" i="2"/>
  <c r="CS21" i="2"/>
  <c r="DE23" i="2"/>
  <c r="V23" i="2"/>
  <c r="CS25" i="2"/>
  <c r="DE27" i="2"/>
  <c r="V27" i="2"/>
  <c r="CS29" i="2"/>
  <c r="DE31" i="2"/>
  <c r="V31" i="2"/>
  <c r="CS33" i="2"/>
  <c r="A12" i="7"/>
  <c r="A14" i="7"/>
  <c r="A15" i="7"/>
  <c r="A16" i="7"/>
  <c r="A17" i="7"/>
  <c r="A18" i="7"/>
  <c r="A19" i="7"/>
  <c r="A20" i="7"/>
  <c r="A21" i="7"/>
  <c r="C12" i="2"/>
  <c r="BA21" i="7"/>
  <c r="AZ21" i="7"/>
  <c r="S21" i="7"/>
  <c r="R21" i="7"/>
  <c r="Q21" i="7"/>
  <c r="P21" i="7"/>
  <c r="H21" i="7"/>
  <c r="E21" i="7"/>
  <c r="B21" i="7"/>
  <c r="BA20" i="7"/>
  <c r="AZ20" i="7"/>
  <c r="S20" i="7"/>
  <c r="R20" i="7"/>
  <c r="Q20" i="7"/>
  <c r="P20" i="7"/>
  <c r="H20" i="7"/>
  <c r="E20" i="7"/>
  <c r="B20" i="7"/>
  <c r="BA19" i="7"/>
  <c r="AZ19" i="7"/>
  <c r="S19" i="7"/>
  <c r="R19" i="7"/>
  <c r="Q19" i="7"/>
  <c r="P19" i="7"/>
  <c r="H19" i="7"/>
  <c r="E19" i="7"/>
  <c r="B19" i="7"/>
  <c r="BA18" i="7"/>
  <c r="AZ18" i="7"/>
  <c r="S18" i="7"/>
  <c r="R18" i="7"/>
  <c r="Q18" i="7"/>
  <c r="P18" i="7"/>
  <c r="H18" i="7"/>
  <c r="E18" i="7"/>
  <c r="B18" i="7"/>
  <c r="BA17" i="7"/>
  <c r="AZ17" i="7"/>
  <c r="S17" i="7"/>
  <c r="R17" i="7"/>
  <c r="Q17" i="7"/>
  <c r="P17" i="7"/>
  <c r="H17" i="7"/>
  <c r="E17" i="7"/>
  <c r="B17" i="7"/>
  <c r="BA16" i="7"/>
  <c r="AZ16" i="7"/>
  <c r="S16" i="7"/>
  <c r="R16" i="7"/>
  <c r="Q16" i="7"/>
  <c r="P16" i="7"/>
  <c r="H16" i="7"/>
  <c r="E16" i="7"/>
  <c r="B16" i="7"/>
  <c r="BA15" i="7"/>
  <c r="AZ15" i="7"/>
  <c r="S15" i="7"/>
  <c r="R15" i="7"/>
  <c r="Q15" i="7"/>
  <c r="P15" i="7"/>
  <c r="H15" i="7"/>
  <c r="E15" i="7"/>
  <c r="B15" i="7"/>
  <c r="BA14" i="7"/>
  <c r="AZ14" i="7"/>
  <c r="S14" i="7"/>
  <c r="R14" i="7"/>
  <c r="Q14" i="7"/>
  <c r="P14" i="7"/>
  <c r="H14" i="7"/>
  <c r="E14" i="7"/>
  <c r="B14" i="7"/>
  <c r="BA12" i="7"/>
  <c r="AZ12" i="7"/>
  <c r="T12" i="7"/>
  <c r="S12" i="7"/>
  <c r="R12" i="7"/>
  <c r="Q12" i="7"/>
  <c r="P12" i="7"/>
  <c r="O12" i="7"/>
  <c r="N12" i="7"/>
  <c r="H12" i="7"/>
  <c r="E12" i="7"/>
  <c r="B12" i="7"/>
  <c r="E9" i="7"/>
  <c r="DK12" i="2"/>
  <c r="DE12" i="2"/>
  <c r="DD12" i="2"/>
  <c r="DC12" i="2"/>
  <c r="DA12" i="2"/>
  <c r="CS12" i="2"/>
  <c r="CR12" i="2"/>
  <c r="CP12" i="2"/>
  <c r="CO12" i="2"/>
  <c r="AJ12" i="2"/>
  <c r="AH12" i="2"/>
  <c r="AG12" i="2"/>
  <c r="AD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G12" i="2"/>
  <c r="D12" i="2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60" i="6"/>
  <c r="CE59" i="6"/>
  <c r="CE58" i="6"/>
  <c r="CE57" i="6"/>
  <c r="CE56" i="6"/>
  <c r="CE55" i="6"/>
  <c r="CE54" i="6"/>
  <c r="CE53" i="6"/>
  <c r="CE52" i="6"/>
  <c r="CE51" i="6"/>
  <c r="CE50" i="6"/>
  <c r="CE49" i="6"/>
  <c r="CE48" i="6"/>
  <c r="CE47" i="6"/>
  <c r="AC47" i="6"/>
  <c r="CE46" i="6"/>
  <c r="CE45" i="6"/>
  <c r="CE44" i="6"/>
  <c r="CE43" i="6"/>
  <c r="CE42" i="6"/>
  <c r="CE41" i="6"/>
  <c r="CE40" i="6"/>
  <c r="CE39" i="6"/>
  <c r="BU39" i="6"/>
  <c r="CE38" i="6"/>
  <c r="BV38" i="6"/>
  <c r="BU38" i="6"/>
  <c r="CE37" i="6"/>
  <c r="BU37" i="6"/>
  <c r="CE36" i="6"/>
  <c r="BU36" i="6"/>
  <c r="CE35" i="6"/>
  <c r="BU35" i="6"/>
  <c r="CE34" i="6"/>
  <c r="BU34" i="6"/>
  <c r="CE33" i="6"/>
  <c r="BU33" i="6"/>
  <c r="CE32" i="6"/>
  <c r="BU32" i="6"/>
  <c r="CE31" i="6"/>
  <c r="BU31" i="6"/>
  <c r="CE30" i="6"/>
  <c r="BU30" i="6"/>
  <c r="CE29" i="6"/>
  <c r="BU29" i="6"/>
  <c r="CE28" i="6"/>
  <c r="BU28" i="6"/>
  <c r="CE27" i="6"/>
  <c r="BU27" i="6"/>
  <c r="CE26" i="6"/>
  <c r="BU26" i="6"/>
  <c r="CE25" i="6"/>
  <c r="BU25" i="6"/>
  <c r="CE24" i="6"/>
  <c r="BU24" i="6"/>
  <c r="CE23" i="6"/>
  <c r="BU23" i="6"/>
  <c r="CE22" i="6"/>
  <c r="BU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V15" i="6"/>
  <c r="BU15" i="6"/>
  <c r="CE14" i="6"/>
  <c r="BU14" i="6"/>
  <c r="BP14" i="6"/>
  <c r="AC14" i="6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CE13" i="6"/>
  <c r="BU13" i="6"/>
  <c r="CE12" i="6"/>
  <c r="BU12" i="6"/>
  <c r="B12" i="6"/>
  <c r="J12" i="6" s="1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J11" i="6"/>
  <c r="E11" i="6"/>
  <c r="B11" i="6"/>
  <c r="CE10" i="6"/>
  <c r="BU10" i="6"/>
  <c r="Z10" i="6"/>
  <c r="S10" i="6"/>
  <c r="O10" i="6"/>
  <c r="P10" i="6" s="1"/>
  <c r="I10" i="6" s="1"/>
  <c r="M10" i="6"/>
  <c r="N10" i="6" s="1"/>
  <c r="L10" i="6"/>
  <c r="J10" i="6"/>
  <c r="F10" i="6"/>
  <c r="AO10" i="6" s="1"/>
  <c r="E10" i="6"/>
  <c r="H10" i="6" s="1"/>
  <c r="R10" i="6" s="1"/>
  <c r="D10" i="6"/>
  <c r="C10" i="6"/>
  <c r="Q10" i="6" s="1"/>
  <c r="AC8" i="6"/>
  <c r="CH7" i="6"/>
  <c r="CE7" i="6"/>
  <c r="AD7" i="6"/>
  <c r="BZ6" i="6"/>
  <c r="AG6" i="6"/>
  <c r="AO5" i="6"/>
  <c r="S12" i="6" l="1"/>
  <c r="G10" i="6"/>
  <c r="C12" i="6"/>
  <c r="Q12" i="6" s="1"/>
  <c r="Z11" i="6"/>
  <c r="F11" i="6"/>
  <c r="AO11" i="6" s="1"/>
  <c r="D11" i="6"/>
  <c r="K11" i="6" s="1"/>
  <c r="S11" i="6"/>
  <c r="C11" i="6"/>
  <c r="Q11" i="6" s="1"/>
  <c r="F12" i="6"/>
  <c r="AO12" i="6" s="1"/>
  <c r="Z428" i="6"/>
  <c r="AR10" i="6"/>
  <c r="W10" i="6"/>
  <c r="B13" i="6"/>
  <c r="Z12" i="6"/>
  <c r="E12" i="6"/>
  <c r="D12" i="6"/>
  <c r="AD47" i="6"/>
  <c r="T15" i="7"/>
  <c r="O15" i="7" s="1"/>
  <c r="T16" i="7"/>
  <c r="O16" i="7" s="1"/>
  <c r="T17" i="7"/>
  <c r="O17" i="7" s="1"/>
  <c r="T20" i="7"/>
  <c r="O20" i="7" s="1"/>
  <c r="T14" i="7"/>
  <c r="O14" i="7" s="1"/>
  <c r="T21" i="7"/>
  <c r="N21" i="7" s="1"/>
  <c r="T18" i="7"/>
  <c r="O18" i="7" s="1"/>
  <c r="T19" i="7"/>
  <c r="O19" i="7" s="1"/>
  <c r="H12" i="6" l="1"/>
  <c r="R12" i="6"/>
  <c r="H11" i="6"/>
  <c r="R11" i="6" s="1"/>
  <c r="Z429" i="6"/>
  <c r="O11" i="6"/>
  <c r="P11" i="6" s="1"/>
  <c r="L11" i="6"/>
  <c r="M11" i="6"/>
  <c r="N11" i="6" s="1"/>
  <c r="K12" i="6"/>
  <c r="J13" i="6"/>
  <c r="B14" i="6"/>
  <c r="F13" i="6"/>
  <c r="AO13" i="6" s="1"/>
  <c r="E13" i="6"/>
  <c r="Z13" i="6"/>
  <c r="C13" i="6"/>
  <c r="Q13" i="6" s="1"/>
  <c r="S13" i="6"/>
  <c r="D13" i="6"/>
  <c r="Z430" i="6"/>
  <c r="N16" i="7"/>
  <c r="O21" i="7"/>
  <c r="N17" i="7"/>
  <c r="N19" i="7"/>
  <c r="N15" i="7"/>
  <c r="N14" i="7"/>
  <c r="N20" i="7"/>
  <c r="N18" i="7"/>
  <c r="H13" i="6" l="1"/>
  <c r="R13" i="6" s="1"/>
  <c r="I11" i="6"/>
  <c r="Z431" i="6"/>
  <c r="O12" i="6"/>
  <c r="P12" i="6" s="1"/>
  <c r="M12" i="6"/>
  <c r="N12" i="6" s="1"/>
  <c r="G12" i="6" s="1"/>
  <c r="L12" i="6"/>
  <c r="G11" i="6"/>
  <c r="S14" i="6"/>
  <c r="C14" i="6"/>
  <c r="Q14" i="6" s="1"/>
  <c r="B15" i="6"/>
  <c r="J14" i="6"/>
  <c r="Z14" i="6"/>
  <c r="F14" i="6"/>
  <c r="AO14" i="6" s="1"/>
  <c r="E14" i="6"/>
  <c r="H14" i="6" s="1"/>
  <c r="D14" i="6"/>
  <c r="K13" i="6"/>
  <c r="K14" i="6" l="1"/>
  <c r="Z432" i="6"/>
  <c r="I12" i="6"/>
  <c r="S15" i="6"/>
  <c r="C15" i="6"/>
  <c r="Q15" i="6" s="1"/>
  <c r="B16" i="6"/>
  <c r="J15" i="6"/>
  <c r="Z15" i="6"/>
  <c r="F15" i="6"/>
  <c r="AO15" i="6" s="1"/>
  <c r="E15" i="6"/>
  <c r="D15" i="6"/>
  <c r="K15" i="6" s="1"/>
  <c r="M13" i="6"/>
  <c r="O13" i="6"/>
  <c r="P13" i="6" s="1"/>
  <c r="L13" i="6"/>
  <c r="R14" i="6"/>
  <c r="O14" i="6"/>
  <c r="P14" i="6" s="1"/>
  <c r="L14" i="6"/>
  <c r="M14" i="6"/>
  <c r="N14" i="6" l="1"/>
  <c r="G14" i="6" s="1"/>
  <c r="O15" i="6"/>
  <c r="P15" i="6" s="1"/>
  <c r="M15" i="6"/>
  <c r="L15" i="6"/>
  <c r="H15" i="6"/>
  <c r="S16" i="6"/>
  <c r="C16" i="6"/>
  <c r="Q16" i="6" s="1"/>
  <c r="J16" i="6"/>
  <c r="B17" i="6"/>
  <c r="Z16" i="6"/>
  <c r="F16" i="6"/>
  <c r="AO16" i="6" s="1"/>
  <c r="D16" i="6"/>
  <c r="K16" i="6" s="1"/>
  <c r="E16" i="6"/>
  <c r="H16" i="6" s="1"/>
  <c r="I14" i="6"/>
  <c r="Z433" i="6"/>
  <c r="N13" i="6"/>
  <c r="I13" i="6" s="1"/>
  <c r="W11" i="6" l="1"/>
  <c r="X10" i="6" s="1"/>
  <c r="O16" i="6"/>
  <c r="P16" i="6" s="1"/>
  <c r="M16" i="6"/>
  <c r="L16" i="6"/>
  <c r="Z434" i="6"/>
  <c r="I15" i="6"/>
  <c r="R15" i="6"/>
  <c r="D17" i="6"/>
  <c r="K17" i="6" s="1"/>
  <c r="S17" i="6"/>
  <c r="C17" i="6"/>
  <c r="Q17" i="6" s="1"/>
  <c r="J17" i="6"/>
  <c r="Z17" i="6"/>
  <c r="F17" i="6"/>
  <c r="AO17" i="6" s="1"/>
  <c r="AD44" i="6" s="1"/>
  <c r="E17" i="6"/>
  <c r="H17" i="6" s="1"/>
  <c r="B18" i="6"/>
  <c r="G13" i="6"/>
  <c r="N15" i="6"/>
  <c r="G15" i="6" s="1"/>
  <c r="R16" i="6"/>
  <c r="AD42" i="6" l="1"/>
  <c r="R17" i="6"/>
  <c r="L17" i="6"/>
  <c r="O17" i="6"/>
  <c r="P17" i="6" s="1"/>
  <c r="M17" i="6"/>
  <c r="AD43" i="6"/>
  <c r="N16" i="6"/>
  <c r="I16" i="6"/>
  <c r="Z435" i="6"/>
  <c r="AD46" i="6"/>
  <c r="AD45" i="6"/>
  <c r="E18" i="6"/>
  <c r="H18" i="6" s="1"/>
  <c r="D18" i="6"/>
  <c r="K18" i="6" s="1"/>
  <c r="S18" i="6"/>
  <c r="C18" i="6"/>
  <c r="Q18" i="6" s="1"/>
  <c r="B19" i="6"/>
  <c r="J18" i="6"/>
  <c r="F18" i="6"/>
  <c r="AO18" i="6" s="1"/>
  <c r="Z18" i="6"/>
  <c r="AD41" i="6"/>
  <c r="R18" i="6" l="1"/>
  <c r="G16" i="6"/>
  <c r="Z436" i="6"/>
  <c r="M18" i="6"/>
  <c r="L18" i="6"/>
  <c r="O18" i="6"/>
  <c r="P18" i="6" s="1"/>
  <c r="N17" i="6"/>
  <c r="F19" i="6"/>
  <c r="AO19" i="6" s="1"/>
  <c r="E19" i="6"/>
  <c r="D19" i="6"/>
  <c r="K19" i="6" s="1"/>
  <c r="J19" i="6"/>
  <c r="B20" i="6"/>
  <c r="C19" i="6"/>
  <c r="Q19" i="6" s="1"/>
  <c r="Z19" i="6"/>
  <c r="S19" i="6"/>
  <c r="I17" i="6"/>
  <c r="H19" i="6" l="1"/>
  <c r="Z20" i="6"/>
  <c r="F20" i="6"/>
  <c r="AO20" i="6" s="1"/>
  <c r="E20" i="6"/>
  <c r="S20" i="6"/>
  <c r="C20" i="6"/>
  <c r="Q20" i="6" s="1"/>
  <c r="J20" i="6"/>
  <c r="B21" i="6"/>
  <c r="D20" i="6"/>
  <c r="K20" i="6" s="1"/>
  <c r="M19" i="6"/>
  <c r="L19" i="6"/>
  <c r="O19" i="6"/>
  <c r="P19" i="6" s="1"/>
  <c r="Z437" i="6"/>
  <c r="N18" i="6"/>
  <c r="G17" i="6"/>
  <c r="R19" i="6"/>
  <c r="H20" i="6" l="1"/>
  <c r="R20" i="6" s="1"/>
  <c r="Z438" i="6"/>
  <c r="G18" i="6"/>
  <c r="I18" i="6"/>
  <c r="N19" i="6"/>
  <c r="G19" i="6" s="1"/>
  <c r="O20" i="6"/>
  <c r="P20" i="6" s="1"/>
  <c r="M20" i="6"/>
  <c r="L20" i="6"/>
  <c r="Z21" i="6"/>
  <c r="F21" i="6"/>
  <c r="AO21" i="6" s="1"/>
  <c r="D21" i="6"/>
  <c r="K21" i="6" s="1"/>
  <c r="S21" i="6"/>
  <c r="C21" i="6"/>
  <c r="Q21" i="6" s="1"/>
  <c r="B22" i="6"/>
  <c r="J21" i="6"/>
  <c r="E21" i="6"/>
  <c r="H21" i="6" s="1"/>
  <c r="R21" i="6" l="1"/>
  <c r="Z22" i="6"/>
  <c r="E22" i="6"/>
  <c r="D22" i="6"/>
  <c r="K22" i="6" s="1"/>
  <c r="B23" i="6"/>
  <c r="J22" i="6"/>
  <c r="C22" i="6"/>
  <c r="Q22" i="6" s="1"/>
  <c r="F22" i="6"/>
  <c r="S22" i="6"/>
  <c r="N20" i="6"/>
  <c r="G20" i="6" s="1"/>
  <c r="Z439" i="6"/>
  <c r="I19" i="6"/>
  <c r="O21" i="6"/>
  <c r="P21" i="6" s="1"/>
  <c r="L21" i="6"/>
  <c r="M21" i="6"/>
  <c r="N21" i="6" s="1"/>
  <c r="G21" i="6" s="1"/>
  <c r="H22" i="6" l="1"/>
  <c r="I21" i="6"/>
  <c r="I20" i="6"/>
  <c r="R22" i="6"/>
  <c r="O22" i="6"/>
  <c r="P22" i="6" s="1"/>
  <c r="M22" i="6"/>
  <c r="L22" i="6"/>
  <c r="Z23" i="6"/>
  <c r="F23" i="6"/>
  <c r="D23" i="6"/>
  <c r="K23" i="6" s="1"/>
  <c r="B24" i="6"/>
  <c r="S23" i="6"/>
  <c r="C23" i="6"/>
  <c r="Q23" i="6" s="1"/>
  <c r="E23" i="6"/>
  <c r="H23" i="6" s="1"/>
  <c r="J23" i="6"/>
  <c r="Z24" i="6" l="1"/>
  <c r="F24" i="6"/>
  <c r="E24" i="6"/>
  <c r="B25" i="6"/>
  <c r="S24" i="6"/>
  <c r="C24" i="6"/>
  <c r="Q24" i="6" s="1"/>
  <c r="J24" i="6"/>
  <c r="D24" i="6"/>
  <c r="K24" i="6" s="1"/>
  <c r="N22" i="6"/>
  <c r="G22" i="6" s="1"/>
  <c r="O23" i="6"/>
  <c r="P23" i="6" s="1"/>
  <c r="L23" i="6"/>
  <c r="M23" i="6"/>
  <c r="R23" i="6"/>
  <c r="H24" i="6" l="1"/>
  <c r="R24" i="6"/>
  <c r="I22" i="6"/>
  <c r="O24" i="6"/>
  <c r="P24" i="6" s="1"/>
  <c r="M24" i="6"/>
  <c r="L24" i="6"/>
  <c r="N23" i="6"/>
  <c r="G23" i="6" s="1"/>
  <c r="F25" i="6"/>
  <c r="E25" i="6"/>
  <c r="D25" i="6"/>
  <c r="K25" i="6" s="1"/>
  <c r="J25" i="6"/>
  <c r="B26" i="6"/>
  <c r="C25" i="6"/>
  <c r="Q25" i="6" s="1"/>
  <c r="S25" i="6"/>
  <c r="Z25" i="6"/>
  <c r="N24" i="6" l="1"/>
  <c r="G24" i="6" s="1"/>
  <c r="E26" i="6"/>
  <c r="D26" i="6"/>
  <c r="K26" i="6" s="1"/>
  <c r="B27" i="6"/>
  <c r="S26" i="6"/>
  <c r="C26" i="6"/>
  <c r="Q26" i="6" s="1"/>
  <c r="F26" i="6"/>
  <c r="Z26" i="6"/>
  <c r="J26" i="6"/>
  <c r="M25" i="6"/>
  <c r="L25" i="6"/>
  <c r="O25" i="6"/>
  <c r="P25" i="6" s="1"/>
  <c r="H25" i="6"/>
  <c r="I23" i="6"/>
  <c r="M26" i="6" l="1"/>
  <c r="L26" i="6"/>
  <c r="O26" i="6"/>
  <c r="P26" i="6" s="1"/>
  <c r="H26" i="6"/>
  <c r="R26" i="6" s="1"/>
  <c r="D27" i="6"/>
  <c r="K27" i="6" s="1"/>
  <c r="B28" i="6"/>
  <c r="S27" i="6"/>
  <c r="C27" i="6"/>
  <c r="Q27" i="6" s="1"/>
  <c r="J27" i="6"/>
  <c r="Z27" i="6"/>
  <c r="E27" i="6"/>
  <c r="F27" i="6"/>
  <c r="N25" i="6"/>
  <c r="G25" i="6" s="1"/>
  <c r="I24" i="6"/>
  <c r="R25" i="6"/>
  <c r="H27" i="6" l="1"/>
  <c r="I25" i="6"/>
  <c r="B29" i="6"/>
  <c r="S28" i="6"/>
  <c r="C28" i="6"/>
  <c r="Q28" i="6" s="1"/>
  <c r="J28" i="6"/>
  <c r="Z28" i="6"/>
  <c r="F28" i="6"/>
  <c r="E28" i="6"/>
  <c r="H28" i="6" s="1"/>
  <c r="D28" i="6"/>
  <c r="K28" i="6" s="1"/>
  <c r="L27" i="6"/>
  <c r="O27" i="6"/>
  <c r="P27" i="6" s="1"/>
  <c r="M27" i="6"/>
  <c r="N27" i="6" s="1"/>
  <c r="G27" i="6" s="1"/>
  <c r="N26" i="6"/>
  <c r="G26" i="6" s="1"/>
  <c r="J29" i="6" l="1"/>
  <c r="F29" i="6"/>
  <c r="E29" i="6"/>
  <c r="D29" i="6"/>
  <c r="K29" i="6" s="1"/>
  <c r="S29" i="6"/>
  <c r="Z29" i="6"/>
  <c r="C29" i="6"/>
  <c r="Q29" i="6" s="1"/>
  <c r="B30" i="6"/>
  <c r="I26" i="6"/>
  <c r="I27" i="6"/>
  <c r="O28" i="6"/>
  <c r="P28" i="6" s="1"/>
  <c r="M28" i="6"/>
  <c r="L28" i="6"/>
  <c r="R28" i="6"/>
  <c r="R27" i="6"/>
  <c r="H29" i="6" l="1"/>
  <c r="R29" i="6" s="1"/>
  <c r="N28" i="6"/>
  <c r="G28" i="6" s="1"/>
  <c r="Z30" i="6"/>
  <c r="E30" i="6"/>
  <c r="D30" i="6"/>
  <c r="K30" i="6" s="1"/>
  <c r="B31" i="6"/>
  <c r="J30" i="6"/>
  <c r="S30" i="6"/>
  <c r="F30" i="6"/>
  <c r="C30" i="6"/>
  <c r="Q30" i="6" s="1"/>
  <c r="M29" i="6"/>
  <c r="O29" i="6"/>
  <c r="P29" i="6" s="1"/>
  <c r="L29" i="6"/>
  <c r="I28" i="6" l="1"/>
  <c r="Z31" i="6"/>
  <c r="F31" i="6"/>
  <c r="D31" i="6"/>
  <c r="K31" i="6" s="1"/>
  <c r="B32" i="6"/>
  <c r="S31" i="6"/>
  <c r="C31" i="6"/>
  <c r="Q31" i="6" s="1"/>
  <c r="J31" i="6"/>
  <c r="E31" i="6"/>
  <c r="H31" i="6" s="1"/>
  <c r="O30" i="6"/>
  <c r="P30" i="6" s="1"/>
  <c r="M30" i="6"/>
  <c r="L30" i="6"/>
  <c r="H30" i="6"/>
  <c r="N29" i="6"/>
  <c r="G29" i="6" s="1"/>
  <c r="R31" i="6" l="1"/>
  <c r="I29" i="6"/>
  <c r="O31" i="6"/>
  <c r="P31" i="6" s="1"/>
  <c r="L31" i="6"/>
  <c r="M31" i="6"/>
  <c r="R30" i="6"/>
  <c r="Z32" i="6"/>
  <c r="F32" i="6"/>
  <c r="E32" i="6"/>
  <c r="B33" i="6"/>
  <c r="S32" i="6"/>
  <c r="C32" i="6"/>
  <c r="Q32" i="6" s="1"/>
  <c r="J32" i="6"/>
  <c r="D32" i="6"/>
  <c r="K32" i="6" s="1"/>
  <c r="N30" i="6"/>
  <c r="G30" i="6" s="1"/>
  <c r="I30" i="6"/>
  <c r="O32" i="6" l="1"/>
  <c r="P32" i="6" s="1"/>
  <c r="M32" i="6"/>
  <c r="L32" i="6"/>
  <c r="N31" i="6"/>
  <c r="G31" i="6" s="1"/>
  <c r="F33" i="6"/>
  <c r="E33" i="6"/>
  <c r="D33" i="6"/>
  <c r="K33" i="6" s="1"/>
  <c r="J33" i="6"/>
  <c r="Z33" i="6"/>
  <c r="S33" i="6"/>
  <c r="B34" i="6"/>
  <c r="C33" i="6"/>
  <c r="Q33" i="6" s="1"/>
  <c r="H32" i="6"/>
  <c r="R32" i="6" s="1"/>
  <c r="N32" i="6" l="1"/>
  <c r="G32" i="6" s="1"/>
  <c r="E34" i="6"/>
  <c r="D34" i="6"/>
  <c r="K34" i="6" s="1"/>
  <c r="B35" i="6"/>
  <c r="S34" i="6"/>
  <c r="C34" i="6"/>
  <c r="Q34" i="6" s="1"/>
  <c r="J34" i="6"/>
  <c r="F34" i="6"/>
  <c r="Z34" i="6"/>
  <c r="H33" i="6"/>
  <c r="R33" i="6" s="1"/>
  <c r="I31" i="6"/>
  <c r="M33" i="6"/>
  <c r="N33" i="6" s="1"/>
  <c r="G33" i="6" s="1"/>
  <c r="L33" i="6"/>
  <c r="O33" i="6"/>
  <c r="P33" i="6" s="1"/>
  <c r="I32" i="6"/>
  <c r="I33" i="6" l="1"/>
  <c r="D35" i="6"/>
  <c r="K35" i="6" s="1"/>
  <c r="B36" i="6"/>
  <c r="S35" i="6"/>
  <c r="C35" i="6"/>
  <c r="Q35" i="6" s="1"/>
  <c r="J35" i="6"/>
  <c r="Z35" i="6"/>
  <c r="F35" i="6"/>
  <c r="E35" i="6"/>
  <c r="H34" i="6"/>
  <c r="R34" i="6" s="1"/>
  <c r="M34" i="6"/>
  <c r="L34" i="6"/>
  <c r="O34" i="6"/>
  <c r="P34" i="6" s="1"/>
  <c r="N34" i="6" l="1"/>
  <c r="G34" i="6" s="1"/>
  <c r="H35" i="6"/>
  <c r="B37" i="6"/>
  <c r="S36" i="6"/>
  <c r="C36" i="6"/>
  <c r="Q36" i="6" s="1"/>
  <c r="J36" i="6"/>
  <c r="Z36" i="6"/>
  <c r="F36" i="6"/>
  <c r="E36" i="6"/>
  <c r="D36" i="6"/>
  <c r="K36" i="6" s="1"/>
  <c r="R35" i="6"/>
  <c r="L35" i="6"/>
  <c r="O35" i="6"/>
  <c r="P35" i="6" s="1"/>
  <c r="M35" i="6"/>
  <c r="H36" i="6" l="1"/>
  <c r="I34" i="6"/>
  <c r="N35" i="6"/>
  <c r="G35" i="6" s="1"/>
  <c r="R36" i="6"/>
  <c r="O36" i="6"/>
  <c r="P36" i="6" s="1"/>
  <c r="M36" i="6"/>
  <c r="L36" i="6"/>
  <c r="I35" i="6"/>
  <c r="J37" i="6"/>
  <c r="F37" i="6"/>
  <c r="E37" i="6"/>
  <c r="D37" i="6"/>
  <c r="K37" i="6" s="1"/>
  <c r="B38" i="6"/>
  <c r="Z37" i="6"/>
  <c r="C37" i="6"/>
  <c r="Q37" i="6" s="1"/>
  <c r="S37" i="6"/>
  <c r="H37" i="6" l="1"/>
  <c r="R37" i="6" s="1"/>
  <c r="N36" i="6"/>
  <c r="G36" i="6" s="1"/>
  <c r="M37" i="6"/>
  <c r="L37" i="6"/>
  <c r="O37" i="6"/>
  <c r="P37" i="6" s="1"/>
  <c r="Z38" i="6"/>
  <c r="E38" i="6"/>
  <c r="B39" i="6"/>
  <c r="D38" i="6"/>
  <c r="K38" i="6" s="1"/>
  <c r="C38" i="6"/>
  <c r="Q38" i="6" s="1"/>
  <c r="F38" i="6"/>
  <c r="S38" i="6"/>
  <c r="J38" i="6"/>
  <c r="H38" i="6" l="1"/>
  <c r="I36" i="6"/>
  <c r="N37" i="6"/>
  <c r="G37" i="6" s="1"/>
  <c r="O38" i="6"/>
  <c r="P38" i="6" s="1"/>
  <c r="M38" i="6"/>
  <c r="L38" i="6"/>
  <c r="R38" i="6"/>
  <c r="Z39" i="6"/>
  <c r="F39" i="6"/>
  <c r="E39" i="6"/>
  <c r="B40" i="6"/>
  <c r="S39" i="6"/>
  <c r="C39" i="6"/>
  <c r="Q39" i="6" s="1"/>
  <c r="J39" i="6"/>
  <c r="D39" i="6"/>
  <c r="K39" i="6" s="1"/>
  <c r="N38" i="6" l="1"/>
  <c r="G38" i="6" s="1"/>
  <c r="O39" i="6"/>
  <c r="P39" i="6" s="1"/>
  <c r="M39" i="6"/>
  <c r="L39" i="6"/>
  <c r="I38" i="6"/>
  <c r="F40" i="6"/>
  <c r="E40" i="6"/>
  <c r="D40" i="6"/>
  <c r="K40" i="6" s="1"/>
  <c r="B41" i="6"/>
  <c r="J40" i="6"/>
  <c r="C40" i="6"/>
  <c r="Q40" i="6" s="1"/>
  <c r="Z40" i="6"/>
  <c r="S40" i="6"/>
  <c r="H39" i="6"/>
  <c r="R39" i="6" s="1"/>
  <c r="I37" i="6"/>
  <c r="H40" i="6" l="1"/>
  <c r="R40" i="6" s="1"/>
  <c r="M40" i="6"/>
  <c r="L40" i="6"/>
  <c r="O40" i="6"/>
  <c r="P40" i="6" s="1"/>
  <c r="N39" i="6"/>
  <c r="G39" i="6" s="1"/>
  <c r="F41" i="6"/>
  <c r="E41" i="6"/>
  <c r="H41" i="6" s="1"/>
  <c r="D41" i="6"/>
  <c r="K41" i="6" s="1"/>
  <c r="J41" i="6"/>
  <c r="B42" i="6"/>
  <c r="S41" i="6"/>
  <c r="C41" i="6"/>
  <c r="Q41" i="6" s="1"/>
  <c r="Z41" i="6"/>
  <c r="I39" i="6"/>
  <c r="N40" i="6" l="1"/>
  <c r="G40" i="6" s="1"/>
  <c r="R41" i="6"/>
  <c r="M41" i="6"/>
  <c r="L41" i="6"/>
  <c r="O41" i="6"/>
  <c r="P41" i="6" s="1"/>
  <c r="Z42" i="6"/>
  <c r="F42" i="6"/>
  <c r="E42" i="6"/>
  <c r="H42" i="6" s="1"/>
  <c r="S42" i="6"/>
  <c r="C42" i="6"/>
  <c r="Q42" i="6" s="1"/>
  <c r="J42" i="6"/>
  <c r="B43" i="6"/>
  <c r="D42" i="6"/>
  <c r="K42" i="6" s="1"/>
  <c r="I41" i="6" l="1"/>
  <c r="N41" i="6"/>
  <c r="G41" i="6" s="1"/>
  <c r="I40" i="6"/>
  <c r="O42" i="6"/>
  <c r="P42" i="6" s="1"/>
  <c r="M42" i="6"/>
  <c r="L42" i="6"/>
  <c r="Z43" i="6"/>
  <c r="F43" i="6"/>
  <c r="D43" i="6"/>
  <c r="K43" i="6" s="1"/>
  <c r="S43" i="6"/>
  <c r="C43" i="6"/>
  <c r="Q43" i="6" s="1"/>
  <c r="E43" i="6"/>
  <c r="J43" i="6"/>
  <c r="B44" i="6"/>
  <c r="R42" i="6"/>
  <c r="N42" i="6" l="1"/>
  <c r="G42" i="6" s="1"/>
  <c r="O43" i="6"/>
  <c r="P43" i="6" s="1"/>
  <c r="L43" i="6"/>
  <c r="M43" i="6"/>
  <c r="N43" i="6" s="1"/>
  <c r="G43" i="6" s="1"/>
  <c r="B45" i="6"/>
  <c r="Z44" i="6"/>
  <c r="E44" i="6"/>
  <c r="H44" i="6" s="1"/>
  <c r="D44" i="6"/>
  <c r="K44" i="6" s="1"/>
  <c r="S44" i="6"/>
  <c r="J44" i="6"/>
  <c r="F44" i="6"/>
  <c r="C44" i="6"/>
  <c r="Q44" i="6" s="1"/>
  <c r="H43" i="6"/>
  <c r="R43" i="6" s="1"/>
  <c r="I42" i="6" l="1"/>
  <c r="O44" i="6"/>
  <c r="P44" i="6" s="1"/>
  <c r="M44" i="6"/>
  <c r="L44" i="6"/>
  <c r="J45" i="6"/>
  <c r="B46" i="6"/>
  <c r="F45" i="6"/>
  <c r="E45" i="6"/>
  <c r="S45" i="6"/>
  <c r="D45" i="6"/>
  <c r="K45" i="6" s="1"/>
  <c r="Z45" i="6"/>
  <c r="C45" i="6"/>
  <c r="Q45" i="6" s="1"/>
  <c r="R44" i="6"/>
  <c r="I43" i="6"/>
  <c r="S46" i="6" l="1"/>
  <c r="C46" i="6"/>
  <c r="Q46" i="6" s="1"/>
  <c r="J46" i="6"/>
  <c r="B47" i="6"/>
  <c r="Z46" i="6"/>
  <c r="F46" i="6"/>
  <c r="D46" i="6"/>
  <c r="K46" i="6" s="1"/>
  <c r="E46" i="6"/>
  <c r="N44" i="6"/>
  <c r="G44" i="6" s="1"/>
  <c r="H45" i="6"/>
  <c r="R45" i="6" s="1"/>
  <c r="M45" i="6"/>
  <c r="O45" i="6"/>
  <c r="P45" i="6" s="1"/>
  <c r="L45" i="6"/>
  <c r="H46" i="6" l="1"/>
  <c r="R46" i="6" s="1"/>
  <c r="I44" i="6"/>
  <c r="N45" i="6"/>
  <c r="G45" i="6" s="1"/>
  <c r="D47" i="6"/>
  <c r="K47" i="6" s="1"/>
  <c r="S47" i="6"/>
  <c r="C47" i="6"/>
  <c r="Q47" i="6" s="1"/>
  <c r="B48" i="6"/>
  <c r="J47" i="6"/>
  <c r="Z47" i="6"/>
  <c r="F47" i="6"/>
  <c r="E47" i="6"/>
  <c r="O46" i="6"/>
  <c r="P46" i="6" s="1"/>
  <c r="L46" i="6"/>
  <c r="M46" i="6"/>
  <c r="N46" i="6" s="1"/>
  <c r="G46" i="6" s="1"/>
  <c r="I46" i="6" l="1"/>
  <c r="D48" i="6"/>
  <c r="K48" i="6" s="1"/>
  <c r="S48" i="6"/>
  <c r="C48" i="6"/>
  <c r="Q48" i="6" s="1"/>
  <c r="J48" i="6"/>
  <c r="Z48" i="6"/>
  <c r="E48" i="6"/>
  <c r="B49" i="6"/>
  <c r="F48" i="6"/>
  <c r="R47" i="6"/>
  <c r="L47" i="6"/>
  <c r="O47" i="6"/>
  <c r="P47" i="6" s="1"/>
  <c r="M47" i="6"/>
  <c r="H47" i="6"/>
  <c r="I45" i="6"/>
  <c r="H48" i="6" l="1"/>
  <c r="R48" i="6" s="1"/>
  <c r="E49" i="6"/>
  <c r="D49" i="6"/>
  <c r="K49" i="6" s="1"/>
  <c r="S49" i="6"/>
  <c r="C49" i="6"/>
  <c r="Q49" i="6" s="1"/>
  <c r="B50" i="6"/>
  <c r="Z49" i="6"/>
  <c r="J49" i="6"/>
  <c r="F49" i="6"/>
  <c r="N47" i="6"/>
  <c r="G47" i="6" s="1"/>
  <c r="L48" i="6"/>
  <c r="O48" i="6"/>
  <c r="P48" i="6" s="1"/>
  <c r="M48" i="6"/>
  <c r="H49" i="6" l="1"/>
  <c r="F50" i="6"/>
  <c r="E50" i="6"/>
  <c r="D50" i="6"/>
  <c r="K50" i="6" s="1"/>
  <c r="J50" i="6"/>
  <c r="B51" i="6"/>
  <c r="S50" i="6"/>
  <c r="Z50" i="6"/>
  <c r="C50" i="6"/>
  <c r="Q50" i="6" s="1"/>
  <c r="N48" i="6"/>
  <c r="G48" i="6" s="1"/>
  <c r="R49" i="6"/>
  <c r="M49" i="6"/>
  <c r="N49" i="6" s="1"/>
  <c r="G49" i="6" s="1"/>
  <c r="L49" i="6"/>
  <c r="O49" i="6"/>
  <c r="P49" i="6" s="1"/>
  <c r="I47" i="6"/>
  <c r="H50" i="6" l="1"/>
  <c r="R50" i="6" s="1"/>
  <c r="I49" i="6"/>
  <c r="Z51" i="6"/>
  <c r="F51" i="6"/>
  <c r="E51" i="6"/>
  <c r="S51" i="6"/>
  <c r="C51" i="6"/>
  <c r="Q51" i="6" s="1"/>
  <c r="J51" i="6"/>
  <c r="B52" i="6"/>
  <c r="D51" i="6"/>
  <c r="K51" i="6" s="1"/>
  <c r="I48" i="6"/>
  <c r="M50" i="6"/>
  <c r="L50" i="6"/>
  <c r="O50" i="6"/>
  <c r="P50" i="6" s="1"/>
  <c r="H51" i="6" l="1"/>
  <c r="R51" i="6" s="1"/>
  <c r="Z52" i="6"/>
  <c r="F52" i="6"/>
  <c r="D52" i="6"/>
  <c r="K52" i="6" s="1"/>
  <c r="S52" i="6"/>
  <c r="C52" i="6"/>
  <c r="Q52" i="6" s="1"/>
  <c r="E52" i="6"/>
  <c r="H52" i="6" s="1"/>
  <c r="J52" i="6"/>
  <c r="B53" i="6"/>
  <c r="N50" i="6"/>
  <c r="G50" i="6" s="1"/>
  <c r="O51" i="6"/>
  <c r="P51" i="6" s="1"/>
  <c r="M51" i="6"/>
  <c r="N51" i="6" s="1"/>
  <c r="G51" i="6" s="1"/>
  <c r="L51" i="6"/>
  <c r="R52" i="6" l="1"/>
  <c r="O52" i="6"/>
  <c r="P52" i="6" s="1"/>
  <c r="L52" i="6"/>
  <c r="M52" i="6"/>
  <c r="I51" i="6"/>
  <c r="I50" i="6"/>
  <c r="B54" i="6"/>
  <c r="Z53" i="6"/>
  <c r="E53" i="6"/>
  <c r="D53" i="6"/>
  <c r="K53" i="6" s="1"/>
  <c r="J53" i="6"/>
  <c r="F53" i="6"/>
  <c r="C53" i="6"/>
  <c r="Q53" i="6" s="1"/>
  <c r="S53" i="6"/>
  <c r="H53" i="6" l="1"/>
  <c r="R53" i="6" s="1"/>
  <c r="J54" i="6"/>
  <c r="B55" i="6"/>
  <c r="F54" i="6"/>
  <c r="E54" i="6"/>
  <c r="D54" i="6"/>
  <c r="K54" i="6" s="1"/>
  <c r="S54" i="6"/>
  <c r="Z54" i="6"/>
  <c r="C54" i="6"/>
  <c r="Q54" i="6" s="1"/>
  <c r="N52" i="6"/>
  <c r="G52" i="6" s="1"/>
  <c r="O53" i="6"/>
  <c r="P53" i="6" s="1"/>
  <c r="M53" i="6"/>
  <c r="L53" i="6"/>
  <c r="I52" i="6" l="1"/>
  <c r="M54" i="6"/>
  <c r="O54" i="6"/>
  <c r="P54" i="6" s="1"/>
  <c r="L54" i="6"/>
  <c r="H54" i="6"/>
  <c r="S55" i="6"/>
  <c r="C55" i="6"/>
  <c r="Q55" i="6" s="1"/>
  <c r="J55" i="6"/>
  <c r="B56" i="6"/>
  <c r="Z55" i="6"/>
  <c r="F55" i="6"/>
  <c r="D55" i="6"/>
  <c r="K55" i="6" s="1"/>
  <c r="E55" i="6"/>
  <c r="H55" i="6" s="1"/>
  <c r="N53" i="6"/>
  <c r="G53" i="6" s="1"/>
  <c r="I53" i="6"/>
  <c r="R54" i="6"/>
  <c r="D56" i="6" l="1"/>
  <c r="K56" i="6" s="1"/>
  <c r="S56" i="6"/>
  <c r="C56" i="6"/>
  <c r="Q56" i="6" s="1"/>
  <c r="J56" i="6"/>
  <c r="Z56" i="6"/>
  <c r="B57" i="6"/>
  <c r="F56" i="6"/>
  <c r="E56" i="6"/>
  <c r="H56" i="6" s="1"/>
  <c r="O55" i="6"/>
  <c r="P55" i="6" s="1"/>
  <c r="M55" i="6"/>
  <c r="L55" i="6"/>
  <c r="R55" i="6"/>
  <c r="N54" i="6"/>
  <c r="G54" i="6" s="1"/>
  <c r="E57" i="6" l="1"/>
  <c r="D57" i="6"/>
  <c r="K57" i="6" s="1"/>
  <c r="S57" i="6"/>
  <c r="C57" i="6"/>
  <c r="Q57" i="6" s="1"/>
  <c r="B58" i="6"/>
  <c r="J57" i="6"/>
  <c r="F57" i="6"/>
  <c r="Z57" i="6"/>
  <c r="I54" i="6"/>
  <c r="R56" i="6"/>
  <c r="N55" i="6"/>
  <c r="G55" i="6" s="1"/>
  <c r="I55" i="6"/>
  <c r="L56" i="6"/>
  <c r="O56" i="6"/>
  <c r="P56" i="6" s="1"/>
  <c r="M56" i="6"/>
  <c r="N56" i="6" s="1"/>
  <c r="G56" i="6" s="1"/>
  <c r="I56" i="6" l="1"/>
  <c r="F58" i="6"/>
  <c r="E58" i="6"/>
  <c r="H58" i="6" s="1"/>
  <c r="D58" i="6"/>
  <c r="K58" i="6" s="1"/>
  <c r="J58" i="6"/>
  <c r="B59" i="6"/>
  <c r="C58" i="6"/>
  <c r="Q58" i="6" s="1"/>
  <c r="R58" i="6" s="1"/>
  <c r="Z58" i="6"/>
  <c r="S58" i="6"/>
  <c r="M57" i="6"/>
  <c r="L57" i="6"/>
  <c r="O57" i="6"/>
  <c r="P57" i="6" s="1"/>
  <c r="H57" i="6"/>
  <c r="R57" i="6" s="1"/>
  <c r="Z59" i="6" l="1"/>
  <c r="F59" i="6"/>
  <c r="E59" i="6"/>
  <c r="H59" i="6" s="1"/>
  <c r="S59" i="6"/>
  <c r="C59" i="6"/>
  <c r="Q59" i="6" s="1"/>
  <c r="J59" i="6"/>
  <c r="B60" i="6"/>
  <c r="D59" i="6"/>
  <c r="K59" i="6" s="1"/>
  <c r="M58" i="6"/>
  <c r="N58" i="6" s="1"/>
  <c r="G58" i="6" s="1"/>
  <c r="L58" i="6"/>
  <c r="O58" i="6"/>
  <c r="P58" i="6" s="1"/>
  <c r="N57" i="6"/>
  <c r="G57" i="6" s="1"/>
  <c r="Z60" i="6" l="1"/>
  <c r="F60" i="6"/>
  <c r="D60" i="6"/>
  <c r="K60" i="6" s="1"/>
  <c r="S60" i="6"/>
  <c r="C60" i="6"/>
  <c r="Q60" i="6" s="1"/>
  <c r="B61" i="6"/>
  <c r="E60" i="6"/>
  <c r="H60" i="6" s="1"/>
  <c r="J60" i="6"/>
  <c r="R59" i="6"/>
  <c r="O59" i="6"/>
  <c r="P59" i="6" s="1"/>
  <c r="M59" i="6"/>
  <c r="L59" i="6"/>
  <c r="I58" i="6"/>
  <c r="I57" i="6"/>
  <c r="R60" i="6" l="1"/>
  <c r="O60" i="6"/>
  <c r="P60" i="6" s="1"/>
  <c r="L60" i="6"/>
  <c r="M60" i="6"/>
  <c r="B62" i="6"/>
  <c r="E61" i="6"/>
  <c r="H61" i="6" s="1"/>
  <c r="D61" i="6"/>
  <c r="K61" i="6" s="1"/>
  <c r="C61" i="6"/>
  <c r="Q61" i="6" s="1"/>
  <c r="Z61" i="6"/>
  <c r="S61" i="6"/>
  <c r="F61" i="6"/>
  <c r="J61" i="6"/>
  <c r="N59" i="6"/>
  <c r="G59" i="6" s="1"/>
  <c r="N60" i="6" l="1"/>
  <c r="G60" i="6" s="1"/>
  <c r="Z62" i="6"/>
  <c r="D62" i="6"/>
  <c r="K62" i="6" s="1"/>
  <c r="C62" i="6"/>
  <c r="Q62" i="6" s="1"/>
  <c r="E62" i="6"/>
  <c r="S62" i="6"/>
  <c r="B63" i="6"/>
  <c r="J62" i="6"/>
  <c r="F62" i="6"/>
  <c r="I59" i="6"/>
  <c r="I60" i="6"/>
  <c r="O61" i="6"/>
  <c r="P61" i="6" s="1"/>
  <c r="M61" i="6"/>
  <c r="L61" i="6"/>
  <c r="R61" i="6"/>
  <c r="S63" i="6" l="1"/>
  <c r="J63" i="6"/>
  <c r="E63" i="6"/>
  <c r="B64" i="6"/>
  <c r="D63" i="6"/>
  <c r="K63" i="6" s="1"/>
  <c r="C63" i="6"/>
  <c r="Q63" i="6" s="1"/>
  <c r="F63" i="6"/>
  <c r="Z63" i="6"/>
  <c r="N61" i="6"/>
  <c r="G61" i="6" s="1"/>
  <c r="O62" i="6"/>
  <c r="P62" i="6" s="1"/>
  <c r="M62" i="6"/>
  <c r="L62" i="6"/>
  <c r="H62" i="6"/>
  <c r="R62" i="6" s="1"/>
  <c r="I61" i="6"/>
  <c r="M63" i="6" l="1"/>
  <c r="O63" i="6"/>
  <c r="P63" i="6" s="1"/>
  <c r="L63" i="6"/>
  <c r="N62" i="6"/>
  <c r="G62" i="6" s="1"/>
  <c r="H63" i="6"/>
  <c r="R63" i="6" s="1"/>
  <c r="B65" i="6"/>
  <c r="E64" i="6"/>
  <c r="F64" i="6"/>
  <c r="C64" i="6"/>
  <c r="Q64" i="6" s="1"/>
  <c r="Z64" i="6"/>
  <c r="D64" i="6"/>
  <c r="K64" i="6" s="1"/>
  <c r="J64" i="6"/>
  <c r="S64" i="6"/>
  <c r="H64" i="6" l="1"/>
  <c r="R64" i="6" s="1"/>
  <c r="I62" i="6"/>
  <c r="M64" i="6"/>
  <c r="O64" i="6"/>
  <c r="P64" i="6" s="1"/>
  <c r="L64" i="6"/>
  <c r="J65" i="6"/>
  <c r="F65" i="6"/>
  <c r="E65" i="6"/>
  <c r="H65" i="6" s="1"/>
  <c r="B66" i="6"/>
  <c r="C65" i="6"/>
  <c r="Q65" i="6" s="1"/>
  <c r="Z65" i="6"/>
  <c r="D65" i="6"/>
  <c r="K65" i="6" s="1"/>
  <c r="S65" i="6"/>
  <c r="N63" i="6"/>
  <c r="G63" i="6" s="1"/>
  <c r="I63" i="6" l="1"/>
  <c r="R65" i="6"/>
  <c r="F66" i="6"/>
  <c r="E66" i="6"/>
  <c r="D66" i="6"/>
  <c r="K66" i="6" s="1"/>
  <c r="Z66" i="6"/>
  <c r="S66" i="6"/>
  <c r="J66" i="6"/>
  <c r="B67" i="6"/>
  <c r="C66" i="6"/>
  <c r="Q66" i="6" s="1"/>
  <c r="O65" i="6"/>
  <c r="P65" i="6" s="1"/>
  <c r="L65" i="6"/>
  <c r="M65" i="6"/>
  <c r="N64" i="6"/>
  <c r="G64" i="6" s="1"/>
  <c r="O66" i="6" l="1"/>
  <c r="P66" i="6" s="1"/>
  <c r="M66" i="6"/>
  <c r="L66" i="6"/>
  <c r="N65" i="6"/>
  <c r="G65" i="6" s="1"/>
  <c r="H66" i="6"/>
  <c r="R66" i="6" s="1"/>
  <c r="I64" i="6"/>
  <c r="Z67" i="6"/>
  <c r="D67" i="6"/>
  <c r="K67" i="6" s="1"/>
  <c r="F67" i="6"/>
  <c r="E67" i="6"/>
  <c r="H67" i="6" s="1"/>
  <c r="C67" i="6"/>
  <c r="Q67" i="6" s="1"/>
  <c r="S67" i="6"/>
  <c r="J67" i="6"/>
  <c r="B68" i="6"/>
  <c r="E68" i="6" l="1"/>
  <c r="D68" i="6"/>
  <c r="K68" i="6" s="1"/>
  <c r="B69" i="6"/>
  <c r="C68" i="6"/>
  <c r="Q68" i="6" s="1"/>
  <c r="S68" i="6"/>
  <c r="J68" i="6"/>
  <c r="F68" i="6"/>
  <c r="Z68" i="6"/>
  <c r="R67" i="6"/>
  <c r="I65" i="6"/>
  <c r="L67" i="6"/>
  <c r="O67" i="6"/>
  <c r="P67" i="6" s="1"/>
  <c r="M67" i="6"/>
  <c r="N66" i="6"/>
  <c r="G66" i="6" s="1"/>
  <c r="I66" i="6"/>
  <c r="N67" i="6" l="1"/>
  <c r="G67" i="6" s="1"/>
  <c r="F69" i="6"/>
  <c r="D69" i="6"/>
  <c r="K69" i="6" s="1"/>
  <c r="B70" i="6"/>
  <c r="C69" i="6"/>
  <c r="Q69" i="6" s="1"/>
  <c r="Z69" i="6"/>
  <c r="J69" i="6"/>
  <c r="E69" i="6"/>
  <c r="H69" i="6" s="1"/>
  <c r="S69" i="6"/>
  <c r="M68" i="6"/>
  <c r="L68" i="6"/>
  <c r="O68" i="6"/>
  <c r="P68" i="6" s="1"/>
  <c r="I67" i="6"/>
  <c r="H68" i="6"/>
  <c r="R68" i="6" s="1"/>
  <c r="R69" i="6" l="1"/>
  <c r="S70" i="6"/>
  <c r="C70" i="6"/>
  <c r="Q70" i="6" s="1"/>
  <c r="D70" i="6"/>
  <c r="K70" i="6" s="1"/>
  <c r="B71" i="6"/>
  <c r="Z70" i="6"/>
  <c r="J70" i="6"/>
  <c r="F70" i="6"/>
  <c r="E70" i="6"/>
  <c r="M69" i="6"/>
  <c r="L69" i="6"/>
  <c r="O69" i="6"/>
  <c r="P69" i="6" s="1"/>
  <c r="N68" i="6"/>
  <c r="G68" i="6" s="1"/>
  <c r="B72" i="6" l="1"/>
  <c r="C71" i="6"/>
  <c r="Q71" i="6" s="1"/>
  <c r="Z71" i="6"/>
  <c r="S71" i="6"/>
  <c r="J71" i="6"/>
  <c r="F71" i="6"/>
  <c r="E71" i="6"/>
  <c r="H71" i="6" s="1"/>
  <c r="D71" i="6"/>
  <c r="K71" i="6" s="1"/>
  <c r="M70" i="6"/>
  <c r="L70" i="6"/>
  <c r="O70" i="6"/>
  <c r="P70" i="6" s="1"/>
  <c r="N69" i="6"/>
  <c r="G69" i="6" s="1"/>
  <c r="H70" i="6"/>
  <c r="R70" i="6" s="1"/>
  <c r="I68" i="6"/>
  <c r="I69" i="6" l="1"/>
  <c r="R71" i="6"/>
  <c r="L71" i="6"/>
  <c r="O71" i="6"/>
  <c r="P71" i="6" s="1"/>
  <c r="M71" i="6"/>
  <c r="N70" i="6"/>
  <c r="G70" i="6" s="1"/>
  <c r="B73" i="6"/>
  <c r="E72" i="6"/>
  <c r="Z72" i="6"/>
  <c r="S72" i="6"/>
  <c r="J72" i="6"/>
  <c r="F72" i="6"/>
  <c r="C72" i="6"/>
  <c r="Q72" i="6" s="1"/>
  <c r="D72" i="6"/>
  <c r="K72" i="6" s="1"/>
  <c r="N71" i="6" l="1"/>
  <c r="G71" i="6" s="1"/>
  <c r="J73" i="6"/>
  <c r="Z73" i="6"/>
  <c r="S73" i="6"/>
  <c r="F73" i="6"/>
  <c r="E73" i="6"/>
  <c r="D73" i="6"/>
  <c r="K73" i="6" s="1"/>
  <c r="C73" i="6"/>
  <c r="Q73" i="6" s="1"/>
  <c r="B74" i="6"/>
  <c r="I70" i="6"/>
  <c r="M72" i="6"/>
  <c r="O72" i="6"/>
  <c r="P72" i="6" s="1"/>
  <c r="L72" i="6"/>
  <c r="H72" i="6"/>
  <c r="R72" i="6" s="1"/>
  <c r="H73" i="6" l="1"/>
  <c r="R73" i="6" s="1"/>
  <c r="I71" i="6"/>
  <c r="O73" i="6"/>
  <c r="P73" i="6" s="1"/>
  <c r="M73" i="6"/>
  <c r="L73" i="6"/>
  <c r="S74" i="6"/>
  <c r="J74" i="6"/>
  <c r="E74" i="6"/>
  <c r="D74" i="6"/>
  <c r="K74" i="6" s="1"/>
  <c r="F74" i="6"/>
  <c r="C74" i="6"/>
  <c r="Q74" i="6" s="1"/>
  <c r="Z74" i="6"/>
  <c r="B75" i="6"/>
  <c r="N72" i="6"/>
  <c r="G72" i="6" s="1"/>
  <c r="O74" i="6" l="1"/>
  <c r="P74" i="6" s="1"/>
  <c r="M74" i="6"/>
  <c r="L74" i="6"/>
  <c r="H74" i="6"/>
  <c r="I72" i="6"/>
  <c r="Z75" i="6"/>
  <c r="D75" i="6"/>
  <c r="K75" i="6" s="1"/>
  <c r="E75" i="6"/>
  <c r="H75" i="6" s="1"/>
  <c r="C75" i="6"/>
  <c r="Q75" i="6" s="1"/>
  <c r="S75" i="6"/>
  <c r="J75" i="6"/>
  <c r="B76" i="6"/>
  <c r="F75" i="6"/>
  <c r="N73" i="6"/>
  <c r="G73" i="6" s="1"/>
  <c r="R74" i="6"/>
  <c r="I73" i="6"/>
  <c r="L75" i="6" l="1"/>
  <c r="M75" i="6"/>
  <c r="N75" i="6" s="1"/>
  <c r="G75" i="6" s="1"/>
  <c r="O75" i="6"/>
  <c r="P75" i="6" s="1"/>
  <c r="I75" i="6" s="1"/>
  <c r="F76" i="6"/>
  <c r="D76" i="6"/>
  <c r="K76" i="6" s="1"/>
  <c r="B77" i="6"/>
  <c r="C76" i="6"/>
  <c r="Q76" i="6" s="1"/>
  <c r="R76" i="6" s="1"/>
  <c r="Z76" i="6"/>
  <c r="S76" i="6"/>
  <c r="J76" i="6"/>
  <c r="E76" i="6"/>
  <c r="H76" i="6" s="1"/>
  <c r="N74" i="6"/>
  <c r="G74" i="6" s="1"/>
  <c r="R75" i="6"/>
  <c r="I74" i="6"/>
  <c r="O76" i="6" l="1"/>
  <c r="P76" i="6" s="1"/>
  <c r="M76" i="6"/>
  <c r="L76" i="6"/>
  <c r="F77" i="6"/>
  <c r="E77" i="6"/>
  <c r="B78" i="6"/>
  <c r="C77" i="6"/>
  <c r="Q77" i="6" s="1"/>
  <c r="Z77" i="6"/>
  <c r="D77" i="6"/>
  <c r="K77" i="6" s="1"/>
  <c r="S77" i="6"/>
  <c r="J77" i="6"/>
  <c r="S78" i="6" l="1"/>
  <c r="C78" i="6"/>
  <c r="Q78" i="6" s="1"/>
  <c r="F78" i="6"/>
  <c r="E78" i="6"/>
  <c r="B79" i="6"/>
  <c r="Z78" i="6"/>
  <c r="J78" i="6"/>
  <c r="D78" i="6"/>
  <c r="K78" i="6" s="1"/>
  <c r="H77" i="6"/>
  <c r="R77" i="6"/>
  <c r="N76" i="6"/>
  <c r="G76" i="6" s="1"/>
  <c r="O77" i="6"/>
  <c r="P77" i="6" s="1"/>
  <c r="L77" i="6"/>
  <c r="M77" i="6"/>
  <c r="I76" i="6" l="1"/>
  <c r="H78" i="6"/>
  <c r="R78" i="6" s="1"/>
  <c r="O78" i="6"/>
  <c r="P78" i="6" s="1"/>
  <c r="L78" i="6"/>
  <c r="M78" i="6"/>
  <c r="N78" i="6" s="1"/>
  <c r="G78" i="6" s="1"/>
  <c r="N77" i="6"/>
  <c r="G77" i="6" s="1"/>
  <c r="F79" i="6"/>
  <c r="E79" i="6"/>
  <c r="D79" i="6"/>
  <c r="K79" i="6" s="1"/>
  <c r="Z79" i="6"/>
  <c r="S79" i="6"/>
  <c r="J79" i="6"/>
  <c r="C79" i="6"/>
  <c r="Q79" i="6" s="1"/>
  <c r="B80" i="6"/>
  <c r="H79" i="6" l="1"/>
  <c r="R79" i="6" s="1"/>
  <c r="I77" i="6"/>
  <c r="B81" i="6"/>
  <c r="E80" i="6"/>
  <c r="F80" i="6"/>
  <c r="D80" i="6"/>
  <c r="K80" i="6" s="1"/>
  <c r="C80" i="6"/>
  <c r="Q80" i="6" s="1"/>
  <c r="S80" i="6"/>
  <c r="J80" i="6"/>
  <c r="Z80" i="6"/>
  <c r="O79" i="6"/>
  <c r="P79" i="6" s="1"/>
  <c r="M79" i="6"/>
  <c r="L79" i="6"/>
  <c r="I78" i="6"/>
  <c r="H80" i="6" l="1"/>
  <c r="R80" i="6" s="1"/>
  <c r="M80" i="6"/>
  <c r="O80" i="6"/>
  <c r="P80" i="6" s="1"/>
  <c r="L80" i="6"/>
  <c r="J81" i="6"/>
  <c r="E81" i="6"/>
  <c r="D81" i="6"/>
  <c r="K81" i="6" s="1"/>
  <c r="B82" i="6"/>
  <c r="C81" i="6"/>
  <c r="Q81" i="6" s="1"/>
  <c r="S81" i="6"/>
  <c r="Z81" i="6"/>
  <c r="F81" i="6"/>
  <c r="N79" i="6"/>
  <c r="G79" i="6" s="1"/>
  <c r="H81" i="6" l="1"/>
  <c r="M81" i="6"/>
  <c r="L81" i="6"/>
  <c r="O81" i="6"/>
  <c r="P81" i="6" s="1"/>
  <c r="I79" i="6"/>
  <c r="R81" i="6"/>
  <c r="B83" i="6"/>
  <c r="D82" i="6"/>
  <c r="K82" i="6" s="1"/>
  <c r="C82" i="6"/>
  <c r="Q82" i="6" s="1"/>
  <c r="S82" i="6"/>
  <c r="F82" i="6"/>
  <c r="E82" i="6"/>
  <c r="H82" i="6" s="1"/>
  <c r="J82" i="6"/>
  <c r="Z82" i="6"/>
  <c r="N80" i="6"/>
  <c r="G80" i="6" s="1"/>
  <c r="Z83" i="6" l="1"/>
  <c r="D83" i="6"/>
  <c r="K83" i="6" s="1"/>
  <c r="J83" i="6"/>
  <c r="F83" i="6"/>
  <c r="E83" i="6"/>
  <c r="H83" i="6" s="1"/>
  <c r="C83" i="6"/>
  <c r="Q83" i="6" s="1"/>
  <c r="B84" i="6"/>
  <c r="S83" i="6"/>
  <c r="I80" i="6"/>
  <c r="R82" i="6"/>
  <c r="N81" i="6"/>
  <c r="G81" i="6" s="1"/>
  <c r="O82" i="6"/>
  <c r="P82" i="6" s="1"/>
  <c r="M82" i="6"/>
  <c r="L82" i="6"/>
  <c r="R83" i="6" l="1"/>
  <c r="S84" i="6"/>
  <c r="F84" i="6"/>
  <c r="E84" i="6"/>
  <c r="H84" i="6" s="1"/>
  <c r="C84" i="6"/>
  <c r="Q84" i="6" s="1"/>
  <c r="B85" i="6"/>
  <c r="Z84" i="6"/>
  <c r="D84" i="6"/>
  <c r="K84" i="6" s="1"/>
  <c r="J84" i="6"/>
  <c r="L83" i="6"/>
  <c r="O83" i="6"/>
  <c r="P83" i="6" s="1"/>
  <c r="M83" i="6"/>
  <c r="N83" i="6" s="1"/>
  <c r="G83" i="6" s="1"/>
  <c r="N82" i="6"/>
  <c r="G82" i="6" s="1"/>
  <c r="I81" i="6"/>
  <c r="R84" i="6" l="1"/>
  <c r="O84" i="6"/>
  <c r="P84" i="6" s="1"/>
  <c r="M84" i="6"/>
  <c r="L84" i="6"/>
  <c r="F85" i="6"/>
  <c r="Z85" i="6"/>
  <c r="D85" i="6"/>
  <c r="K85" i="6" s="1"/>
  <c r="B86" i="6"/>
  <c r="J85" i="6"/>
  <c r="S85" i="6"/>
  <c r="E85" i="6"/>
  <c r="H85" i="6" s="1"/>
  <c r="C85" i="6"/>
  <c r="Q85" i="6" s="1"/>
  <c r="R85" i="6" s="1"/>
  <c r="I83" i="6"/>
  <c r="I82" i="6"/>
  <c r="L85" i="6" l="1"/>
  <c r="O85" i="6"/>
  <c r="P85" i="6" s="1"/>
  <c r="M85" i="6"/>
  <c r="N84" i="6"/>
  <c r="G84" i="6" s="1"/>
  <c r="S86" i="6"/>
  <c r="C86" i="6"/>
  <c r="Q86" i="6" s="1"/>
  <c r="B87" i="6"/>
  <c r="J86" i="6"/>
  <c r="F86" i="6"/>
  <c r="E86" i="6"/>
  <c r="H86" i="6" s="1"/>
  <c r="D86" i="6"/>
  <c r="K86" i="6" s="1"/>
  <c r="Z86" i="6"/>
  <c r="R86" i="6" l="1"/>
  <c r="N85" i="6"/>
  <c r="G85" i="6" s="1"/>
  <c r="I84" i="6"/>
  <c r="F87" i="6"/>
  <c r="D87" i="6"/>
  <c r="K87" i="6" s="1"/>
  <c r="C87" i="6"/>
  <c r="Q87" i="6" s="1"/>
  <c r="Z87" i="6"/>
  <c r="J87" i="6"/>
  <c r="S87" i="6"/>
  <c r="B88" i="6"/>
  <c r="E87" i="6"/>
  <c r="I85" i="6"/>
  <c r="M86" i="6"/>
  <c r="L86" i="6"/>
  <c r="O86" i="6"/>
  <c r="P86" i="6" s="1"/>
  <c r="B89" i="6" l="1"/>
  <c r="E88" i="6"/>
  <c r="S88" i="6"/>
  <c r="C88" i="6"/>
  <c r="Q88" i="6" s="1"/>
  <c r="F88" i="6"/>
  <c r="D88" i="6"/>
  <c r="K88" i="6" s="1"/>
  <c r="J88" i="6"/>
  <c r="Z88" i="6"/>
  <c r="O87" i="6"/>
  <c r="P87" i="6" s="1"/>
  <c r="M87" i="6"/>
  <c r="L87" i="6"/>
  <c r="N86" i="6"/>
  <c r="G86" i="6" s="1"/>
  <c r="H87" i="6"/>
  <c r="R87" i="6" s="1"/>
  <c r="M88" i="6" l="1"/>
  <c r="O88" i="6"/>
  <c r="P88" i="6" s="1"/>
  <c r="L88" i="6"/>
  <c r="N87" i="6"/>
  <c r="G87" i="6" s="1"/>
  <c r="H88" i="6"/>
  <c r="R88" i="6" s="1"/>
  <c r="I87" i="6"/>
  <c r="I86" i="6"/>
  <c r="J89" i="6"/>
  <c r="Z89" i="6"/>
  <c r="S89" i="6"/>
  <c r="F89" i="6"/>
  <c r="D89" i="6"/>
  <c r="K89" i="6" s="1"/>
  <c r="C89" i="6"/>
  <c r="Q89" i="6" s="1"/>
  <c r="B90" i="6"/>
  <c r="E89" i="6"/>
  <c r="H89" i="6" s="1"/>
  <c r="R89" i="6" l="1"/>
  <c r="M89" i="6"/>
  <c r="O89" i="6"/>
  <c r="P89" i="6" s="1"/>
  <c r="L89" i="6"/>
  <c r="B91" i="6"/>
  <c r="E90" i="6"/>
  <c r="H90" i="6" s="1"/>
  <c r="Z90" i="6"/>
  <c r="J90" i="6"/>
  <c r="S90" i="6"/>
  <c r="F90" i="6"/>
  <c r="D90" i="6"/>
  <c r="K90" i="6" s="1"/>
  <c r="C90" i="6"/>
  <c r="Q90" i="6" s="1"/>
  <c r="N88" i="6"/>
  <c r="G88" i="6" s="1"/>
  <c r="R90" i="6" l="1"/>
  <c r="I88" i="6"/>
  <c r="Z91" i="6"/>
  <c r="D91" i="6"/>
  <c r="K91" i="6" s="1"/>
  <c r="S91" i="6"/>
  <c r="C91" i="6"/>
  <c r="Q91" i="6" s="1"/>
  <c r="J91" i="6"/>
  <c r="E91" i="6"/>
  <c r="H91" i="6" s="1"/>
  <c r="F91" i="6"/>
  <c r="B92" i="6"/>
  <c r="O90" i="6"/>
  <c r="P90" i="6" s="1"/>
  <c r="M90" i="6"/>
  <c r="L90" i="6"/>
  <c r="N89" i="6"/>
  <c r="G89" i="6" s="1"/>
  <c r="N90" i="6" l="1"/>
  <c r="G90" i="6" s="1"/>
  <c r="R91" i="6"/>
  <c r="L91" i="6"/>
  <c r="O91" i="6"/>
  <c r="P91" i="6" s="1"/>
  <c r="M91" i="6"/>
  <c r="N91" i="6" s="1"/>
  <c r="G91" i="6" s="1"/>
  <c r="I89" i="6"/>
  <c r="I90" i="6"/>
  <c r="B93" i="6"/>
  <c r="J92" i="6"/>
  <c r="Z92" i="6"/>
  <c r="F92" i="6"/>
  <c r="D92" i="6"/>
  <c r="K92" i="6" s="1"/>
  <c r="C92" i="6"/>
  <c r="Q92" i="6" s="1"/>
  <c r="R92" i="6" s="1"/>
  <c r="S92" i="6"/>
  <c r="E92" i="6"/>
  <c r="H92" i="6" s="1"/>
  <c r="I91" i="6" l="1"/>
  <c r="O92" i="6"/>
  <c r="P92" i="6" s="1"/>
  <c r="M92" i="6"/>
  <c r="L92" i="6"/>
  <c r="F93" i="6"/>
  <c r="B94" i="6"/>
  <c r="E93" i="6"/>
  <c r="Z93" i="6"/>
  <c r="D93" i="6"/>
  <c r="K93" i="6" s="1"/>
  <c r="C93" i="6"/>
  <c r="Q93" i="6" s="1"/>
  <c r="J93" i="6"/>
  <c r="S93" i="6"/>
  <c r="S94" i="6" l="1"/>
  <c r="C94" i="6"/>
  <c r="Q94" i="6" s="1"/>
  <c r="J94" i="6"/>
  <c r="B95" i="6"/>
  <c r="E94" i="6"/>
  <c r="D94" i="6"/>
  <c r="K94" i="6" s="1"/>
  <c r="Z94" i="6"/>
  <c r="F94" i="6"/>
  <c r="M93" i="6"/>
  <c r="L93" i="6"/>
  <c r="O93" i="6"/>
  <c r="P93" i="6" s="1"/>
  <c r="H93" i="6"/>
  <c r="R93" i="6" s="1"/>
  <c r="N92" i="6"/>
  <c r="G92" i="6" s="1"/>
  <c r="L94" i="6" l="1"/>
  <c r="O94" i="6"/>
  <c r="P94" i="6" s="1"/>
  <c r="M94" i="6"/>
  <c r="H94" i="6"/>
  <c r="R94" i="6" s="1"/>
  <c r="I92" i="6"/>
  <c r="F95" i="6"/>
  <c r="D95" i="6"/>
  <c r="K95" i="6" s="1"/>
  <c r="C95" i="6"/>
  <c r="Q95" i="6" s="1"/>
  <c r="B96" i="6"/>
  <c r="J95" i="6"/>
  <c r="Z95" i="6"/>
  <c r="E95" i="6"/>
  <c r="S95" i="6"/>
  <c r="N93" i="6"/>
  <c r="G93" i="6" s="1"/>
  <c r="H95" i="6" l="1"/>
  <c r="I93" i="6"/>
  <c r="B97" i="6"/>
  <c r="E96" i="6"/>
  <c r="Z96" i="6"/>
  <c r="D96" i="6"/>
  <c r="K96" i="6" s="1"/>
  <c r="S96" i="6"/>
  <c r="C96" i="6"/>
  <c r="Q96" i="6" s="1"/>
  <c r="J96" i="6"/>
  <c r="F96" i="6"/>
  <c r="N94" i="6"/>
  <c r="G94" i="6" s="1"/>
  <c r="R95" i="6"/>
  <c r="O95" i="6"/>
  <c r="P95" i="6" s="1"/>
  <c r="M95" i="6"/>
  <c r="L95" i="6"/>
  <c r="M96" i="6" l="1"/>
  <c r="L96" i="6"/>
  <c r="O96" i="6"/>
  <c r="P96" i="6" s="1"/>
  <c r="I94" i="6"/>
  <c r="H96" i="6"/>
  <c r="R96" i="6" s="1"/>
  <c r="N95" i="6"/>
  <c r="G95" i="6" s="1"/>
  <c r="J97" i="6"/>
  <c r="S97" i="6"/>
  <c r="E97" i="6"/>
  <c r="D97" i="6"/>
  <c r="K97" i="6" s="1"/>
  <c r="C97" i="6"/>
  <c r="Q97" i="6" s="1"/>
  <c r="B98" i="6"/>
  <c r="Z97" i="6"/>
  <c r="F97" i="6"/>
  <c r="F98" i="6" l="1"/>
  <c r="B99" i="6"/>
  <c r="E98" i="6"/>
  <c r="H98" i="6" s="1"/>
  <c r="J98" i="6"/>
  <c r="Z98" i="6"/>
  <c r="D98" i="6"/>
  <c r="K98" i="6" s="1"/>
  <c r="C98" i="6"/>
  <c r="Q98" i="6" s="1"/>
  <c r="S98" i="6"/>
  <c r="N96" i="6"/>
  <c r="G96" i="6" s="1"/>
  <c r="H97" i="6"/>
  <c r="R97" i="6" s="1"/>
  <c r="I95" i="6"/>
  <c r="O97" i="6"/>
  <c r="P97" i="6" s="1"/>
  <c r="L97" i="6"/>
  <c r="M97" i="6"/>
  <c r="O98" i="6" l="1"/>
  <c r="P98" i="6" s="1"/>
  <c r="M98" i="6"/>
  <c r="L98" i="6"/>
  <c r="N97" i="6"/>
  <c r="G97" i="6" s="1"/>
  <c r="R98" i="6"/>
  <c r="Z99" i="6"/>
  <c r="D99" i="6"/>
  <c r="K99" i="6" s="1"/>
  <c r="S99" i="6"/>
  <c r="C99" i="6"/>
  <c r="Q99" i="6" s="1"/>
  <c r="J99" i="6"/>
  <c r="F99" i="6"/>
  <c r="E99" i="6"/>
  <c r="B100" i="6"/>
  <c r="I96" i="6"/>
  <c r="L99" i="6" l="1"/>
  <c r="O99" i="6"/>
  <c r="P99" i="6" s="1"/>
  <c r="M99" i="6"/>
  <c r="N99" i="6" s="1"/>
  <c r="G99" i="6" s="1"/>
  <c r="I97" i="6"/>
  <c r="H99" i="6"/>
  <c r="R99" i="6"/>
  <c r="N98" i="6"/>
  <c r="G98" i="6" s="1"/>
  <c r="B101" i="6"/>
  <c r="J100" i="6"/>
  <c r="S100" i="6"/>
  <c r="E100" i="6"/>
  <c r="D100" i="6"/>
  <c r="K100" i="6" s="1"/>
  <c r="F100" i="6"/>
  <c r="C100" i="6"/>
  <c r="Q100" i="6" s="1"/>
  <c r="Z100" i="6"/>
  <c r="I98" i="6"/>
  <c r="F101" i="6" l="1"/>
  <c r="B102" i="6"/>
  <c r="E101" i="6"/>
  <c r="H101" i="6" s="1"/>
  <c r="Z101" i="6"/>
  <c r="D101" i="6"/>
  <c r="K101" i="6" s="1"/>
  <c r="C101" i="6"/>
  <c r="Q101" i="6" s="1"/>
  <c r="R101" i="6" s="1"/>
  <c r="J101" i="6"/>
  <c r="S101" i="6"/>
  <c r="O100" i="6"/>
  <c r="P100" i="6" s="1"/>
  <c r="L100" i="6"/>
  <c r="M100" i="6"/>
  <c r="N100" i="6" s="1"/>
  <c r="G100" i="6" s="1"/>
  <c r="I99" i="6"/>
  <c r="H100" i="6"/>
  <c r="R100" i="6" s="1"/>
  <c r="I100" i="6" l="1"/>
  <c r="M101" i="6"/>
  <c r="L101" i="6"/>
  <c r="O101" i="6"/>
  <c r="P101" i="6" s="1"/>
  <c r="S102" i="6"/>
  <c r="C102" i="6"/>
  <c r="Q102" i="6" s="1"/>
  <c r="J102" i="6"/>
  <c r="Z102" i="6"/>
  <c r="F102" i="6"/>
  <c r="E102" i="6"/>
  <c r="D102" i="6"/>
  <c r="K102" i="6" s="1"/>
  <c r="B103" i="6"/>
  <c r="F103" i="6" l="1"/>
  <c r="S103" i="6"/>
  <c r="E103" i="6"/>
  <c r="H103" i="6" s="1"/>
  <c r="D103" i="6"/>
  <c r="K103" i="6" s="1"/>
  <c r="C103" i="6"/>
  <c r="Q103" i="6" s="1"/>
  <c r="R103" i="6" s="1"/>
  <c r="Z103" i="6"/>
  <c r="J103" i="6"/>
  <c r="B104" i="6"/>
  <c r="M102" i="6"/>
  <c r="L102" i="6"/>
  <c r="O102" i="6"/>
  <c r="P102" i="6" s="1"/>
  <c r="H102" i="6"/>
  <c r="R102" i="6" s="1"/>
  <c r="N101" i="6"/>
  <c r="G101" i="6" s="1"/>
  <c r="O103" i="6" l="1"/>
  <c r="P103" i="6" s="1"/>
  <c r="L103" i="6"/>
  <c r="M103" i="6"/>
  <c r="N102" i="6"/>
  <c r="G102" i="6" s="1"/>
  <c r="I101" i="6"/>
  <c r="B105" i="6"/>
  <c r="E104" i="6"/>
  <c r="Z104" i="6"/>
  <c r="D104" i="6"/>
  <c r="K104" i="6" s="1"/>
  <c r="S104" i="6"/>
  <c r="C104" i="6"/>
  <c r="Q104" i="6" s="1"/>
  <c r="J104" i="6"/>
  <c r="F104" i="6"/>
  <c r="N103" i="6" l="1"/>
  <c r="G103" i="6" s="1"/>
  <c r="H104" i="6"/>
  <c r="R104" i="6" s="1"/>
  <c r="J105" i="6"/>
  <c r="Z105" i="6"/>
  <c r="F105" i="6"/>
  <c r="S105" i="6"/>
  <c r="E105" i="6"/>
  <c r="D105" i="6"/>
  <c r="K105" i="6" s="1"/>
  <c r="B106" i="6"/>
  <c r="C105" i="6"/>
  <c r="Q105" i="6" s="1"/>
  <c r="I103" i="6"/>
  <c r="M104" i="6"/>
  <c r="L104" i="6"/>
  <c r="O104" i="6"/>
  <c r="P104" i="6" s="1"/>
  <c r="I102" i="6"/>
  <c r="H105" i="6" l="1"/>
  <c r="R105" i="6" s="1"/>
  <c r="N104" i="6"/>
  <c r="G104" i="6" s="1"/>
  <c r="F106" i="6"/>
  <c r="B107" i="6"/>
  <c r="E106" i="6"/>
  <c r="H106" i="6" s="1"/>
  <c r="J106" i="6"/>
  <c r="S106" i="6"/>
  <c r="D106" i="6"/>
  <c r="K106" i="6" s="1"/>
  <c r="Z106" i="6"/>
  <c r="C106" i="6"/>
  <c r="Q106" i="6" s="1"/>
  <c r="O105" i="6"/>
  <c r="P105" i="6" s="1"/>
  <c r="M105" i="6"/>
  <c r="L105" i="6"/>
  <c r="R106" i="6" l="1"/>
  <c r="N105" i="6"/>
  <c r="G105" i="6" s="1"/>
  <c r="Z107" i="6"/>
  <c r="D107" i="6"/>
  <c r="K107" i="6" s="1"/>
  <c r="S107" i="6"/>
  <c r="C107" i="6"/>
  <c r="Q107" i="6" s="1"/>
  <c r="J107" i="6"/>
  <c r="B108" i="6"/>
  <c r="F107" i="6"/>
  <c r="E107" i="6"/>
  <c r="H107" i="6" s="1"/>
  <c r="O106" i="6"/>
  <c r="P106" i="6" s="1"/>
  <c r="M106" i="6"/>
  <c r="L106" i="6"/>
  <c r="I104" i="6"/>
  <c r="L107" i="6" l="1"/>
  <c r="M107" i="6"/>
  <c r="N107" i="6" s="1"/>
  <c r="G107" i="6" s="1"/>
  <c r="O107" i="6"/>
  <c r="P107" i="6" s="1"/>
  <c r="R107" i="6"/>
  <c r="N106" i="6"/>
  <c r="G106" i="6" s="1"/>
  <c r="Z108" i="6"/>
  <c r="F108" i="6"/>
  <c r="S108" i="6"/>
  <c r="E108" i="6"/>
  <c r="B109" i="6"/>
  <c r="J108" i="6"/>
  <c r="C108" i="6"/>
  <c r="Q108" i="6" s="1"/>
  <c r="D108" i="6"/>
  <c r="K108" i="6" s="1"/>
  <c r="I105" i="6"/>
  <c r="I106" i="6" l="1"/>
  <c r="I107" i="6"/>
  <c r="O108" i="6"/>
  <c r="P108" i="6" s="1"/>
  <c r="M108" i="6"/>
  <c r="L108" i="6"/>
  <c r="F109" i="6"/>
  <c r="B110" i="6"/>
  <c r="E109" i="6"/>
  <c r="H109" i="6" s="1"/>
  <c r="Z109" i="6"/>
  <c r="D109" i="6"/>
  <c r="K109" i="6" s="1"/>
  <c r="S109" i="6"/>
  <c r="C109" i="6"/>
  <c r="Q109" i="6" s="1"/>
  <c r="J109" i="6"/>
  <c r="H108" i="6"/>
  <c r="R108" i="6" s="1"/>
  <c r="S110" i="6" l="1"/>
  <c r="C110" i="6"/>
  <c r="Q110" i="6" s="1"/>
  <c r="J110" i="6"/>
  <c r="B111" i="6"/>
  <c r="Z110" i="6"/>
  <c r="F110" i="6"/>
  <c r="E110" i="6"/>
  <c r="H110" i="6" s="1"/>
  <c r="D110" i="6"/>
  <c r="K110" i="6" s="1"/>
  <c r="R109" i="6"/>
  <c r="N108" i="6"/>
  <c r="G108" i="6" s="1"/>
  <c r="M109" i="6"/>
  <c r="L109" i="6"/>
  <c r="O109" i="6"/>
  <c r="P109" i="6" s="1"/>
  <c r="M110" i="6" l="1"/>
  <c r="L110" i="6"/>
  <c r="O110" i="6"/>
  <c r="P110" i="6" s="1"/>
  <c r="N109" i="6"/>
  <c r="G109" i="6" s="1"/>
  <c r="F111" i="6"/>
  <c r="Z111" i="6"/>
  <c r="S111" i="6"/>
  <c r="E111" i="6"/>
  <c r="D111" i="6"/>
  <c r="K111" i="6" s="1"/>
  <c r="C111" i="6"/>
  <c r="Q111" i="6" s="1"/>
  <c r="J111" i="6"/>
  <c r="B112" i="6"/>
  <c r="I108" i="6"/>
  <c r="R110" i="6"/>
  <c r="B113" i="6" l="1"/>
  <c r="E112" i="6"/>
  <c r="Z112" i="6"/>
  <c r="D112" i="6"/>
  <c r="K112" i="6" s="1"/>
  <c r="S112" i="6"/>
  <c r="C112" i="6"/>
  <c r="Q112" i="6" s="1"/>
  <c r="J112" i="6"/>
  <c r="F112" i="6"/>
  <c r="O111" i="6"/>
  <c r="P111" i="6" s="1"/>
  <c r="M111" i="6"/>
  <c r="L111" i="6"/>
  <c r="N110" i="6"/>
  <c r="G110" i="6" s="1"/>
  <c r="H111" i="6"/>
  <c r="R111" i="6" s="1"/>
  <c r="I109" i="6"/>
  <c r="M112" i="6" l="1"/>
  <c r="L112" i="6"/>
  <c r="O112" i="6"/>
  <c r="P112" i="6" s="1"/>
  <c r="N111" i="6"/>
  <c r="G111" i="6" s="1"/>
  <c r="I110" i="6"/>
  <c r="H112" i="6"/>
  <c r="R112" i="6" s="1"/>
  <c r="J113" i="6"/>
  <c r="B114" i="6"/>
  <c r="Z113" i="6"/>
  <c r="F113" i="6"/>
  <c r="S113" i="6"/>
  <c r="E113" i="6"/>
  <c r="H113" i="6" s="1"/>
  <c r="C113" i="6"/>
  <c r="Q113" i="6" s="1"/>
  <c r="D113" i="6"/>
  <c r="K113" i="6" s="1"/>
  <c r="N112" i="6" l="1"/>
  <c r="G112" i="6" s="1"/>
  <c r="R113" i="6"/>
  <c r="M113" i="6"/>
  <c r="O113" i="6"/>
  <c r="P113" i="6" s="1"/>
  <c r="L113" i="6"/>
  <c r="I111" i="6"/>
  <c r="I112" i="6"/>
  <c r="F114" i="6"/>
  <c r="B115" i="6"/>
  <c r="E114" i="6"/>
  <c r="Z114" i="6"/>
  <c r="S114" i="6"/>
  <c r="C114" i="6"/>
  <c r="Q114" i="6" s="1"/>
  <c r="J114" i="6"/>
  <c r="D114" i="6"/>
  <c r="K114" i="6" s="1"/>
  <c r="Z115" i="6" l="1"/>
  <c r="D115" i="6"/>
  <c r="K115" i="6" s="1"/>
  <c r="S115" i="6"/>
  <c r="C115" i="6"/>
  <c r="Q115" i="6" s="1"/>
  <c r="J115" i="6"/>
  <c r="B116" i="6"/>
  <c r="F115" i="6"/>
  <c r="E115" i="6"/>
  <c r="O114" i="6"/>
  <c r="P114" i="6" s="1"/>
  <c r="M114" i="6"/>
  <c r="L114" i="6"/>
  <c r="N113" i="6"/>
  <c r="G113" i="6" s="1"/>
  <c r="H114" i="6"/>
  <c r="R114" i="6" s="1"/>
  <c r="N114" i="6" l="1"/>
  <c r="G114" i="6" s="1"/>
  <c r="I113" i="6"/>
  <c r="C116" i="6"/>
  <c r="Q116" i="6" s="1"/>
  <c r="B117" i="6"/>
  <c r="J116" i="6"/>
  <c r="Z116" i="6"/>
  <c r="F116" i="6"/>
  <c r="E116" i="6"/>
  <c r="D116" i="6"/>
  <c r="K116" i="6" s="1"/>
  <c r="S116" i="6"/>
  <c r="H115" i="6"/>
  <c r="R115" i="6" s="1"/>
  <c r="L115" i="6"/>
  <c r="O115" i="6"/>
  <c r="P115" i="6" s="1"/>
  <c r="M115" i="6"/>
  <c r="N115" i="6" s="1"/>
  <c r="G115" i="6" s="1"/>
  <c r="I114" i="6"/>
  <c r="H116" i="6" l="1"/>
  <c r="I115" i="6"/>
  <c r="R116" i="6"/>
  <c r="F117" i="6"/>
  <c r="B118" i="6"/>
  <c r="E117" i="6"/>
  <c r="H117" i="6" s="1"/>
  <c r="Z117" i="6"/>
  <c r="D117" i="6"/>
  <c r="K117" i="6" s="1"/>
  <c r="S117" i="6"/>
  <c r="J117" i="6"/>
  <c r="C117" i="6"/>
  <c r="Q117" i="6" s="1"/>
  <c r="O116" i="6"/>
  <c r="P116" i="6" s="1"/>
  <c r="M116" i="6"/>
  <c r="L116" i="6"/>
  <c r="M117" i="6" l="1"/>
  <c r="L117" i="6"/>
  <c r="O117" i="6"/>
  <c r="P117" i="6" s="1"/>
  <c r="N116" i="6"/>
  <c r="G116" i="6" s="1"/>
  <c r="S118" i="6"/>
  <c r="C118" i="6"/>
  <c r="Q118" i="6" s="1"/>
  <c r="J118" i="6"/>
  <c r="D118" i="6"/>
  <c r="K118" i="6" s="1"/>
  <c r="B119" i="6"/>
  <c r="F118" i="6"/>
  <c r="E118" i="6"/>
  <c r="H118" i="6" s="1"/>
  <c r="Z118" i="6"/>
  <c r="R117" i="6"/>
  <c r="O118" i="6" l="1"/>
  <c r="P118" i="6" s="1"/>
  <c r="M118" i="6"/>
  <c r="L118" i="6"/>
  <c r="R118" i="6"/>
  <c r="I116" i="6"/>
  <c r="F119" i="6"/>
  <c r="B120" i="6"/>
  <c r="J119" i="6"/>
  <c r="Z119" i="6"/>
  <c r="S119" i="6"/>
  <c r="E119" i="6"/>
  <c r="C119" i="6"/>
  <c r="Q119" i="6" s="1"/>
  <c r="D119" i="6"/>
  <c r="K119" i="6" s="1"/>
  <c r="N117" i="6"/>
  <c r="G117" i="6" s="1"/>
  <c r="B121" i="6" l="1"/>
  <c r="E120" i="6"/>
  <c r="Z120" i="6"/>
  <c r="D120" i="6"/>
  <c r="K120" i="6" s="1"/>
  <c r="S120" i="6"/>
  <c r="C120" i="6"/>
  <c r="Q120" i="6" s="1"/>
  <c r="J120" i="6"/>
  <c r="F120" i="6"/>
  <c r="H119" i="6"/>
  <c r="R119" i="6" s="1"/>
  <c r="N118" i="6"/>
  <c r="G118" i="6" s="1"/>
  <c r="O119" i="6"/>
  <c r="P119" i="6" s="1"/>
  <c r="M119" i="6"/>
  <c r="L119" i="6"/>
  <c r="I117" i="6"/>
  <c r="I118" i="6"/>
  <c r="N119" i="6" l="1"/>
  <c r="G119" i="6" s="1"/>
  <c r="H120" i="6"/>
  <c r="R120" i="6" s="1"/>
  <c r="M120" i="6"/>
  <c r="L120" i="6"/>
  <c r="O120" i="6"/>
  <c r="P120" i="6" s="1"/>
  <c r="I119" i="6"/>
  <c r="J121" i="6"/>
  <c r="F121" i="6"/>
  <c r="B122" i="6"/>
  <c r="E121" i="6"/>
  <c r="H121" i="6" s="1"/>
  <c r="Z121" i="6"/>
  <c r="S121" i="6"/>
  <c r="D121" i="6"/>
  <c r="K121" i="6" s="1"/>
  <c r="C121" i="6"/>
  <c r="Q121" i="6" s="1"/>
  <c r="F122" i="6" l="1"/>
  <c r="B123" i="6"/>
  <c r="E122" i="6"/>
  <c r="H122" i="6" s="1"/>
  <c r="Z122" i="6"/>
  <c r="D122" i="6"/>
  <c r="K122" i="6" s="1"/>
  <c r="J122" i="6"/>
  <c r="S122" i="6"/>
  <c r="C122" i="6"/>
  <c r="Q122" i="6" s="1"/>
  <c r="R122" i="6" s="1"/>
  <c r="R121" i="6"/>
  <c r="O121" i="6"/>
  <c r="P121" i="6" s="1"/>
  <c r="M121" i="6"/>
  <c r="L121" i="6"/>
  <c r="N120" i="6"/>
  <c r="G120" i="6" s="1"/>
  <c r="O122" i="6" l="1"/>
  <c r="P122" i="6" s="1"/>
  <c r="M122" i="6"/>
  <c r="L122" i="6"/>
  <c r="N121" i="6"/>
  <c r="G121" i="6" s="1"/>
  <c r="I120" i="6"/>
  <c r="Z123" i="6"/>
  <c r="D123" i="6"/>
  <c r="K123" i="6" s="1"/>
  <c r="S123" i="6"/>
  <c r="C123" i="6"/>
  <c r="Q123" i="6" s="1"/>
  <c r="J123" i="6"/>
  <c r="F123" i="6"/>
  <c r="B124" i="6"/>
  <c r="E123" i="6"/>
  <c r="I121" i="6" l="1"/>
  <c r="H123" i="6"/>
  <c r="L123" i="6"/>
  <c r="O123" i="6"/>
  <c r="P123" i="6" s="1"/>
  <c r="M123" i="6"/>
  <c r="N123" i="6" s="1"/>
  <c r="G123" i="6" s="1"/>
  <c r="F124" i="6"/>
  <c r="B125" i="6"/>
  <c r="E124" i="6"/>
  <c r="H124" i="6" s="1"/>
  <c r="Z124" i="6"/>
  <c r="D124" i="6"/>
  <c r="K124" i="6" s="1"/>
  <c r="S124" i="6"/>
  <c r="C124" i="6"/>
  <c r="Q124" i="6" s="1"/>
  <c r="J124" i="6"/>
  <c r="N122" i="6"/>
  <c r="G122" i="6" s="1"/>
  <c r="R123" i="6"/>
  <c r="I122" i="6" l="1"/>
  <c r="S125" i="6"/>
  <c r="F125" i="6"/>
  <c r="E125" i="6"/>
  <c r="H125" i="6" s="1"/>
  <c r="B126" i="6"/>
  <c r="D125" i="6"/>
  <c r="K125" i="6" s="1"/>
  <c r="Z125" i="6"/>
  <c r="C125" i="6"/>
  <c r="Q125" i="6" s="1"/>
  <c r="R125" i="6" s="1"/>
  <c r="J125" i="6"/>
  <c r="R124" i="6"/>
  <c r="I123" i="6"/>
  <c r="O124" i="6"/>
  <c r="P124" i="6" s="1"/>
  <c r="M124" i="6"/>
  <c r="L124" i="6"/>
  <c r="M125" i="6" l="1"/>
  <c r="L125" i="6"/>
  <c r="O125" i="6"/>
  <c r="P125" i="6" s="1"/>
  <c r="N124" i="6"/>
  <c r="G124" i="6" s="1"/>
  <c r="D126" i="6"/>
  <c r="K126" i="6" s="1"/>
  <c r="C126" i="6"/>
  <c r="Q126" i="6" s="1"/>
  <c r="B127" i="6"/>
  <c r="Z126" i="6"/>
  <c r="S126" i="6"/>
  <c r="J126" i="6"/>
  <c r="E126" i="6"/>
  <c r="F126" i="6"/>
  <c r="I124" i="6" l="1"/>
  <c r="B128" i="6"/>
  <c r="E127" i="6"/>
  <c r="Z127" i="6"/>
  <c r="D127" i="6"/>
  <c r="K127" i="6" s="1"/>
  <c r="F127" i="6"/>
  <c r="C127" i="6"/>
  <c r="Q127" i="6" s="1"/>
  <c r="J127" i="6"/>
  <c r="S127" i="6"/>
  <c r="O126" i="6"/>
  <c r="P126" i="6" s="1"/>
  <c r="M126" i="6"/>
  <c r="L126" i="6"/>
  <c r="H126" i="6"/>
  <c r="R126" i="6" s="1"/>
  <c r="N125" i="6"/>
  <c r="G125" i="6" s="1"/>
  <c r="M127" i="6" l="1"/>
  <c r="L127" i="6"/>
  <c r="O127" i="6"/>
  <c r="P127" i="6" s="1"/>
  <c r="H127" i="6"/>
  <c r="R127" i="6" s="1"/>
  <c r="B129" i="6"/>
  <c r="E128" i="6"/>
  <c r="J128" i="6"/>
  <c r="F128" i="6"/>
  <c r="D128" i="6"/>
  <c r="K128" i="6" s="1"/>
  <c r="C128" i="6"/>
  <c r="Q128" i="6" s="1"/>
  <c r="Z128" i="6"/>
  <c r="S128" i="6"/>
  <c r="I125" i="6"/>
  <c r="N126" i="6"/>
  <c r="G126" i="6" s="1"/>
  <c r="H128" i="6" l="1"/>
  <c r="S129" i="6"/>
  <c r="C129" i="6"/>
  <c r="Q129" i="6" s="1"/>
  <c r="J129" i="6"/>
  <c r="F129" i="6"/>
  <c r="B130" i="6"/>
  <c r="E129" i="6"/>
  <c r="H129" i="6" s="1"/>
  <c r="Z129" i="6"/>
  <c r="D129" i="6"/>
  <c r="K129" i="6" s="1"/>
  <c r="I126" i="6"/>
  <c r="R128" i="6"/>
  <c r="M128" i="6"/>
  <c r="L128" i="6"/>
  <c r="O128" i="6"/>
  <c r="P128" i="6" s="1"/>
  <c r="N127" i="6"/>
  <c r="G127" i="6" s="1"/>
  <c r="N128" i="6" l="1"/>
  <c r="G128" i="6" s="1"/>
  <c r="Z130" i="6"/>
  <c r="D130" i="6"/>
  <c r="K130" i="6" s="1"/>
  <c r="S130" i="6"/>
  <c r="C130" i="6"/>
  <c r="Q130" i="6" s="1"/>
  <c r="F130" i="6"/>
  <c r="B131" i="6"/>
  <c r="E130" i="6"/>
  <c r="J130" i="6"/>
  <c r="R129" i="6"/>
  <c r="I127" i="6"/>
  <c r="O129" i="6"/>
  <c r="P129" i="6" s="1"/>
  <c r="M129" i="6"/>
  <c r="L129" i="6"/>
  <c r="H130" i="6" l="1"/>
  <c r="I128" i="6"/>
  <c r="B132" i="6"/>
  <c r="E131" i="6"/>
  <c r="Z131" i="6"/>
  <c r="D131" i="6"/>
  <c r="K131" i="6" s="1"/>
  <c r="S131" i="6"/>
  <c r="C131" i="6"/>
  <c r="Q131" i="6" s="1"/>
  <c r="J131" i="6"/>
  <c r="F131" i="6"/>
  <c r="N129" i="6"/>
  <c r="G129" i="6" s="1"/>
  <c r="O130" i="6"/>
  <c r="P130" i="6" s="1"/>
  <c r="L130" i="6"/>
  <c r="M130" i="6"/>
  <c r="R130" i="6"/>
  <c r="I129" i="6"/>
  <c r="N130" i="6" l="1"/>
  <c r="G130" i="6" s="1"/>
  <c r="H131" i="6"/>
  <c r="R131" i="6" s="1"/>
  <c r="M131" i="6"/>
  <c r="L131" i="6"/>
  <c r="O131" i="6"/>
  <c r="P131" i="6" s="1"/>
  <c r="I130" i="6"/>
  <c r="J132" i="6"/>
  <c r="F132" i="6"/>
  <c r="B133" i="6"/>
  <c r="E132" i="6"/>
  <c r="Z132" i="6"/>
  <c r="S132" i="6"/>
  <c r="C132" i="6"/>
  <c r="Q132" i="6" s="1"/>
  <c r="D132" i="6"/>
  <c r="K132" i="6" s="1"/>
  <c r="M132" i="6" l="1"/>
  <c r="O132" i="6"/>
  <c r="P132" i="6" s="1"/>
  <c r="L132" i="6"/>
  <c r="N131" i="6"/>
  <c r="G131" i="6" s="1"/>
  <c r="H132" i="6"/>
  <c r="R132" i="6" s="1"/>
  <c r="F133" i="6"/>
  <c r="S133" i="6"/>
  <c r="C133" i="6"/>
  <c r="Q133" i="6" s="1"/>
  <c r="J133" i="6"/>
  <c r="E133" i="6"/>
  <c r="D133" i="6"/>
  <c r="K133" i="6" s="1"/>
  <c r="B134" i="6"/>
  <c r="Z133" i="6"/>
  <c r="O133" i="6" l="1"/>
  <c r="P133" i="6" s="1"/>
  <c r="M133" i="6"/>
  <c r="L133" i="6"/>
  <c r="I131" i="6"/>
  <c r="Z134" i="6"/>
  <c r="D134" i="6"/>
  <c r="K134" i="6" s="1"/>
  <c r="S134" i="6"/>
  <c r="C134" i="6"/>
  <c r="Q134" i="6" s="1"/>
  <c r="R134" i="6" s="1"/>
  <c r="J134" i="6"/>
  <c r="F134" i="6"/>
  <c r="B135" i="6"/>
  <c r="E134" i="6"/>
  <c r="H134" i="6" s="1"/>
  <c r="H133" i="6"/>
  <c r="R133" i="6" s="1"/>
  <c r="N132" i="6"/>
  <c r="G132" i="6" s="1"/>
  <c r="L134" i="6" l="1"/>
  <c r="O134" i="6"/>
  <c r="P134" i="6" s="1"/>
  <c r="M134" i="6"/>
  <c r="N134" i="6" s="1"/>
  <c r="G134" i="6" s="1"/>
  <c r="I132" i="6"/>
  <c r="B136" i="6"/>
  <c r="E135" i="6"/>
  <c r="H135" i="6" s="1"/>
  <c r="Z135" i="6"/>
  <c r="D135" i="6"/>
  <c r="K135" i="6" s="1"/>
  <c r="F135" i="6"/>
  <c r="S135" i="6"/>
  <c r="C135" i="6"/>
  <c r="Q135" i="6" s="1"/>
  <c r="J135" i="6"/>
  <c r="N133" i="6"/>
  <c r="G133" i="6" s="1"/>
  <c r="I133" i="6" l="1"/>
  <c r="R135" i="6"/>
  <c r="M135" i="6"/>
  <c r="L135" i="6"/>
  <c r="O135" i="6"/>
  <c r="P135" i="6" s="1"/>
  <c r="F136" i="6"/>
  <c r="B137" i="6"/>
  <c r="E136" i="6"/>
  <c r="H136" i="6" s="1"/>
  <c r="J136" i="6"/>
  <c r="Z136" i="6"/>
  <c r="D136" i="6"/>
  <c r="K136" i="6" s="1"/>
  <c r="S136" i="6"/>
  <c r="C136" i="6"/>
  <c r="Q136" i="6" s="1"/>
  <c r="I134" i="6"/>
  <c r="R136" i="6" l="1"/>
  <c r="S137" i="6"/>
  <c r="C137" i="6"/>
  <c r="Q137" i="6" s="1"/>
  <c r="J137" i="6"/>
  <c r="F137" i="6"/>
  <c r="B138" i="6"/>
  <c r="D137" i="6"/>
  <c r="K137" i="6" s="1"/>
  <c r="Z137" i="6"/>
  <c r="E137" i="6"/>
  <c r="M136" i="6"/>
  <c r="O136" i="6"/>
  <c r="P136" i="6" s="1"/>
  <c r="L136" i="6"/>
  <c r="N135" i="6"/>
  <c r="G135" i="6" s="1"/>
  <c r="O137" i="6" l="1"/>
  <c r="P137" i="6" s="1"/>
  <c r="M137" i="6"/>
  <c r="L137" i="6"/>
  <c r="N136" i="6"/>
  <c r="G136" i="6" s="1"/>
  <c r="Z138" i="6"/>
  <c r="D138" i="6"/>
  <c r="K138" i="6" s="1"/>
  <c r="S138" i="6"/>
  <c r="C138" i="6"/>
  <c r="Q138" i="6" s="1"/>
  <c r="J138" i="6"/>
  <c r="F138" i="6"/>
  <c r="E138" i="6"/>
  <c r="H138" i="6" s="1"/>
  <c r="B139" i="6"/>
  <c r="H137" i="6"/>
  <c r="R137" i="6" s="1"/>
  <c r="I135" i="6"/>
  <c r="I136" i="6" l="1"/>
  <c r="N137" i="6"/>
  <c r="G137" i="6" s="1"/>
  <c r="O138" i="6"/>
  <c r="P138" i="6" s="1"/>
  <c r="L138" i="6"/>
  <c r="M138" i="6"/>
  <c r="R138" i="6"/>
  <c r="B140" i="6"/>
  <c r="E139" i="6"/>
  <c r="Z139" i="6"/>
  <c r="D139" i="6"/>
  <c r="K139" i="6" s="1"/>
  <c r="J139" i="6"/>
  <c r="F139" i="6"/>
  <c r="S139" i="6"/>
  <c r="C139" i="6"/>
  <c r="Q139" i="6" s="1"/>
  <c r="I137" i="6" l="1"/>
  <c r="H139" i="6"/>
  <c r="R139" i="6" s="1"/>
  <c r="N138" i="6"/>
  <c r="G138" i="6" s="1"/>
  <c r="M139" i="6"/>
  <c r="L139" i="6"/>
  <c r="O139" i="6"/>
  <c r="P139" i="6" s="1"/>
  <c r="J140" i="6"/>
  <c r="F140" i="6"/>
  <c r="B141" i="6"/>
  <c r="E140" i="6"/>
  <c r="H140" i="6" s="1"/>
  <c r="Z140" i="6"/>
  <c r="D140" i="6"/>
  <c r="K140" i="6" s="1"/>
  <c r="S140" i="6"/>
  <c r="C140" i="6"/>
  <c r="Q140" i="6" s="1"/>
  <c r="I138" i="6"/>
  <c r="F141" i="6" l="1"/>
  <c r="S141" i="6"/>
  <c r="C141" i="6"/>
  <c r="Q141" i="6" s="1"/>
  <c r="J141" i="6"/>
  <c r="B142" i="6"/>
  <c r="E141" i="6"/>
  <c r="H141" i="6" s="1"/>
  <c r="Z141" i="6"/>
  <c r="D141" i="6"/>
  <c r="K141" i="6" s="1"/>
  <c r="M140" i="6"/>
  <c r="O140" i="6"/>
  <c r="P140" i="6" s="1"/>
  <c r="L140" i="6"/>
  <c r="N139" i="6"/>
  <c r="G139" i="6" s="1"/>
  <c r="R140" i="6"/>
  <c r="Z142" i="6" l="1"/>
  <c r="D142" i="6"/>
  <c r="K142" i="6" s="1"/>
  <c r="S142" i="6"/>
  <c r="C142" i="6"/>
  <c r="Q142" i="6" s="1"/>
  <c r="B143" i="6"/>
  <c r="J142" i="6"/>
  <c r="F142" i="6"/>
  <c r="E142" i="6"/>
  <c r="H142" i="6" s="1"/>
  <c r="O141" i="6"/>
  <c r="P141" i="6" s="1"/>
  <c r="M141" i="6"/>
  <c r="L141" i="6"/>
  <c r="R141" i="6"/>
  <c r="N140" i="6"/>
  <c r="G140" i="6" s="1"/>
  <c r="I139" i="6"/>
  <c r="B144" i="6" l="1"/>
  <c r="E143" i="6"/>
  <c r="Z143" i="6"/>
  <c r="D143" i="6"/>
  <c r="K143" i="6" s="1"/>
  <c r="J143" i="6"/>
  <c r="F143" i="6"/>
  <c r="C143" i="6"/>
  <c r="Q143" i="6" s="1"/>
  <c r="S143" i="6"/>
  <c r="L142" i="6"/>
  <c r="O142" i="6"/>
  <c r="P142" i="6" s="1"/>
  <c r="M142" i="6"/>
  <c r="N142" i="6" s="1"/>
  <c r="G142" i="6" s="1"/>
  <c r="R142" i="6"/>
  <c r="N141" i="6"/>
  <c r="G141" i="6" s="1"/>
  <c r="I140" i="6"/>
  <c r="I141" i="6" l="1"/>
  <c r="H143" i="6"/>
  <c r="R143" i="6" s="1"/>
  <c r="M143" i="6"/>
  <c r="L143" i="6"/>
  <c r="O143" i="6"/>
  <c r="P143" i="6" s="1"/>
  <c r="I142" i="6"/>
  <c r="F144" i="6"/>
  <c r="B145" i="6"/>
  <c r="E144" i="6"/>
  <c r="J144" i="6"/>
  <c r="Z144" i="6"/>
  <c r="S144" i="6"/>
  <c r="D144" i="6"/>
  <c r="K144" i="6" s="1"/>
  <c r="C144" i="6"/>
  <c r="Q144" i="6" s="1"/>
  <c r="M144" i="6" l="1"/>
  <c r="L144" i="6"/>
  <c r="O144" i="6"/>
  <c r="P144" i="6" s="1"/>
  <c r="N143" i="6"/>
  <c r="G143" i="6" s="1"/>
  <c r="S145" i="6"/>
  <c r="C145" i="6"/>
  <c r="Q145" i="6" s="1"/>
  <c r="J145" i="6"/>
  <c r="F145" i="6"/>
  <c r="B146" i="6"/>
  <c r="E145" i="6"/>
  <c r="H145" i="6" s="1"/>
  <c r="Z145" i="6"/>
  <c r="D145" i="6"/>
  <c r="K145" i="6" s="1"/>
  <c r="H144" i="6"/>
  <c r="R144" i="6" s="1"/>
  <c r="I143" i="6" l="1"/>
  <c r="O145" i="6"/>
  <c r="P145" i="6" s="1"/>
  <c r="M145" i="6"/>
  <c r="L145" i="6"/>
  <c r="R145" i="6"/>
  <c r="Z146" i="6"/>
  <c r="D146" i="6"/>
  <c r="K146" i="6" s="1"/>
  <c r="S146" i="6"/>
  <c r="C146" i="6"/>
  <c r="Q146" i="6" s="1"/>
  <c r="F146" i="6"/>
  <c r="B147" i="6"/>
  <c r="E146" i="6"/>
  <c r="H146" i="6" s="1"/>
  <c r="J146" i="6"/>
  <c r="N144" i="6"/>
  <c r="G144" i="6" s="1"/>
  <c r="R146" i="6" l="1"/>
  <c r="O146" i="6"/>
  <c r="P146" i="6" s="1"/>
  <c r="L146" i="6"/>
  <c r="M146" i="6"/>
  <c r="N146" i="6" s="1"/>
  <c r="G146" i="6" s="1"/>
  <c r="I144" i="6"/>
  <c r="B148" i="6"/>
  <c r="E147" i="6"/>
  <c r="Z147" i="6"/>
  <c r="D147" i="6"/>
  <c r="K147" i="6" s="1"/>
  <c r="S147" i="6"/>
  <c r="C147" i="6"/>
  <c r="Q147" i="6" s="1"/>
  <c r="J147" i="6"/>
  <c r="F147" i="6"/>
  <c r="N145" i="6"/>
  <c r="G145" i="6" s="1"/>
  <c r="I145" i="6" l="1"/>
  <c r="H147" i="6"/>
  <c r="M147" i="6"/>
  <c r="L147" i="6"/>
  <c r="O147" i="6"/>
  <c r="P147" i="6" s="1"/>
  <c r="J148" i="6"/>
  <c r="F148" i="6"/>
  <c r="B149" i="6"/>
  <c r="E148" i="6"/>
  <c r="D148" i="6"/>
  <c r="K148" i="6" s="1"/>
  <c r="C148" i="6"/>
  <c r="Q148" i="6" s="1"/>
  <c r="Z148" i="6"/>
  <c r="S148" i="6"/>
  <c r="R147" i="6"/>
  <c r="I146" i="6"/>
  <c r="H148" i="6" l="1"/>
  <c r="R148" i="6" s="1"/>
  <c r="N147" i="6"/>
  <c r="G147" i="6" s="1"/>
  <c r="F149" i="6"/>
  <c r="S149" i="6"/>
  <c r="C149" i="6"/>
  <c r="Q149" i="6" s="1"/>
  <c r="J149" i="6"/>
  <c r="B150" i="6"/>
  <c r="Z149" i="6"/>
  <c r="E149" i="6"/>
  <c r="D149" i="6"/>
  <c r="K149" i="6" s="1"/>
  <c r="M148" i="6"/>
  <c r="O148" i="6"/>
  <c r="P148" i="6" s="1"/>
  <c r="L148" i="6"/>
  <c r="O149" i="6" l="1"/>
  <c r="P149" i="6" s="1"/>
  <c r="M149" i="6"/>
  <c r="L149" i="6"/>
  <c r="Z150" i="6"/>
  <c r="D150" i="6"/>
  <c r="K150" i="6" s="1"/>
  <c r="S150" i="6"/>
  <c r="C150" i="6"/>
  <c r="Q150" i="6" s="1"/>
  <c r="J150" i="6"/>
  <c r="F150" i="6"/>
  <c r="B151" i="6"/>
  <c r="E150" i="6"/>
  <c r="N148" i="6"/>
  <c r="G148" i="6" s="1"/>
  <c r="H149" i="6"/>
  <c r="R149" i="6" s="1"/>
  <c r="I147" i="6"/>
  <c r="N149" i="6" l="1"/>
  <c r="G149" i="6" s="1"/>
  <c r="L150" i="6"/>
  <c r="O150" i="6"/>
  <c r="P150" i="6" s="1"/>
  <c r="M150" i="6"/>
  <c r="N150" i="6" s="1"/>
  <c r="G150" i="6" s="1"/>
  <c r="H150" i="6"/>
  <c r="R150" i="6" s="1"/>
  <c r="B152" i="6"/>
  <c r="E151" i="6"/>
  <c r="H151" i="6" s="1"/>
  <c r="Z151" i="6"/>
  <c r="D151" i="6"/>
  <c r="K151" i="6" s="1"/>
  <c r="F151" i="6"/>
  <c r="S151" i="6"/>
  <c r="C151" i="6"/>
  <c r="Q151" i="6" s="1"/>
  <c r="J151" i="6"/>
  <c r="I149" i="6"/>
  <c r="I148" i="6"/>
  <c r="R151" i="6" l="1"/>
  <c r="M151" i="6"/>
  <c r="L151" i="6"/>
  <c r="O151" i="6"/>
  <c r="P151" i="6" s="1"/>
  <c r="F152" i="6"/>
  <c r="B153" i="6"/>
  <c r="E152" i="6"/>
  <c r="J152" i="6"/>
  <c r="Z152" i="6"/>
  <c r="D152" i="6"/>
  <c r="K152" i="6" s="1"/>
  <c r="S152" i="6"/>
  <c r="C152" i="6"/>
  <c r="Q152" i="6" s="1"/>
  <c r="I150" i="6"/>
  <c r="N151" i="6" l="1"/>
  <c r="G151" i="6" s="1"/>
  <c r="H152" i="6"/>
  <c r="R152" i="6" s="1"/>
  <c r="S153" i="6"/>
  <c r="C153" i="6"/>
  <c r="Q153" i="6" s="1"/>
  <c r="J153" i="6"/>
  <c r="F153" i="6"/>
  <c r="E153" i="6"/>
  <c r="H153" i="6" s="1"/>
  <c r="D153" i="6"/>
  <c r="K153" i="6" s="1"/>
  <c r="B154" i="6"/>
  <c r="Z153" i="6"/>
  <c r="M152" i="6"/>
  <c r="O152" i="6"/>
  <c r="P152" i="6" s="1"/>
  <c r="L152" i="6"/>
  <c r="I151" i="6" l="1"/>
  <c r="Z154" i="6"/>
  <c r="D154" i="6"/>
  <c r="K154" i="6" s="1"/>
  <c r="S154" i="6"/>
  <c r="C154" i="6"/>
  <c r="Q154" i="6" s="1"/>
  <c r="J154" i="6"/>
  <c r="B155" i="6"/>
  <c r="F154" i="6"/>
  <c r="E154" i="6"/>
  <c r="R153" i="6"/>
  <c r="O153" i="6"/>
  <c r="P153" i="6" s="1"/>
  <c r="M153" i="6"/>
  <c r="L153" i="6"/>
  <c r="N152" i="6"/>
  <c r="G152" i="6" s="1"/>
  <c r="N153" i="6" l="1"/>
  <c r="G153" i="6" s="1"/>
  <c r="H154" i="6"/>
  <c r="B156" i="6"/>
  <c r="E155" i="6"/>
  <c r="Z155" i="6"/>
  <c r="D155" i="6"/>
  <c r="K155" i="6" s="1"/>
  <c r="J155" i="6"/>
  <c r="F155" i="6"/>
  <c r="C155" i="6"/>
  <c r="Q155" i="6" s="1"/>
  <c r="S155" i="6"/>
  <c r="O154" i="6"/>
  <c r="P154" i="6" s="1"/>
  <c r="L154" i="6"/>
  <c r="M154" i="6"/>
  <c r="R154" i="6"/>
  <c r="I153" i="6"/>
  <c r="I152" i="6"/>
  <c r="M155" i="6" l="1"/>
  <c r="L155" i="6"/>
  <c r="O155" i="6"/>
  <c r="P155" i="6" s="1"/>
  <c r="N154" i="6"/>
  <c r="G154" i="6" s="1"/>
  <c r="H155" i="6"/>
  <c r="R155" i="6" s="1"/>
  <c r="I154" i="6"/>
  <c r="J156" i="6"/>
  <c r="F156" i="6"/>
  <c r="B157" i="6"/>
  <c r="E156" i="6"/>
  <c r="Z156" i="6"/>
  <c r="D156" i="6"/>
  <c r="K156" i="6" s="1"/>
  <c r="S156" i="6"/>
  <c r="C156" i="6"/>
  <c r="Q156" i="6" s="1"/>
  <c r="H156" i="6" l="1"/>
  <c r="R156" i="6" s="1"/>
  <c r="M156" i="6"/>
  <c r="O156" i="6"/>
  <c r="P156" i="6" s="1"/>
  <c r="L156" i="6"/>
  <c r="F157" i="6"/>
  <c r="S157" i="6"/>
  <c r="C157" i="6"/>
  <c r="Q157" i="6" s="1"/>
  <c r="J157" i="6"/>
  <c r="B158" i="6"/>
  <c r="E157" i="6"/>
  <c r="Z157" i="6"/>
  <c r="D157" i="6"/>
  <c r="K157" i="6" s="1"/>
  <c r="N155" i="6"/>
  <c r="G155" i="6" s="1"/>
  <c r="O157" i="6" l="1"/>
  <c r="P157" i="6" s="1"/>
  <c r="M157" i="6"/>
  <c r="L157" i="6"/>
  <c r="H157" i="6"/>
  <c r="N156" i="6"/>
  <c r="G156" i="6" s="1"/>
  <c r="Z158" i="6"/>
  <c r="D158" i="6"/>
  <c r="K158" i="6" s="1"/>
  <c r="S158" i="6"/>
  <c r="C158" i="6"/>
  <c r="Q158" i="6" s="1"/>
  <c r="J158" i="6"/>
  <c r="F158" i="6"/>
  <c r="E158" i="6"/>
  <c r="B159" i="6"/>
  <c r="I155" i="6"/>
  <c r="R157" i="6"/>
  <c r="I156" i="6" l="1"/>
  <c r="H158" i="6"/>
  <c r="B160" i="6"/>
  <c r="E159" i="6"/>
  <c r="Z159" i="6"/>
  <c r="D159" i="6"/>
  <c r="K159" i="6" s="1"/>
  <c r="J159" i="6"/>
  <c r="S159" i="6"/>
  <c r="F159" i="6"/>
  <c r="C159" i="6"/>
  <c r="Q159" i="6" s="1"/>
  <c r="N157" i="6"/>
  <c r="G157" i="6" s="1"/>
  <c r="L158" i="6"/>
  <c r="O158" i="6"/>
  <c r="P158" i="6" s="1"/>
  <c r="M158" i="6"/>
  <c r="R158" i="6"/>
  <c r="M159" i="6" l="1"/>
  <c r="L159" i="6"/>
  <c r="O159" i="6"/>
  <c r="P159" i="6" s="1"/>
  <c r="I157" i="6"/>
  <c r="N158" i="6"/>
  <c r="G158" i="6" s="1"/>
  <c r="H159" i="6"/>
  <c r="R159" i="6" s="1"/>
  <c r="F160" i="6"/>
  <c r="B161" i="6"/>
  <c r="E160" i="6"/>
  <c r="J160" i="6"/>
  <c r="D160" i="6"/>
  <c r="K160" i="6" s="1"/>
  <c r="C160" i="6"/>
  <c r="Q160" i="6" s="1"/>
  <c r="Z160" i="6"/>
  <c r="S160" i="6"/>
  <c r="I158" i="6" l="1"/>
  <c r="H160" i="6"/>
  <c r="R160" i="6" s="1"/>
  <c r="M160" i="6"/>
  <c r="L160" i="6"/>
  <c r="O160" i="6"/>
  <c r="P160" i="6" s="1"/>
  <c r="S161" i="6"/>
  <c r="C161" i="6"/>
  <c r="Q161" i="6" s="1"/>
  <c r="R161" i="6" s="1"/>
  <c r="J161" i="6"/>
  <c r="F161" i="6"/>
  <c r="B162" i="6"/>
  <c r="E161" i="6"/>
  <c r="H161" i="6" s="1"/>
  <c r="Z161" i="6"/>
  <c r="D161" i="6"/>
  <c r="K161" i="6" s="1"/>
  <c r="N159" i="6"/>
  <c r="G159" i="6" s="1"/>
  <c r="O161" i="6" l="1"/>
  <c r="P161" i="6" s="1"/>
  <c r="M161" i="6"/>
  <c r="L161" i="6"/>
  <c r="Z162" i="6"/>
  <c r="D162" i="6"/>
  <c r="K162" i="6" s="1"/>
  <c r="S162" i="6"/>
  <c r="C162" i="6"/>
  <c r="Q162" i="6" s="1"/>
  <c r="F162" i="6"/>
  <c r="B163" i="6"/>
  <c r="E162" i="6"/>
  <c r="J162" i="6"/>
  <c r="N160" i="6"/>
  <c r="G160" i="6" s="1"/>
  <c r="I159" i="6"/>
  <c r="N161" i="6" l="1"/>
  <c r="G161" i="6" s="1"/>
  <c r="H162" i="6"/>
  <c r="O162" i="6"/>
  <c r="P162" i="6" s="1"/>
  <c r="L162" i="6"/>
  <c r="M162" i="6"/>
  <c r="N162" i="6" s="1"/>
  <c r="G162" i="6" s="1"/>
  <c r="R162" i="6"/>
  <c r="B164" i="6"/>
  <c r="E163" i="6"/>
  <c r="H163" i="6" s="1"/>
  <c r="Z163" i="6"/>
  <c r="D163" i="6"/>
  <c r="K163" i="6" s="1"/>
  <c r="S163" i="6"/>
  <c r="C163" i="6"/>
  <c r="Q163" i="6" s="1"/>
  <c r="J163" i="6"/>
  <c r="F163" i="6"/>
  <c r="I161" i="6"/>
  <c r="I160" i="6"/>
  <c r="M163" i="6" l="1"/>
  <c r="L163" i="6"/>
  <c r="O163" i="6"/>
  <c r="P163" i="6" s="1"/>
  <c r="J164" i="6"/>
  <c r="F164" i="6"/>
  <c r="B165" i="6"/>
  <c r="E164" i="6"/>
  <c r="H164" i="6" s="1"/>
  <c r="Z164" i="6"/>
  <c r="S164" i="6"/>
  <c r="C164" i="6"/>
  <c r="Q164" i="6" s="1"/>
  <c r="D164" i="6"/>
  <c r="K164" i="6" s="1"/>
  <c r="R163" i="6"/>
  <c r="I162" i="6"/>
  <c r="F165" i="6" l="1"/>
  <c r="S165" i="6"/>
  <c r="C165" i="6"/>
  <c r="Q165" i="6" s="1"/>
  <c r="J165" i="6"/>
  <c r="E165" i="6"/>
  <c r="H165" i="6" s="1"/>
  <c r="D165" i="6"/>
  <c r="K165" i="6" s="1"/>
  <c r="B166" i="6"/>
  <c r="Z165" i="6"/>
  <c r="R164" i="6"/>
  <c r="M164" i="6"/>
  <c r="O164" i="6"/>
  <c r="P164" i="6" s="1"/>
  <c r="L164" i="6"/>
  <c r="N163" i="6"/>
  <c r="G163" i="6" s="1"/>
  <c r="I163" i="6" l="1"/>
  <c r="Z166" i="6"/>
  <c r="D166" i="6"/>
  <c r="K166" i="6" s="1"/>
  <c r="S166" i="6"/>
  <c r="C166" i="6"/>
  <c r="Q166" i="6" s="1"/>
  <c r="J166" i="6"/>
  <c r="F166" i="6"/>
  <c r="B167" i="6"/>
  <c r="E166" i="6"/>
  <c r="R165" i="6"/>
  <c r="O165" i="6"/>
  <c r="P165" i="6" s="1"/>
  <c r="M165" i="6"/>
  <c r="L165" i="6"/>
  <c r="N164" i="6"/>
  <c r="G164" i="6" s="1"/>
  <c r="N165" i="6" l="1"/>
  <c r="G165" i="6" s="1"/>
  <c r="L166" i="6"/>
  <c r="O166" i="6"/>
  <c r="P166" i="6" s="1"/>
  <c r="M166" i="6"/>
  <c r="N166" i="6" s="1"/>
  <c r="G166" i="6" s="1"/>
  <c r="I165" i="6"/>
  <c r="B168" i="6"/>
  <c r="E167" i="6"/>
  <c r="H167" i="6" s="1"/>
  <c r="Z167" i="6"/>
  <c r="D167" i="6"/>
  <c r="K167" i="6" s="1"/>
  <c r="F167" i="6"/>
  <c r="S167" i="6"/>
  <c r="C167" i="6"/>
  <c r="Q167" i="6" s="1"/>
  <c r="J167" i="6"/>
  <c r="I164" i="6"/>
  <c r="H166" i="6"/>
  <c r="R166" i="6" s="1"/>
  <c r="F168" i="6" l="1"/>
  <c r="B169" i="6"/>
  <c r="E168" i="6"/>
  <c r="H168" i="6" s="1"/>
  <c r="J168" i="6"/>
  <c r="Z168" i="6"/>
  <c r="D168" i="6"/>
  <c r="K168" i="6" s="1"/>
  <c r="S168" i="6"/>
  <c r="C168" i="6"/>
  <c r="Q168" i="6" s="1"/>
  <c r="R168" i="6" s="1"/>
  <c r="R167" i="6"/>
  <c r="I166" i="6"/>
  <c r="M167" i="6"/>
  <c r="L167" i="6"/>
  <c r="O167" i="6"/>
  <c r="P167" i="6" s="1"/>
  <c r="N167" i="6" l="1"/>
  <c r="G167" i="6" s="1"/>
  <c r="M168" i="6"/>
  <c r="O168" i="6"/>
  <c r="P168" i="6" s="1"/>
  <c r="L168" i="6"/>
  <c r="S169" i="6"/>
  <c r="C169" i="6"/>
  <c r="Q169" i="6" s="1"/>
  <c r="J169" i="6"/>
  <c r="F169" i="6"/>
  <c r="B170" i="6"/>
  <c r="Z169" i="6"/>
  <c r="E169" i="6"/>
  <c r="D169" i="6"/>
  <c r="K169" i="6" s="1"/>
  <c r="I167" i="6" l="1"/>
  <c r="O169" i="6"/>
  <c r="P169" i="6" s="1"/>
  <c r="M169" i="6"/>
  <c r="L169" i="6"/>
  <c r="Z170" i="6"/>
  <c r="D170" i="6"/>
  <c r="K170" i="6" s="1"/>
  <c r="S170" i="6"/>
  <c r="C170" i="6"/>
  <c r="Q170" i="6" s="1"/>
  <c r="J170" i="6"/>
  <c r="F170" i="6"/>
  <c r="E170" i="6"/>
  <c r="B171" i="6"/>
  <c r="H169" i="6"/>
  <c r="R169" i="6" s="1"/>
  <c r="N168" i="6"/>
  <c r="G168" i="6" s="1"/>
  <c r="O170" i="6" l="1"/>
  <c r="P170" i="6" s="1"/>
  <c r="L170" i="6"/>
  <c r="M170" i="6"/>
  <c r="N170" i="6" s="1"/>
  <c r="G170" i="6" s="1"/>
  <c r="H170" i="6"/>
  <c r="R170" i="6" s="1"/>
  <c r="N169" i="6"/>
  <c r="G169" i="6" s="1"/>
  <c r="B172" i="6"/>
  <c r="E171" i="6"/>
  <c r="H171" i="6" s="1"/>
  <c r="Z171" i="6"/>
  <c r="D171" i="6"/>
  <c r="K171" i="6" s="1"/>
  <c r="J171" i="6"/>
  <c r="F171" i="6"/>
  <c r="S171" i="6"/>
  <c r="C171" i="6"/>
  <c r="Q171" i="6" s="1"/>
  <c r="I168" i="6"/>
  <c r="R171" i="6" l="1"/>
  <c r="I169" i="6"/>
  <c r="J172" i="6"/>
  <c r="F172" i="6"/>
  <c r="B173" i="6"/>
  <c r="E172" i="6"/>
  <c r="H172" i="6" s="1"/>
  <c r="Z172" i="6"/>
  <c r="D172" i="6"/>
  <c r="K172" i="6" s="1"/>
  <c r="S172" i="6"/>
  <c r="C172" i="6"/>
  <c r="Q172" i="6" s="1"/>
  <c r="M171" i="6"/>
  <c r="L171" i="6"/>
  <c r="O171" i="6"/>
  <c r="P171" i="6" s="1"/>
  <c r="I170" i="6"/>
  <c r="M172" i="6" l="1"/>
  <c r="O172" i="6"/>
  <c r="P172" i="6" s="1"/>
  <c r="L172" i="6"/>
  <c r="F173" i="6"/>
  <c r="S173" i="6"/>
  <c r="C173" i="6"/>
  <c r="Q173" i="6" s="1"/>
  <c r="J173" i="6"/>
  <c r="B174" i="6"/>
  <c r="E173" i="6"/>
  <c r="Z173" i="6"/>
  <c r="D173" i="6"/>
  <c r="K173" i="6" s="1"/>
  <c r="N171" i="6"/>
  <c r="G171" i="6" s="1"/>
  <c r="R172" i="6"/>
  <c r="O173" i="6" l="1"/>
  <c r="P173" i="6" s="1"/>
  <c r="M173" i="6"/>
  <c r="L173" i="6"/>
  <c r="I171" i="6"/>
  <c r="H173" i="6"/>
  <c r="R173" i="6" s="1"/>
  <c r="Z174" i="6"/>
  <c r="D174" i="6"/>
  <c r="K174" i="6" s="1"/>
  <c r="S174" i="6"/>
  <c r="C174" i="6"/>
  <c r="Q174" i="6" s="1"/>
  <c r="B175" i="6"/>
  <c r="J174" i="6"/>
  <c r="E174" i="6"/>
  <c r="F174" i="6"/>
  <c r="N172" i="6"/>
  <c r="G172" i="6" s="1"/>
  <c r="N173" i="6" l="1"/>
  <c r="G173" i="6" s="1"/>
  <c r="I172" i="6"/>
  <c r="H174" i="6"/>
  <c r="Z175" i="6"/>
  <c r="E175" i="6"/>
  <c r="D175" i="6"/>
  <c r="K175" i="6" s="1"/>
  <c r="J175" i="6"/>
  <c r="F175" i="6"/>
  <c r="C175" i="6"/>
  <c r="Q175" i="6" s="1"/>
  <c r="B176" i="6"/>
  <c r="S175" i="6"/>
  <c r="R174" i="6"/>
  <c r="I173" i="6"/>
  <c r="L174" i="6"/>
  <c r="O174" i="6"/>
  <c r="P174" i="6" s="1"/>
  <c r="M174" i="6"/>
  <c r="N174" i="6" s="1"/>
  <c r="G174" i="6" s="1"/>
  <c r="M175" i="6" l="1"/>
  <c r="L175" i="6"/>
  <c r="O175" i="6"/>
  <c r="P175" i="6" s="1"/>
  <c r="H175" i="6"/>
  <c r="R175" i="6" s="1"/>
  <c r="I174" i="6"/>
  <c r="B177" i="6"/>
  <c r="E176" i="6"/>
  <c r="H176" i="6" s="1"/>
  <c r="Z176" i="6"/>
  <c r="D176" i="6"/>
  <c r="K176" i="6" s="1"/>
  <c r="J176" i="6"/>
  <c r="F176" i="6"/>
  <c r="C176" i="6"/>
  <c r="Q176" i="6" s="1"/>
  <c r="S176" i="6"/>
  <c r="J177" i="6" l="1"/>
  <c r="F177" i="6"/>
  <c r="S177" i="6"/>
  <c r="E177" i="6"/>
  <c r="H177" i="6" s="1"/>
  <c r="D177" i="6"/>
  <c r="K177" i="6" s="1"/>
  <c r="C177" i="6"/>
  <c r="Q177" i="6" s="1"/>
  <c r="B178" i="6"/>
  <c r="Z177" i="6"/>
  <c r="R176" i="6"/>
  <c r="N175" i="6"/>
  <c r="G175" i="6" s="1"/>
  <c r="M176" i="6"/>
  <c r="L176" i="6"/>
  <c r="O176" i="6"/>
  <c r="P176" i="6" s="1"/>
  <c r="N176" i="6" l="1"/>
  <c r="G176" i="6" s="1"/>
  <c r="F178" i="6"/>
  <c r="S178" i="6"/>
  <c r="C178" i="6"/>
  <c r="Q178" i="6" s="1"/>
  <c r="J178" i="6"/>
  <c r="E178" i="6"/>
  <c r="H178" i="6" s="1"/>
  <c r="D178" i="6"/>
  <c r="K178" i="6" s="1"/>
  <c r="B179" i="6"/>
  <c r="Z178" i="6"/>
  <c r="R177" i="6"/>
  <c r="L177" i="6"/>
  <c r="O177" i="6"/>
  <c r="P177" i="6" s="1"/>
  <c r="M177" i="6"/>
  <c r="N177" i="6" s="1"/>
  <c r="G177" i="6" s="1"/>
  <c r="I176" i="6"/>
  <c r="I175" i="6"/>
  <c r="R178" i="6" l="1"/>
  <c r="Z179" i="6"/>
  <c r="D179" i="6"/>
  <c r="K179" i="6" s="1"/>
  <c r="S179" i="6"/>
  <c r="C179" i="6"/>
  <c r="Q179" i="6" s="1"/>
  <c r="B180" i="6"/>
  <c r="F179" i="6"/>
  <c r="E179" i="6"/>
  <c r="J179" i="6"/>
  <c r="O178" i="6"/>
  <c r="P178" i="6" s="1"/>
  <c r="L178" i="6"/>
  <c r="M178" i="6"/>
  <c r="N178" i="6" s="1"/>
  <c r="G178" i="6" s="1"/>
  <c r="I177" i="6"/>
  <c r="B181" i="6" l="1"/>
  <c r="E180" i="6"/>
  <c r="Z180" i="6"/>
  <c r="J180" i="6"/>
  <c r="F180" i="6"/>
  <c r="S180" i="6"/>
  <c r="D180" i="6"/>
  <c r="K180" i="6" s="1"/>
  <c r="C180" i="6"/>
  <c r="Q180" i="6" s="1"/>
  <c r="H179" i="6"/>
  <c r="R179" i="6" s="1"/>
  <c r="L179" i="6"/>
  <c r="M179" i="6"/>
  <c r="O179" i="6"/>
  <c r="P179" i="6" s="1"/>
  <c r="I178" i="6"/>
  <c r="N179" i="6" l="1"/>
  <c r="G179" i="6" s="1"/>
  <c r="M180" i="6"/>
  <c r="O180" i="6"/>
  <c r="P180" i="6" s="1"/>
  <c r="L180" i="6"/>
  <c r="H180" i="6"/>
  <c r="R180" i="6" s="1"/>
  <c r="I179" i="6"/>
  <c r="F181" i="6"/>
  <c r="B182" i="6"/>
  <c r="E181" i="6"/>
  <c r="J181" i="6"/>
  <c r="Z181" i="6"/>
  <c r="D181" i="6"/>
  <c r="K181" i="6" s="1"/>
  <c r="C181" i="6"/>
  <c r="Q181" i="6" s="1"/>
  <c r="S181" i="6"/>
  <c r="S182" i="6" l="1"/>
  <c r="C182" i="6"/>
  <c r="Q182" i="6" s="1"/>
  <c r="J182" i="6"/>
  <c r="B183" i="6"/>
  <c r="E182" i="6"/>
  <c r="Z182" i="6"/>
  <c r="D182" i="6"/>
  <c r="K182" i="6" s="1"/>
  <c r="F182" i="6"/>
  <c r="M181" i="6"/>
  <c r="O181" i="6"/>
  <c r="P181" i="6" s="1"/>
  <c r="L181" i="6"/>
  <c r="H181" i="6"/>
  <c r="R181" i="6" s="1"/>
  <c r="N180" i="6"/>
  <c r="G180" i="6" s="1"/>
  <c r="O182" i="6" l="1"/>
  <c r="P182" i="6" s="1"/>
  <c r="M182" i="6"/>
  <c r="L182" i="6"/>
  <c r="H182" i="6"/>
  <c r="R182" i="6" s="1"/>
  <c r="I180" i="6"/>
  <c r="Z183" i="6"/>
  <c r="D183" i="6"/>
  <c r="K183" i="6" s="1"/>
  <c r="B184" i="6"/>
  <c r="J183" i="6"/>
  <c r="S183" i="6"/>
  <c r="C183" i="6"/>
  <c r="Q183" i="6" s="1"/>
  <c r="F183" i="6"/>
  <c r="E183" i="6"/>
  <c r="H183" i="6" s="1"/>
  <c r="N181" i="6"/>
  <c r="G181" i="6" s="1"/>
  <c r="R183" i="6" l="1"/>
  <c r="I181" i="6"/>
  <c r="B185" i="6"/>
  <c r="E184" i="6"/>
  <c r="H184" i="6" s="1"/>
  <c r="Z184" i="6"/>
  <c r="D184" i="6"/>
  <c r="K184" i="6" s="1"/>
  <c r="J184" i="6"/>
  <c r="S184" i="6"/>
  <c r="F184" i="6"/>
  <c r="C184" i="6"/>
  <c r="Q184" i="6" s="1"/>
  <c r="N182" i="6"/>
  <c r="G182" i="6" s="1"/>
  <c r="O183" i="6"/>
  <c r="P183" i="6" s="1"/>
  <c r="L183" i="6"/>
  <c r="M183" i="6"/>
  <c r="N183" i="6" s="1"/>
  <c r="G183" i="6" s="1"/>
  <c r="R184" i="6" l="1"/>
  <c r="I183" i="6"/>
  <c r="I182" i="6"/>
  <c r="M184" i="6"/>
  <c r="L184" i="6"/>
  <c r="O184" i="6"/>
  <c r="P184" i="6" s="1"/>
  <c r="J185" i="6"/>
  <c r="F185" i="6"/>
  <c r="C185" i="6"/>
  <c r="Q185" i="6" s="1"/>
  <c r="B186" i="6"/>
  <c r="E185" i="6"/>
  <c r="D185" i="6"/>
  <c r="K185" i="6" s="1"/>
  <c r="Z185" i="6"/>
  <c r="S185" i="6"/>
  <c r="N184" i="6" l="1"/>
  <c r="G184" i="6" s="1"/>
  <c r="O185" i="6"/>
  <c r="P185" i="6" s="1"/>
  <c r="M185" i="6"/>
  <c r="L185" i="6"/>
  <c r="H185" i="6"/>
  <c r="R185" i="6" s="1"/>
  <c r="F186" i="6"/>
  <c r="S186" i="6"/>
  <c r="C186" i="6"/>
  <c r="Q186" i="6" s="1"/>
  <c r="B187" i="6"/>
  <c r="E186" i="6"/>
  <c r="Z186" i="6"/>
  <c r="D186" i="6"/>
  <c r="K186" i="6" s="1"/>
  <c r="J186" i="6"/>
  <c r="N185" i="6" l="1"/>
  <c r="G185" i="6" s="1"/>
  <c r="O186" i="6"/>
  <c r="P186" i="6" s="1"/>
  <c r="M186" i="6"/>
  <c r="L186" i="6"/>
  <c r="I185" i="6"/>
  <c r="H186" i="6"/>
  <c r="R186" i="6" s="1"/>
  <c r="Z187" i="6"/>
  <c r="D187" i="6"/>
  <c r="K187" i="6" s="1"/>
  <c r="S187" i="6"/>
  <c r="C187" i="6"/>
  <c r="Q187" i="6" s="1"/>
  <c r="B188" i="6"/>
  <c r="E187" i="6"/>
  <c r="J187" i="6"/>
  <c r="F187" i="6"/>
  <c r="I184" i="6"/>
  <c r="H187" i="6" l="1"/>
  <c r="L187" i="6"/>
  <c r="O187" i="6"/>
  <c r="P187" i="6" s="1"/>
  <c r="M187" i="6"/>
  <c r="N187" i="6" s="1"/>
  <c r="G187" i="6" s="1"/>
  <c r="B189" i="6"/>
  <c r="E188" i="6"/>
  <c r="H188" i="6" s="1"/>
  <c r="J188" i="6"/>
  <c r="C188" i="6"/>
  <c r="Q188" i="6" s="1"/>
  <c r="S188" i="6"/>
  <c r="F188" i="6"/>
  <c r="D188" i="6"/>
  <c r="K188" i="6" s="1"/>
  <c r="Z188" i="6"/>
  <c r="N186" i="6"/>
  <c r="G186" i="6" s="1"/>
  <c r="R187" i="6"/>
  <c r="R188" i="6" l="1"/>
  <c r="I186" i="6"/>
  <c r="F189" i="6"/>
  <c r="B190" i="6"/>
  <c r="E189" i="6"/>
  <c r="H189" i="6" s="1"/>
  <c r="J189" i="6"/>
  <c r="C189" i="6"/>
  <c r="Q189" i="6" s="1"/>
  <c r="R189" i="6" s="1"/>
  <c r="Z189" i="6"/>
  <c r="S189" i="6"/>
  <c r="D189" i="6"/>
  <c r="K189" i="6" s="1"/>
  <c r="M188" i="6"/>
  <c r="O188" i="6"/>
  <c r="P188" i="6" s="1"/>
  <c r="L188" i="6"/>
  <c r="I187" i="6"/>
  <c r="N188" i="6" l="1"/>
  <c r="G188" i="6" s="1"/>
  <c r="M189" i="6"/>
  <c r="O189" i="6"/>
  <c r="P189" i="6" s="1"/>
  <c r="L189" i="6"/>
  <c r="I188" i="6"/>
  <c r="S190" i="6"/>
  <c r="C190" i="6"/>
  <c r="Q190" i="6" s="1"/>
  <c r="R190" i="6" s="1"/>
  <c r="J190" i="6"/>
  <c r="B191" i="6"/>
  <c r="D190" i="6"/>
  <c r="K190" i="6" s="1"/>
  <c r="Z190" i="6"/>
  <c r="F190" i="6"/>
  <c r="E190" i="6"/>
  <c r="H190" i="6" s="1"/>
  <c r="Z191" i="6" l="1"/>
  <c r="D191" i="6"/>
  <c r="K191" i="6" s="1"/>
  <c r="C191" i="6"/>
  <c r="Q191" i="6" s="1"/>
  <c r="J191" i="6"/>
  <c r="B192" i="6"/>
  <c r="F191" i="6"/>
  <c r="E191" i="6"/>
  <c r="H191" i="6" s="1"/>
  <c r="S191" i="6"/>
  <c r="O190" i="6"/>
  <c r="P190" i="6" s="1"/>
  <c r="M190" i="6"/>
  <c r="L190" i="6"/>
  <c r="N189" i="6"/>
  <c r="G189" i="6" s="1"/>
  <c r="B193" i="6" l="1"/>
  <c r="E192" i="6"/>
  <c r="Z192" i="6"/>
  <c r="D192" i="6"/>
  <c r="K192" i="6" s="1"/>
  <c r="J192" i="6"/>
  <c r="C192" i="6"/>
  <c r="Q192" i="6" s="1"/>
  <c r="S192" i="6"/>
  <c r="F192" i="6"/>
  <c r="R191" i="6"/>
  <c r="O191" i="6"/>
  <c r="P191" i="6" s="1"/>
  <c r="L191" i="6"/>
  <c r="M191" i="6"/>
  <c r="N191" i="6" s="1"/>
  <c r="G191" i="6" s="1"/>
  <c r="N190" i="6"/>
  <c r="G190" i="6" s="1"/>
  <c r="I189" i="6"/>
  <c r="M192" i="6" l="1"/>
  <c r="L192" i="6"/>
  <c r="O192" i="6"/>
  <c r="P192" i="6" s="1"/>
  <c r="H192" i="6"/>
  <c r="R192" i="6" s="1"/>
  <c r="I190" i="6"/>
  <c r="I191" i="6"/>
  <c r="J193" i="6"/>
  <c r="F193" i="6"/>
  <c r="D193" i="6"/>
  <c r="K193" i="6" s="1"/>
  <c r="C193" i="6"/>
  <c r="Q193" i="6" s="1"/>
  <c r="B194" i="6"/>
  <c r="Z193" i="6"/>
  <c r="S193" i="6"/>
  <c r="E193" i="6"/>
  <c r="H193" i="6" l="1"/>
  <c r="R193" i="6" s="1"/>
  <c r="F194" i="6"/>
  <c r="S194" i="6"/>
  <c r="C194" i="6"/>
  <c r="Q194" i="6" s="1"/>
  <c r="J194" i="6"/>
  <c r="B195" i="6"/>
  <c r="D194" i="6"/>
  <c r="K194" i="6" s="1"/>
  <c r="Z194" i="6"/>
  <c r="E194" i="6"/>
  <c r="O193" i="6"/>
  <c r="P193" i="6" s="1"/>
  <c r="M193" i="6"/>
  <c r="L193" i="6"/>
  <c r="N192" i="6"/>
  <c r="G192" i="6" s="1"/>
  <c r="H194" i="6" l="1"/>
  <c r="I192" i="6"/>
  <c r="Z195" i="6"/>
  <c r="D195" i="6"/>
  <c r="K195" i="6" s="1"/>
  <c r="S195" i="6"/>
  <c r="C195" i="6"/>
  <c r="Q195" i="6" s="1"/>
  <c r="E195" i="6"/>
  <c r="J195" i="6"/>
  <c r="F195" i="6"/>
  <c r="B196" i="6"/>
  <c r="R194" i="6"/>
  <c r="O194" i="6"/>
  <c r="P194" i="6" s="1"/>
  <c r="M194" i="6"/>
  <c r="L194" i="6"/>
  <c r="N193" i="6"/>
  <c r="G193" i="6" s="1"/>
  <c r="I193" i="6" l="1"/>
  <c r="H195" i="6"/>
  <c r="R195" i="6" s="1"/>
  <c r="N194" i="6"/>
  <c r="G194" i="6" s="1"/>
  <c r="L195" i="6"/>
  <c r="O195" i="6"/>
  <c r="P195" i="6" s="1"/>
  <c r="M195" i="6"/>
  <c r="N195" i="6" s="1"/>
  <c r="G195" i="6" s="1"/>
  <c r="I194" i="6"/>
  <c r="B197" i="6"/>
  <c r="E196" i="6"/>
  <c r="J196" i="6"/>
  <c r="D196" i="6"/>
  <c r="K196" i="6" s="1"/>
  <c r="C196" i="6"/>
  <c r="Q196" i="6" s="1"/>
  <c r="F196" i="6"/>
  <c r="Z196" i="6"/>
  <c r="S196" i="6"/>
  <c r="M196" i="6" l="1"/>
  <c r="O196" i="6"/>
  <c r="P196" i="6" s="1"/>
  <c r="L196" i="6"/>
  <c r="I195" i="6"/>
  <c r="H196" i="6"/>
  <c r="R196" i="6" s="1"/>
  <c r="F197" i="6"/>
  <c r="B198" i="6"/>
  <c r="E197" i="6"/>
  <c r="J197" i="6"/>
  <c r="D197" i="6"/>
  <c r="K197" i="6" s="1"/>
  <c r="C197" i="6"/>
  <c r="Q197" i="6" s="1"/>
  <c r="Z197" i="6"/>
  <c r="S197" i="6"/>
  <c r="S198" i="6" l="1"/>
  <c r="C198" i="6"/>
  <c r="Q198" i="6" s="1"/>
  <c r="J198" i="6"/>
  <c r="E198" i="6"/>
  <c r="H198" i="6" s="1"/>
  <c r="D198" i="6"/>
  <c r="K198" i="6" s="1"/>
  <c r="B199" i="6"/>
  <c r="Z198" i="6"/>
  <c r="F198" i="6"/>
  <c r="M197" i="6"/>
  <c r="O197" i="6"/>
  <c r="P197" i="6" s="1"/>
  <c r="L197" i="6"/>
  <c r="N196" i="6"/>
  <c r="G196" i="6" s="1"/>
  <c r="H197" i="6"/>
  <c r="R197" i="6" s="1"/>
  <c r="Z199" i="6" l="1"/>
  <c r="D199" i="6"/>
  <c r="K199" i="6" s="1"/>
  <c r="E199" i="6"/>
  <c r="C199" i="6"/>
  <c r="Q199" i="6" s="1"/>
  <c r="J199" i="6"/>
  <c r="F199" i="6"/>
  <c r="B200" i="6"/>
  <c r="S199" i="6"/>
  <c r="O198" i="6"/>
  <c r="P198" i="6" s="1"/>
  <c r="L198" i="6"/>
  <c r="M198" i="6"/>
  <c r="N198" i="6" s="1"/>
  <c r="G198" i="6" s="1"/>
  <c r="R198" i="6"/>
  <c r="N197" i="6"/>
  <c r="G197" i="6" s="1"/>
  <c r="I196" i="6"/>
  <c r="I197" i="6" l="1"/>
  <c r="B201" i="6"/>
  <c r="E200" i="6"/>
  <c r="Z200" i="6"/>
  <c r="D200" i="6"/>
  <c r="K200" i="6" s="1"/>
  <c r="J200" i="6"/>
  <c r="F200" i="6"/>
  <c r="C200" i="6"/>
  <c r="Q200" i="6" s="1"/>
  <c r="S200" i="6"/>
  <c r="H199" i="6"/>
  <c r="R199" i="6" s="1"/>
  <c r="O199" i="6"/>
  <c r="P199" i="6" s="1"/>
  <c r="L199" i="6"/>
  <c r="M199" i="6"/>
  <c r="N199" i="6" s="1"/>
  <c r="G199" i="6" s="1"/>
  <c r="I198" i="6"/>
  <c r="M200" i="6" l="1"/>
  <c r="L200" i="6"/>
  <c r="O200" i="6"/>
  <c r="P200" i="6" s="1"/>
  <c r="I199" i="6"/>
  <c r="H200" i="6"/>
  <c r="R200" i="6" s="1"/>
  <c r="J201" i="6"/>
  <c r="F201" i="6"/>
  <c r="S201" i="6"/>
  <c r="E201" i="6"/>
  <c r="D201" i="6"/>
  <c r="K201" i="6" s="1"/>
  <c r="B202" i="6"/>
  <c r="Z201" i="6"/>
  <c r="C201" i="6"/>
  <c r="Q201" i="6" s="1"/>
  <c r="F202" i="6" l="1"/>
  <c r="S202" i="6"/>
  <c r="C202" i="6"/>
  <c r="Q202" i="6" s="1"/>
  <c r="J202" i="6"/>
  <c r="E202" i="6"/>
  <c r="H202" i="6" s="1"/>
  <c r="D202" i="6"/>
  <c r="K202" i="6" s="1"/>
  <c r="B203" i="6"/>
  <c r="Z202" i="6"/>
  <c r="L201" i="6"/>
  <c r="O201" i="6"/>
  <c r="P201" i="6" s="1"/>
  <c r="M201" i="6"/>
  <c r="N200" i="6"/>
  <c r="G200" i="6" s="1"/>
  <c r="H201" i="6"/>
  <c r="R201" i="6" s="1"/>
  <c r="N201" i="6" l="1"/>
  <c r="G201" i="6" s="1"/>
  <c r="R202" i="6"/>
  <c r="I200" i="6"/>
  <c r="O202" i="6"/>
  <c r="P202" i="6" s="1"/>
  <c r="L202" i="6"/>
  <c r="M202" i="6"/>
  <c r="I201" i="6"/>
  <c r="Z203" i="6"/>
  <c r="D203" i="6"/>
  <c r="K203" i="6" s="1"/>
  <c r="S203" i="6"/>
  <c r="C203" i="6"/>
  <c r="Q203" i="6" s="1"/>
  <c r="F203" i="6"/>
  <c r="E203" i="6"/>
  <c r="J203" i="6"/>
  <c r="B204" i="6"/>
  <c r="B205" i="6" l="1"/>
  <c r="E204" i="6"/>
  <c r="S204" i="6"/>
  <c r="F204" i="6"/>
  <c r="D204" i="6"/>
  <c r="K204" i="6" s="1"/>
  <c r="C204" i="6"/>
  <c r="Q204" i="6" s="1"/>
  <c r="J204" i="6"/>
  <c r="Z204" i="6"/>
  <c r="N202" i="6"/>
  <c r="G202" i="6" s="1"/>
  <c r="L203" i="6"/>
  <c r="M203" i="6"/>
  <c r="O203" i="6"/>
  <c r="P203" i="6" s="1"/>
  <c r="H203" i="6"/>
  <c r="R203" i="6" s="1"/>
  <c r="I202" i="6"/>
  <c r="M204" i="6" l="1"/>
  <c r="L204" i="6"/>
  <c r="O204" i="6"/>
  <c r="P204" i="6" s="1"/>
  <c r="N203" i="6"/>
  <c r="G203" i="6" s="1"/>
  <c r="H204" i="6"/>
  <c r="R204" i="6" s="1"/>
  <c r="F205" i="6"/>
  <c r="B206" i="6"/>
  <c r="E205" i="6"/>
  <c r="J205" i="6"/>
  <c r="S205" i="6"/>
  <c r="D205" i="6"/>
  <c r="K205" i="6" s="1"/>
  <c r="Z205" i="6"/>
  <c r="C205" i="6"/>
  <c r="Q205" i="6" s="1"/>
  <c r="N204" i="6" l="1"/>
  <c r="G204" i="6" s="1"/>
  <c r="M205" i="6"/>
  <c r="L205" i="6"/>
  <c r="O205" i="6"/>
  <c r="P205" i="6" s="1"/>
  <c r="I203" i="6"/>
  <c r="H205" i="6"/>
  <c r="R205" i="6" s="1"/>
  <c r="S206" i="6"/>
  <c r="C206" i="6"/>
  <c r="Q206" i="6" s="1"/>
  <c r="J206" i="6"/>
  <c r="Z206" i="6"/>
  <c r="F206" i="6"/>
  <c r="E206" i="6"/>
  <c r="D206" i="6"/>
  <c r="K206" i="6" s="1"/>
  <c r="B207" i="6"/>
  <c r="I204" i="6" l="1"/>
  <c r="O206" i="6"/>
  <c r="P206" i="6" s="1"/>
  <c r="M206" i="6"/>
  <c r="L206" i="6"/>
  <c r="H206" i="6"/>
  <c r="R206" i="6" s="1"/>
  <c r="Z207" i="6"/>
  <c r="D207" i="6"/>
  <c r="K207" i="6" s="1"/>
  <c r="S207" i="6"/>
  <c r="F207" i="6"/>
  <c r="E207" i="6"/>
  <c r="H207" i="6" s="1"/>
  <c r="J207" i="6"/>
  <c r="B208" i="6"/>
  <c r="C207" i="6"/>
  <c r="Q207" i="6" s="1"/>
  <c r="R207" i="6" s="1"/>
  <c r="N205" i="6"/>
  <c r="G205" i="6" s="1"/>
  <c r="I205" i="6" l="1"/>
  <c r="O207" i="6"/>
  <c r="P207" i="6" s="1"/>
  <c r="L207" i="6"/>
  <c r="M207" i="6"/>
  <c r="N207" i="6" s="1"/>
  <c r="G207" i="6" s="1"/>
  <c r="B209" i="6"/>
  <c r="E208" i="6"/>
  <c r="H208" i="6" s="1"/>
  <c r="Z208" i="6"/>
  <c r="D208" i="6"/>
  <c r="K208" i="6" s="1"/>
  <c r="J208" i="6"/>
  <c r="S208" i="6"/>
  <c r="F208" i="6"/>
  <c r="C208" i="6"/>
  <c r="Q208" i="6" s="1"/>
  <c r="N206" i="6"/>
  <c r="G206" i="6" s="1"/>
  <c r="I206" i="6" l="1"/>
  <c r="M208" i="6"/>
  <c r="L208" i="6"/>
  <c r="O208" i="6"/>
  <c r="P208" i="6" s="1"/>
  <c r="J209" i="6"/>
  <c r="F209" i="6"/>
  <c r="Z209" i="6"/>
  <c r="S209" i="6"/>
  <c r="E209" i="6"/>
  <c r="D209" i="6"/>
  <c r="K209" i="6" s="1"/>
  <c r="C209" i="6"/>
  <c r="Q209" i="6" s="1"/>
  <c r="B210" i="6"/>
  <c r="R208" i="6"/>
  <c r="I207" i="6"/>
  <c r="H209" i="6" l="1"/>
  <c r="F210" i="6"/>
  <c r="S210" i="6"/>
  <c r="C210" i="6"/>
  <c r="Q210" i="6" s="1"/>
  <c r="J210" i="6"/>
  <c r="Z210" i="6"/>
  <c r="E210" i="6"/>
  <c r="H210" i="6" s="1"/>
  <c r="D210" i="6"/>
  <c r="K210" i="6" s="1"/>
  <c r="B211" i="6"/>
  <c r="R209" i="6"/>
  <c r="M209" i="6"/>
  <c r="L209" i="6"/>
  <c r="O209" i="6"/>
  <c r="P209" i="6" s="1"/>
  <c r="N208" i="6"/>
  <c r="G208" i="6" s="1"/>
  <c r="N209" i="6" l="1"/>
  <c r="G209" i="6" s="1"/>
  <c r="O210" i="6"/>
  <c r="P210" i="6" s="1"/>
  <c r="M210" i="6"/>
  <c r="L210" i="6"/>
  <c r="I209" i="6"/>
  <c r="R210" i="6"/>
  <c r="Z211" i="6"/>
  <c r="D211" i="6"/>
  <c r="K211" i="6" s="1"/>
  <c r="S211" i="6"/>
  <c r="C211" i="6"/>
  <c r="Q211" i="6" s="1"/>
  <c r="B212" i="6"/>
  <c r="F211" i="6"/>
  <c r="E211" i="6"/>
  <c r="J211" i="6"/>
  <c r="I208" i="6"/>
  <c r="L211" i="6" l="1"/>
  <c r="M211" i="6"/>
  <c r="N211" i="6" s="1"/>
  <c r="G211" i="6" s="1"/>
  <c r="O211" i="6"/>
  <c r="P211" i="6" s="1"/>
  <c r="H211" i="6"/>
  <c r="B213" i="6"/>
  <c r="E212" i="6"/>
  <c r="H212" i="6" s="1"/>
  <c r="Z212" i="6"/>
  <c r="S212" i="6"/>
  <c r="F212" i="6"/>
  <c r="J212" i="6"/>
  <c r="D212" i="6"/>
  <c r="K212" i="6" s="1"/>
  <c r="C212" i="6"/>
  <c r="Q212" i="6" s="1"/>
  <c r="N210" i="6"/>
  <c r="G210" i="6" s="1"/>
  <c r="R211" i="6"/>
  <c r="I210" i="6" l="1"/>
  <c r="F213" i="6"/>
  <c r="B214" i="6"/>
  <c r="E213" i="6"/>
  <c r="J213" i="6"/>
  <c r="Z213" i="6"/>
  <c r="S213" i="6"/>
  <c r="D213" i="6"/>
  <c r="K213" i="6" s="1"/>
  <c r="C213" i="6"/>
  <c r="Q213" i="6" s="1"/>
  <c r="R212" i="6"/>
  <c r="M212" i="6"/>
  <c r="L212" i="6"/>
  <c r="O212" i="6"/>
  <c r="P212" i="6" s="1"/>
  <c r="I211" i="6"/>
  <c r="M213" i="6" l="1"/>
  <c r="O213" i="6"/>
  <c r="P213" i="6" s="1"/>
  <c r="L213" i="6"/>
  <c r="H213" i="6"/>
  <c r="N212" i="6"/>
  <c r="G212" i="6" s="1"/>
  <c r="S214" i="6"/>
  <c r="C214" i="6"/>
  <c r="Q214" i="6" s="1"/>
  <c r="J214" i="6"/>
  <c r="B215" i="6"/>
  <c r="Z214" i="6"/>
  <c r="F214" i="6"/>
  <c r="E214" i="6"/>
  <c r="D214" i="6"/>
  <c r="K214" i="6" s="1"/>
  <c r="R213" i="6"/>
  <c r="H214" i="6" l="1"/>
  <c r="I212" i="6"/>
  <c r="O214" i="6"/>
  <c r="P214" i="6" s="1"/>
  <c r="M214" i="6"/>
  <c r="L214" i="6"/>
  <c r="R214" i="6"/>
  <c r="Z215" i="6"/>
  <c r="D215" i="6"/>
  <c r="K215" i="6" s="1"/>
  <c r="B216" i="6"/>
  <c r="S215" i="6"/>
  <c r="F215" i="6"/>
  <c r="E215" i="6"/>
  <c r="H215" i="6" s="1"/>
  <c r="J215" i="6"/>
  <c r="C215" i="6"/>
  <c r="Q215" i="6" s="1"/>
  <c r="N213" i="6"/>
  <c r="G213" i="6" s="1"/>
  <c r="R215" i="6" l="1"/>
  <c r="I213" i="6"/>
  <c r="N214" i="6"/>
  <c r="G214" i="6" s="1"/>
  <c r="B217" i="6"/>
  <c r="E216" i="6"/>
  <c r="H216" i="6" s="1"/>
  <c r="Z216" i="6"/>
  <c r="D216" i="6"/>
  <c r="K216" i="6" s="1"/>
  <c r="S216" i="6"/>
  <c r="F216" i="6"/>
  <c r="C216" i="6"/>
  <c r="Q216" i="6" s="1"/>
  <c r="J216" i="6"/>
  <c r="O215" i="6"/>
  <c r="P215" i="6" s="1"/>
  <c r="L215" i="6"/>
  <c r="M215" i="6"/>
  <c r="N215" i="6" s="1"/>
  <c r="G215" i="6" s="1"/>
  <c r="J217" i="6" l="1"/>
  <c r="F217" i="6"/>
  <c r="B218" i="6"/>
  <c r="Z217" i="6"/>
  <c r="S217" i="6"/>
  <c r="E217" i="6"/>
  <c r="H217" i="6" s="1"/>
  <c r="C217" i="6"/>
  <c r="Q217" i="6" s="1"/>
  <c r="D217" i="6"/>
  <c r="K217" i="6" s="1"/>
  <c r="M216" i="6"/>
  <c r="L216" i="6"/>
  <c r="O216" i="6"/>
  <c r="P216" i="6" s="1"/>
  <c r="I215" i="6"/>
  <c r="I214" i="6"/>
  <c r="R216" i="6"/>
  <c r="R217" i="6" l="1"/>
  <c r="O217" i="6"/>
  <c r="P217" i="6" s="1"/>
  <c r="M217" i="6"/>
  <c r="L217" i="6"/>
  <c r="F218" i="6"/>
  <c r="S218" i="6"/>
  <c r="C218" i="6"/>
  <c r="Q218" i="6" s="1"/>
  <c r="R218" i="6" s="1"/>
  <c r="B219" i="6"/>
  <c r="Z218" i="6"/>
  <c r="D218" i="6"/>
  <c r="K218" i="6" s="1"/>
  <c r="J218" i="6"/>
  <c r="E218" i="6"/>
  <c r="H218" i="6" s="1"/>
  <c r="N216" i="6"/>
  <c r="G216" i="6" s="1"/>
  <c r="N217" i="6" l="1"/>
  <c r="G217" i="6" s="1"/>
  <c r="Z219" i="6"/>
  <c r="D219" i="6"/>
  <c r="K219" i="6" s="1"/>
  <c r="S219" i="6"/>
  <c r="C219" i="6"/>
  <c r="Q219" i="6" s="1"/>
  <c r="B220" i="6"/>
  <c r="F219" i="6"/>
  <c r="J219" i="6"/>
  <c r="E219" i="6"/>
  <c r="I216" i="6"/>
  <c r="O218" i="6"/>
  <c r="P218" i="6" s="1"/>
  <c r="M218" i="6"/>
  <c r="L218" i="6"/>
  <c r="I217" i="6"/>
  <c r="B221" i="6" l="1"/>
  <c r="E220" i="6"/>
  <c r="C220" i="6"/>
  <c r="Q220" i="6" s="1"/>
  <c r="J220" i="6"/>
  <c r="Z220" i="6"/>
  <c r="S220" i="6"/>
  <c r="F220" i="6"/>
  <c r="D220" i="6"/>
  <c r="K220" i="6" s="1"/>
  <c r="H219" i="6"/>
  <c r="R219" i="6" s="1"/>
  <c r="N218" i="6"/>
  <c r="G218" i="6" s="1"/>
  <c r="L219" i="6"/>
  <c r="O219" i="6"/>
  <c r="P219" i="6" s="1"/>
  <c r="M219" i="6"/>
  <c r="I218" i="6"/>
  <c r="N219" i="6" l="1"/>
  <c r="G219" i="6" s="1"/>
  <c r="M220" i="6"/>
  <c r="O220" i="6"/>
  <c r="P220" i="6" s="1"/>
  <c r="L220" i="6"/>
  <c r="I219" i="6"/>
  <c r="H220" i="6"/>
  <c r="R220" i="6" s="1"/>
  <c r="F221" i="6"/>
  <c r="B222" i="6"/>
  <c r="E221" i="6"/>
  <c r="J221" i="6"/>
  <c r="Z221" i="6"/>
  <c r="S221" i="6"/>
  <c r="C221" i="6"/>
  <c r="Q221" i="6" s="1"/>
  <c r="D221" i="6"/>
  <c r="K221" i="6" s="1"/>
  <c r="S222" i="6" l="1"/>
  <c r="C222" i="6"/>
  <c r="Q222" i="6" s="1"/>
  <c r="J222" i="6"/>
  <c r="D222" i="6"/>
  <c r="K222" i="6" s="1"/>
  <c r="B223" i="6"/>
  <c r="F222" i="6"/>
  <c r="Z222" i="6"/>
  <c r="E222" i="6"/>
  <c r="H222" i="6" s="1"/>
  <c r="M221" i="6"/>
  <c r="O221" i="6"/>
  <c r="P221" i="6" s="1"/>
  <c r="L221" i="6"/>
  <c r="H221" i="6"/>
  <c r="R221" i="6" s="1"/>
  <c r="N220" i="6"/>
  <c r="G220" i="6" s="1"/>
  <c r="I220" i="6" l="1"/>
  <c r="Z223" i="6"/>
  <c r="J223" i="6"/>
  <c r="S223" i="6"/>
  <c r="D223" i="6"/>
  <c r="K223" i="6" s="1"/>
  <c r="F223" i="6"/>
  <c r="B224" i="6"/>
  <c r="C223" i="6"/>
  <c r="Q223" i="6" s="1"/>
  <c r="E223" i="6"/>
  <c r="O222" i="6"/>
  <c r="P222" i="6" s="1"/>
  <c r="M222" i="6"/>
  <c r="L222" i="6"/>
  <c r="R222" i="6"/>
  <c r="N221" i="6"/>
  <c r="G221" i="6" s="1"/>
  <c r="M223" i="6" l="1"/>
  <c r="O223" i="6"/>
  <c r="P223" i="6" s="1"/>
  <c r="L223" i="6"/>
  <c r="B225" i="6"/>
  <c r="E224" i="6"/>
  <c r="Z224" i="6"/>
  <c r="F224" i="6"/>
  <c r="J224" i="6"/>
  <c r="D224" i="6"/>
  <c r="K224" i="6" s="1"/>
  <c r="S224" i="6"/>
  <c r="C224" i="6"/>
  <c r="Q224" i="6" s="1"/>
  <c r="I221" i="6"/>
  <c r="N222" i="6"/>
  <c r="G222" i="6" s="1"/>
  <c r="H223" i="6"/>
  <c r="R223" i="6" s="1"/>
  <c r="I222" i="6" l="1"/>
  <c r="H224" i="6"/>
  <c r="F225" i="6"/>
  <c r="Z225" i="6"/>
  <c r="D225" i="6"/>
  <c r="K225" i="6" s="1"/>
  <c r="B226" i="6"/>
  <c r="J225" i="6"/>
  <c r="C225" i="6"/>
  <c r="Q225" i="6" s="1"/>
  <c r="S225" i="6"/>
  <c r="E225" i="6"/>
  <c r="R224" i="6"/>
  <c r="O224" i="6"/>
  <c r="P224" i="6" s="1"/>
  <c r="M224" i="6"/>
  <c r="L224" i="6"/>
  <c r="N223" i="6"/>
  <c r="G223" i="6" s="1"/>
  <c r="H225" i="6" l="1"/>
  <c r="R225" i="6" s="1"/>
  <c r="N224" i="6"/>
  <c r="G224" i="6" s="1"/>
  <c r="S226" i="6"/>
  <c r="C226" i="6"/>
  <c r="Q226" i="6" s="1"/>
  <c r="E226" i="6"/>
  <c r="H226" i="6" s="1"/>
  <c r="B227" i="6"/>
  <c r="J226" i="6"/>
  <c r="D226" i="6"/>
  <c r="K226" i="6" s="1"/>
  <c r="Z226" i="6"/>
  <c r="F226" i="6"/>
  <c r="L225" i="6"/>
  <c r="M225" i="6"/>
  <c r="N225" i="6" s="1"/>
  <c r="G225" i="6" s="1"/>
  <c r="O225" i="6"/>
  <c r="P225" i="6" s="1"/>
  <c r="I224" i="6"/>
  <c r="I223" i="6"/>
  <c r="I225" i="6" l="1"/>
  <c r="O226" i="6"/>
  <c r="P226" i="6" s="1"/>
  <c r="L226" i="6"/>
  <c r="M226" i="6"/>
  <c r="F227" i="6"/>
  <c r="Z227" i="6"/>
  <c r="E227" i="6"/>
  <c r="H227" i="6" s="1"/>
  <c r="B228" i="6"/>
  <c r="S227" i="6"/>
  <c r="J227" i="6"/>
  <c r="D227" i="6"/>
  <c r="K227" i="6" s="1"/>
  <c r="C227" i="6"/>
  <c r="Q227" i="6" s="1"/>
  <c r="R226" i="6"/>
  <c r="B229" i="6" l="1"/>
  <c r="E228" i="6"/>
  <c r="S228" i="6"/>
  <c r="C228" i="6"/>
  <c r="Q228" i="6" s="1"/>
  <c r="Z228" i="6"/>
  <c r="D228" i="6"/>
  <c r="K228" i="6" s="1"/>
  <c r="F228" i="6"/>
  <c r="J228" i="6"/>
  <c r="R227" i="6"/>
  <c r="N226" i="6"/>
  <c r="G226" i="6" s="1"/>
  <c r="L227" i="6"/>
  <c r="M227" i="6"/>
  <c r="N227" i="6" s="1"/>
  <c r="G227" i="6" s="1"/>
  <c r="O227" i="6"/>
  <c r="P227" i="6" s="1"/>
  <c r="I226" i="6"/>
  <c r="M228" i="6" l="1"/>
  <c r="O228" i="6"/>
  <c r="P228" i="6" s="1"/>
  <c r="L228" i="6"/>
  <c r="I227" i="6"/>
  <c r="H228" i="6"/>
  <c r="R228" i="6" s="1"/>
  <c r="J229" i="6"/>
  <c r="F229" i="6"/>
  <c r="S229" i="6"/>
  <c r="D229" i="6"/>
  <c r="K229" i="6" s="1"/>
  <c r="C229" i="6"/>
  <c r="Q229" i="6" s="1"/>
  <c r="E229" i="6"/>
  <c r="Z229" i="6"/>
  <c r="B230" i="6"/>
  <c r="B231" i="6" l="1"/>
  <c r="E230" i="6"/>
  <c r="C230" i="6"/>
  <c r="Q230" i="6" s="1"/>
  <c r="S230" i="6"/>
  <c r="Z230" i="6"/>
  <c r="F230" i="6"/>
  <c r="J230" i="6"/>
  <c r="D230" i="6"/>
  <c r="K230" i="6" s="1"/>
  <c r="H229" i="6"/>
  <c r="R229" i="6"/>
  <c r="L229" i="6"/>
  <c r="O229" i="6"/>
  <c r="P229" i="6" s="1"/>
  <c r="M229" i="6"/>
  <c r="N229" i="6" s="1"/>
  <c r="G229" i="6" s="1"/>
  <c r="N228" i="6"/>
  <c r="G228" i="6" s="1"/>
  <c r="H230" i="6" l="1"/>
  <c r="R230" i="6" s="1"/>
  <c r="O230" i="6"/>
  <c r="P230" i="6" s="1"/>
  <c r="M230" i="6"/>
  <c r="L230" i="6"/>
  <c r="I229" i="6"/>
  <c r="I228" i="6"/>
  <c r="Z231" i="6"/>
  <c r="D231" i="6"/>
  <c r="K231" i="6" s="1"/>
  <c r="J231" i="6"/>
  <c r="F231" i="6"/>
  <c r="B232" i="6"/>
  <c r="C231" i="6"/>
  <c r="Q231" i="6" s="1"/>
  <c r="E231" i="6"/>
  <c r="H231" i="6" s="1"/>
  <c r="S231" i="6"/>
  <c r="R231" i="6" l="1"/>
  <c r="S232" i="6"/>
  <c r="C232" i="6"/>
  <c r="Q232" i="6" s="1"/>
  <c r="D232" i="6"/>
  <c r="K232" i="6" s="1"/>
  <c r="Z232" i="6"/>
  <c r="F232" i="6"/>
  <c r="E232" i="6"/>
  <c r="H232" i="6" s="1"/>
  <c r="B233" i="6"/>
  <c r="J232" i="6"/>
  <c r="N230" i="6"/>
  <c r="G230" i="6" s="1"/>
  <c r="L231" i="6"/>
  <c r="O231" i="6"/>
  <c r="P231" i="6" s="1"/>
  <c r="M231" i="6"/>
  <c r="N231" i="6" s="1"/>
  <c r="G231" i="6" s="1"/>
  <c r="F233" i="6" l="1"/>
  <c r="B234" i="6"/>
  <c r="E233" i="6"/>
  <c r="H233" i="6" s="1"/>
  <c r="Z233" i="6"/>
  <c r="D233" i="6"/>
  <c r="K233" i="6" s="1"/>
  <c r="S233" i="6"/>
  <c r="J233" i="6"/>
  <c r="C233" i="6"/>
  <c r="Q233" i="6" s="1"/>
  <c r="R233" i="6" s="1"/>
  <c r="I231" i="6"/>
  <c r="O232" i="6"/>
  <c r="P232" i="6" s="1"/>
  <c r="M232" i="6"/>
  <c r="L232" i="6"/>
  <c r="R232" i="6"/>
  <c r="I230" i="6"/>
  <c r="N232" i="6" l="1"/>
  <c r="G232" i="6" s="1"/>
  <c r="M233" i="6"/>
  <c r="L233" i="6"/>
  <c r="O233" i="6"/>
  <c r="P233" i="6" s="1"/>
  <c r="I232" i="6"/>
  <c r="S234" i="6"/>
  <c r="C234" i="6"/>
  <c r="Q234" i="6" s="1"/>
  <c r="J234" i="6"/>
  <c r="Z234" i="6"/>
  <c r="F234" i="6"/>
  <c r="E234" i="6"/>
  <c r="H234" i="6" s="1"/>
  <c r="D234" i="6"/>
  <c r="K234" i="6" s="1"/>
  <c r="B235" i="6"/>
  <c r="R234" i="6" l="1"/>
  <c r="F235" i="6"/>
  <c r="S235" i="6"/>
  <c r="E235" i="6"/>
  <c r="H235" i="6" s="1"/>
  <c r="J235" i="6"/>
  <c r="Z235" i="6"/>
  <c r="C235" i="6"/>
  <c r="Q235" i="6" s="1"/>
  <c r="R235" i="6" s="1"/>
  <c r="B236" i="6"/>
  <c r="D235" i="6"/>
  <c r="K235" i="6" s="1"/>
  <c r="M234" i="6"/>
  <c r="N234" i="6" s="1"/>
  <c r="G234" i="6" s="1"/>
  <c r="L234" i="6"/>
  <c r="O234" i="6"/>
  <c r="P234" i="6" s="1"/>
  <c r="N233" i="6"/>
  <c r="G233" i="6" s="1"/>
  <c r="B237" i="6" l="1"/>
  <c r="E236" i="6"/>
  <c r="Z236" i="6"/>
  <c r="D236" i="6"/>
  <c r="K236" i="6" s="1"/>
  <c r="S236" i="6"/>
  <c r="C236" i="6"/>
  <c r="Q236" i="6" s="1"/>
  <c r="J236" i="6"/>
  <c r="F236" i="6"/>
  <c r="I233" i="6"/>
  <c r="I234" i="6"/>
  <c r="O235" i="6"/>
  <c r="P235" i="6" s="1"/>
  <c r="L235" i="6"/>
  <c r="M235" i="6"/>
  <c r="N235" i="6" s="1"/>
  <c r="G235" i="6" s="1"/>
  <c r="M236" i="6" l="1"/>
  <c r="L236" i="6"/>
  <c r="O236" i="6"/>
  <c r="P236" i="6" s="1"/>
  <c r="I235" i="6"/>
  <c r="H236" i="6"/>
  <c r="R236" i="6" s="1"/>
  <c r="J237" i="6"/>
  <c r="Z237" i="6"/>
  <c r="F237" i="6"/>
  <c r="E237" i="6"/>
  <c r="D237" i="6"/>
  <c r="K237" i="6" s="1"/>
  <c r="C237" i="6"/>
  <c r="Q237" i="6" s="1"/>
  <c r="S237" i="6"/>
  <c r="B238" i="6"/>
  <c r="H237" i="6" l="1"/>
  <c r="F238" i="6"/>
  <c r="B239" i="6"/>
  <c r="E238" i="6"/>
  <c r="S238" i="6"/>
  <c r="D238" i="6"/>
  <c r="K238" i="6" s="1"/>
  <c r="C238" i="6"/>
  <c r="Q238" i="6" s="1"/>
  <c r="J238" i="6"/>
  <c r="Z238" i="6"/>
  <c r="R237" i="6"/>
  <c r="M237" i="6"/>
  <c r="O237" i="6"/>
  <c r="P237" i="6" s="1"/>
  <c r="L237" i="6"/>
  <c r="N236" i="6"/>
  <c r="G236" i="6" s="1"/>
  <c r="O238" i="6" l="1"/>
  <c r="P238" i="6" s="1"/>
  <c r="M238" i="6"/>
  <c r="L238" i="6"/>
  <c r="I236" i="6"/>
  <c r="H238" i="6"/>
  <c r="R238" i="6" s="1"/>
  <c r="N237" i="6"/>
  <c r="G237" i="6" s="1"/>
  <c r="Z239" i="6"/>
  <c r="D239" i="6"/>
  <c r="K239" i="6" s="1"/>
  <c r="S239" i="6"/>
  <c r="C239" i="6"/>
  <c r="Q239" i="6" s="1"/>
  <c r="J239" i="6"/>
  <c r="B240" i="6"/>
  <c r="F239" i="6"/>
  <c r="E239" i="6"/>
  <c r="H239" i="6" s="1"/>
  <c r="R239" i="6" l="1"/>
  <c r="I237" i="6"/>
  <c r="N238" i="6"/>
  <c r="G238" i="6" s="1"/>
  <c r="Z240" i="6"/>
  <c r="F240" i="6"/>
  <c r="S240" i="6"/>
  <c r="E240" i="6"/>
  <c r="H240" i="6" s="1"/>
  <c r="J240" i="6"/>
  <c r="B241" i="6"/>
  <c r="D240" i="6"/>
  <c r="K240" i="6" s="1"/>
  <c r="C240" i="6"/>
  <c r="Q240" i="6" s="1"/>
  <c r="L239" i="6"/>
  <c r="M239" i="6"/>
  <c r="N239" i="6" s="1"/>
  <c r="G239" i="6" s="1"/>
  <c r="O239" i="6"/>
  <c r="P239" i="6" s="1"/>
  <c r="I239" i="6" l="1"/>
  <c r="I238" i="6"/>
  <c r="R240" i="6"/>
  <c r="O240" i="6"/>
  <c r="P240" i="6" s="1"/>
  <c r="M240" i="6"/>
  <c r="L240" i="6"/>
  <c r="F241" i="6"/>
  <c r="B242" i="6"/>
  <c r="E241" i="6"/>
  <c r="Z241" i="6"/>
  <c r="D241" i="6"/>
  <c r="K241" i="6" s="1"/>
  <c r="S241" i="6"/>
  <c r="J241" i="6"/>
  <c r="C241" i="6"/>
  <c r="Q241" i="6" s="1"/>
  <c r="H241" i="6" l="1"/>
  <c r="S242" i="6"/>
  <c r="C242" i="6"/>
  <c r="Q242" i="6" s="1"/>
  <c r="J242" i="6"/>
  <c r="B243" i="6"/>
  <c r="Z242" i="6"/>
  <c r="F242" i="6"/>
  <c r="D242" i="6"/>
  <c r="K242" i="6" s="1"/>
  <c r="E242" i="6"/>
  <c r="N240" i="6"/>
  <c r="G240" i="6" s="1"/>
  <c r="I240" i="6"/>
  <c r="R241" i="6"/>
  <c r="M241" i="6"/>
  <c r="L241" i="6"/>
  <c r="O241" i="6"/>
  <c r="P241" i="6" s="1"/>
  <c r="H242" i="6" l="1"/>
  <c r="M242" i="6"/>
  <c r="L242" i="6"/>
  <c r="O242" i="6"/>
  <c r="P242" i="6" s="1"/>
  <c r="N241" i="6"/>
  <c r="G241" i="6" s="1"/>
  <c r="F243" i="6"/>
  <c r="Z243" i="6"/>
  <c r="D243" i="6"/>
  <c r="K243" i="6" s="1"/>
  <c r="S243" i="6"/>
  <c r="J243" i="6"/>
  <c r="C243" i="6"/>
  <c r="Q243" i="6" s="1"/>
  <c r="E243" i="6"/>
  <c r="B244" i="6"/>
  <c r="R242" i="6"/>
  <c r="I241" i="6" l="1"/>
  <c r="H243" i="6"/>
  <c r="O243" i="6"/>
  <c r="P243" i="6" s="1"/>
  <c r="M243" i="6"/>
  <c r="L243" i="6"/>
  <c r="B245" i="6"/>
  <c r="E244" i="6"/>
  <c r="H244" i="6" s="1"/>
  <c r="Z244" i="6"/>
  <c r="D244" i="6"/>
  <c r="K244" i="6" s="1"/>
  <c r="S244" i="6"/>
  <c r="C244" i="6"/>
  <c r="Q244" i="6" s="1"/>
  <c r="J244" i="6"/>
  <c r="F244" i="6"/>
  <c r="R243" i="6"/>
  <c r="N242" i="6"/>
  <c r="G242" i="6" s="1"/>
  <c r="M244" i="6" l="1"/>
  <c r="L244" i="6"/>
  <c r="O244" i="6"/>
  <c r="P244" i="6" s="1"/>
  <c r="I242" i="6"/>
  <c r="J245" i="6"/>
  <c r="B246" i="6"/>
  <c r="E245" i="6"/>
  <c r="H245" i="6" s="1"/>
  <c r="Z245" i="6"/>
  <c r="D245" i="6"/>
  <c r="K245" i="6" s="1"/>
  <c r="S245" i="6"/>
  <c r="C245" i="6"/>
  <c r="Q245" i="6" s="1"/>
  <c r="F245" i="6"/>
  <c r="N243" i="6"/>
  <c r="G243" i="6" s="1"/>
  <c r="R244" i="6"/>
  <c r="I243" i="6" l="1"/>
  <c r="F246" i="6"/>
  <c r="B247" i="6"/>
  <c r="E246" i="6"/>
  <c r="Z246" i="6"/>
  <c r="D246" i="6"/>
  <c r="K246" i="6" s="1"/>
  <c r="J246" i="6"/>
  <c r="C246" i="6"/>
  <c r="Q246" i="6" s="1"/>
  <c r="S246" i="6"/>
  <c r="R245" i="6"/>
  <c r="O245" i="6"/>
  <c r="P245" i="6" s="1"/>
  <c r="M245" i="6"/>
  <c r="L245" i="6"/>
  <c r="N244" i="6"/>
  <c r="G244" i="6" s="1"/>
  <c r="O246" i="6" l="1"/>
  <c r="P246" i="6" s="1"/>
  <c r="M246" i="6"/>
  <c r="L246" i="6"/>
  <c r="H246" i="6"/>
  <c r="I244" i="6"/>
  <c r="Z247" i="6"/>
  <c r="D247" i="6"/>
  <c r="K247" i="6" s="1"/>
  <c r="S247" i="6"/>
  <c r="C247" i="6"/>
  <c r="Q247" i="6" s="1"/>
  <c r="J247" i="6"/>
  <c r="B248" i="6"/>
  <c r="E247" i="6"/>
  <c r="F247" i="6"/>
  <c r="R246" i="6"/>
  <c r="N245" i="6"/>
  <c r="G245" i="6" s="1"/>
  <c r="H247" i="6" l="1"/>
  <c r="N246" i="6"/>
  <c r="G246" i="6" s="1"/>
  <c r="L247" i="6"/>
  <c r="O247" i="6"/>
  <c r="P247" i="6" s="1"/>
  <c r="M247" i="6"/>
  <c r="N247" i="6" s="1"/>
  <c r="G247" i="6" s="1"/>
  <c r="I245" i="6"/>
  <c r="F248" i="6"/>
  <c r="Z248" i="6"/>
  <c r="D248" i="6"/>
  <c r="K248" i="6" s="1"/>
  <c r="S248" i="6"/>
  <c r="E248" i="6"/>
  <c r="C248" i="6"/>
  <c r="Q248" i="6" s="1"/>
  <c r="B249" i="6"/>
  <c r="J248" i="6"/>
  <c r="R247" i="6"/>
  <c r="I246" i="6"/>
  <c r="O248" i="6" l="1"/>
  <c r="P248" i="6" s="1"/>
  <c r="L248" i="6"/>
  <c r="M248" i="6"/>
  <c r="F249" i="6"/>
  <c r="B250" i="6"/>
  <c r="E249" i="6"/>
  <c r="H249" i="6" s="1"/>
  <c r="Z249" i="6"/>
  <c r="D249" i="6"/>
  <c r="K249" i="6" s="1"/>
  <c r="S249" i="6"/>
  <c r="C249" i="6"/>
  <c r="Q249" i="6" s="1"/>
  <c r="J249" i="6"/>
  <c r="I247" i="6"/>
  <c r="H248" i="6"/>
  <c r="R248" i="6" s="1"/>
  <c r="S250" i="6" l="1"/>
  <c r="C250" i="6"/>
  <c r="Q250" i="6" s="1"/>
  <c r="J250" i="6"/>
  <c r="F250" i="6"/>
  <c r="B251" i="6"/>
  <c r="E250" i="6"/>
  <c r="H250" i="6" s="1"/>
  <c r="D250" i="6"/>
  <c r="K250" i="6" s="1"/>
  <c r="Z250" i="6"/>
  <c r="M249" i="6"/>
  <c r="L249" i="6"/>
  <c r="O249" i="6"/>
  <c r="P249" i="6" s="1"/>
  <c r="N248" i="6"/>
  <c r="G248" i="6" s="1"/>
  <c r="R249" i="6"/>
  <c r="R250" i="6" l="1"/>
  <c r="L250" i="6"/>
  <c r="O250" i="6"/>
  <c r="P250" i="6" s="1"/>
  <c r="M250" i="6"/>
  <c r="I248" i="6"/>
  <c r="F251" i="6"/>
  <c r="B252" i="6"/>
  <c r="E251" i="6"/>
  <c r="H251" i="6" s="1"/>
  <c r="S251" i="6"/>
  <c r="C251" i="6"/>
  <c r="Q251" i="6" s="1"/>
  <c r="J251" i="6"/>
  <c r="Z251" i="6"/>
  <c r="D251" i="6"/>
  <c r="K251" i="6" s="1"/>
  <c r="N249" i="6"/>
  <c r="G249" i="6" s="1"/>
  <c r="R251" i="6" l="1"/>
  <c r="B253" i="6"/>
  <c r="E252" i="6"/>
  <c r="H252" i="6" s="1"/>
  <c r="Z252" i="6"/>
  <c r="D252" i="6"/>
  <c r="K252" i="6" s="1"/>
  <c r="S252" i="6"/>
  <c r="C252" i="6"/>
  <c r="Q252" i="6" s="1"/>
  <c r="J252" i="6"/>
  <c r="F252" i="6"/>
  <c r="O251" i="6"/>
  <c r="P251" i="6" s="1"/>
  <c r="M251" i="6"/>
  <c r="L251" i="6"/>
  <c r="N250" i="6"/>
  <c r="G250" i="6" s="1"/>
  <c r="I249" i="6"/>
  <c r="I250" i="6" l="1"/>
  <c r="R252" i="6"/>
  <c r="M252" i="6"/>
  <c r="L252" i="6"/>
  <c r="O252" i="6"/>
  <c r="P252" i="6" s="1"/>
  <c r="N251" i="6"/>
  <c r="G251" i="6" s="1"/>
  <c r="J253" i="6"/>
  <c r="B254" i="6"/>
  <c r="E253" i="6"/>
  <c r="C253" i="6"/>
  <c r="Q253" i="6" s="1"/>
  <c r="Z253" i="6"/>
  <c r="F253" i="6"/>
  <c r="S253" i="6"/>
  <c r="D253" i="6"/>
  <c r="K253" i="6" s="1"/>
  <c r="I251" i="6" l="1"/>
  <c r="H253" i="6"/>
  <c r="O253" i="6"/>
  <c r="P253" i="6" s="1"/>
  <c r="M253" i="6"/>
  <c r="L253" i="6"/>
  <c r="R253" i="6"/>
  <c r="N252" i="6"/>
  <c r="G252" i="6" s="1"/>
  <c r="F254" i="6"/>
  <c r="B255" i="6"/>
  <c r="E254" i="6"/>
  <c r="Z254" i="6"/>
  <c r="D254" i="6"/>
  <c r="K254" i="6" s="1"/>
  <c r="J254" i="6"/>
  <c r="C254" i="6"/>
  <c r="Q254" i="6" s="1"/>
  <c r="S254" i="6"/>
  <c r="Z255" i="6" l="1"/>
  <c r="D255" i="6"/>
  <c r="K255" i="6" s="1"/>
  <c r="S255" i="6"/>
  <c r="C255" i="6"/>
  <c r="Q255" i="6" s="1"/>
  <c r="J255" i="6"/>
  <c r="F255" i="6"/>
  <c r="B256" i="6"/>
  <c r="E255" i="6"/>
  <c r="H255" i="6" s="1"/>
  <c r="I252" i="6"/>
  <c r="O254" i="6"/>
  <c r="P254" i="6" s="1"/>
  <c r="M254" i="6"/>
  <c r="L254" i="6"/>
  <c r="N253" i="6"/>
  <c r="G253" i="6" s="1"/>
  <c r="H254" i="6"/>
  <c r="R254" i="6" s="1"/>
  <c r="I253" i="6" l="1"/>
  <c r="L255" i="6"/>
  <c r="O255" i="6"/>
  <c r="P255" i="6" s="1"/>
  <c r="M255" i="6"/>
  <c r="N255" i="6" s="1"/>
  <c r="G255" i="6" s="1"/>
  <c r="F256" i="6"/>
  <c r="Z256" i="6"/>
  <c r="D256" i="6"/>
  <c r="K256" i="6" s="1"/>
  <c r="S256" i="6"/>
  <c r="C256" i="6"/>
  <c r="Q256" i="6" s="1"/>
  <c r="B257" i="6"/>
  <c r="J256" i="6"/>
  <c r="E256" i="6"/>
  <c r="R255" i="6"/>
  <c r="N254" i="6"/>
  <c r="G254" i="6" s="1"/>
  <c r="I254" i="6" l="1"/>
  <c r="H256" i="6"/>
  <c r="R256" i="6" s="1"/>
  <c r="O256" i="6"/>
  <c r="P256" i="6" s="1"/>
  <c r="L256" i="6"/>
  <c r="M256" i="6"/>
  <c r="N256" i="6" s="1"/>
  <c r="G256" i="6" s="1"/>
  <c r="I255" i="6"/>
  <c r="F257" i="6"/>
  <c r="E257" i="6"/>
  <c r="D257" i="6"/>
  <c r="K257" i="6" s="1"/>
  <c r="B258" i="6"/>
  <c r="C257" i="6"/>
  <c r="Q257" i="6" s="1"/>
  <c r="S257" i="6"/>
  <c r="J257" i="6"/>
  <c r="Z257" i="6"/>
  <c r="O257" i="6" l="1"/>
  <c r="P257" i="6" s="1"/>
  <c r="M257" i="6"/>
  <c r="L257" i="6"/>
  <c r="B259" i="6"/>
  <c r="E258" i="6"/>
  <c r="F258" i="6"/>
  <c r="D258" i="6"/>
  <c r="K258" i="6" s="1"/>
  <c r="C258" i="6"/>
  <c r="Q258" i="6" s="1"/>
  <c r="Z258" i="6"/>
  <c r="J258" i="6"/>
  <c r="S258" i="6"/>
  <c r="H257" i="6"/>
  <c r="R257" i="6" s="1"/>
  <c r="I256" i="6"/>
  <c r="H258" i="6" l="1"/>
  <c r="R258" i="6" s="1"/>
  <c r="J259" i="6"/>
  <c r="E259" i="6"/>
  <c r="H259" i="6" s="1"/>
  <c r="D259" i="6"/>
  <c r="K259" i="6" s="1"/>
  <c r="B260" i="6"/>
  <c r="C259" i="6"/>
  <c r="Q259" i="6" s="1"/>
  <c r="R259" i="6" s="1"/>
  <c r="Z259" i="6"/>
  <c r="S259" i="6"/>
  <c r="F259" i="6"/>
  <c r="N257" i="6"/>
  <c r="G257" i="6" s="1"/>
  <c r="M258" i="6"/>
  <c r="O258" i="6"/>
  <c r="P258" i="6" s="1"/>
  <c r="L258" i="6"/>
  <c r="I257" i="6"/>
  <c r="N258" i="6" l="1"/>
  <c r="G258" i="6" s="1"/>
  <c r="M259" i="6"/>
  <c r="L259" i="6"/>
  <c r="O259" i="6"/>
  <c r="P259" i="6" s="1"/>
  <c r="D260" i="6"/>
  <c r="K260" i="6" s="1"/>
  <c r="B261" i="6"/>
  <c r="C260" i="6"/>
  <c r="Q260" i="6" s="1"/>
  <c r="R260" i="6" s="1"/>
  <c r="Z260" i="6"/>
  <c r="S260" i="6"/>
  <c r="J260" i="6"/>
  <c r="E260" i="6"/>
  <c r="H260" i="6" s="1"/>
  <c r="F260" i="6"/>
  <c r="N259" i="6" l="1"/>
  <c r="G259" i="6" s="1"/>
  <c r="O260" i="6"/>
  <c r="P260" i="6" s="1"/>
  <c r="M260" i="6"/>
  <c r="L260" i="6"/>
  <c r="B262" i="6"/>
  <c r="Z261" i="6"/>
  <c r="D261" i="6"/>
  <c r="K261" i="6" s="1"/>
  <c r="C261" i="6"/>
  <c r="Q261" i="6" s="1"/>
  <c r="S261" i="6"/>
  <c r="J261" i="6"/>
  <c r="F261" i="6"/>
  <c r="E261" i="6"/>
  <c r="H261" i="6" s="1"/>
  <c r="I258" i="6"/>
  <c r="R261" i="6" l="1"/>
  <c r="I259" i="6"/>
  <c r="J262" i="6"/>
  <c r="D262" i="6"/>
  <c r="K262" i="6" s="1"/>
  <c r="C262" i="6"/>
  <c r="Q262" i="6" s="1"/>
  <c r="B263" i="6"/>
  <c r="Z262" i="6"/>
  <c r="S262" i="6"/>
  <c r="F262" i="6"/>
  <c r="E262" i="6"/>
  <c r="H262" i="6" s="1"/>
  <c r="L261" i="6"/>
  <c r="M261" i="6"/>
  <c r="N261" i="6" s="1"/>
  <c r="G261" i="6" s="1"/>
  <c r="O261" i="6"/>
  <c r="P261" i="6" s="1"/>
  <c r="I261" i="6" s="1"/>
  <c r="N260" i="6"/>
  <c r="G260" i="6" s="1"/>
  <c r="I260" i="6" l="1"/>
  <c r="F263" i="6"/>
  <c r="B264" i="6"/>
  <c r="E263" i="6"/>
  <c r="H263" i="6" s="1"/>
  <c r="J263" i="6"/>
  <c r="Z263" i="6"/>
  <c r="S263" i="6"/>
  <c r="D263" i="6"/>
  <c r="K263" i="6" s="1"/>
  <c r="C263" i="6"/>
  <c r="Q263" i="6" s="1"/>
  <c r="R262" i="6"/>
  <c r="O262" i="6"/>
  <c r="P262" i="6" s="1"/>
  <c r="M262" i="6"/>
  <c r="L262" i="6"/>
  <c r="N262" i="6" l="1"/>
  <c r="G262" i="6" s="1"/>
  <c r="O263" i="6"/>
  <c r="P263" i="6" s="1"/>
  <c r="M263" i="6"/>
  <c r="L263" i="6"/>
  <c r="I262" i="6"/>
  <c r="Z264" i="6"/>
  <c r="D264" i="6"/>
  <c r="K264" i="6" s="1"/>
  <c r="S264" i="6"/>
  <c r="C264" i="6"/>
  <c r="Q264" i="6" s="1"/>
  <c r="J264" i="6"/>
  <c r="E264" i="6"/>
  <c r="B265" i="6"/>
  <c r="F264" i="6"/>
  <c r="R263" i="6"/>
  <c r="H264" i="6" l="1"/>
  <c r="R264" i="6" s="1"/>
  <c r="N263" i="6"/>
  <c r="G263" i="6" s="1"/>
  <c r="L264" i="6"/>
  <c r="O264" i="6"/>
  <c r="P264" i="6" s="1"/>
  <c r="M264" i="6"/>
  <c r="N264" i="6" s="1"/>
  <c r="G264" i="6" s="1"/>
  <c r="B266" i="6"/>
  <c r="J265" i="6"/>
  <c r="Z265" i="6"/>
  <c r="F265" i="6"/>
  <c r="S265" i="6"/>
  <c r="E265" i="6"/>
  <c r="H265" i="6" s="1"/>
  <c r="C265" i="6"/>
  <c r="Q265" i="6" s="1"/>
  <c r="D265" i="6"/>
  <c r="K265" i="6" s="1"/>
  <c r="I263" i="6"/>
  <c r="I264" i="6" l="1"/>
  <c r="O265" i="6"/>
  <c r="P265" i="6" s="1"/>
  <c r="M265" i="6"/>
  <c r="L265" i="6"/>
  <c r="R265" i="6"/>
  <c r="F266" i="6"/>
  <c r="B267" i="6"/>
  <c r="E266" i="6"/>
  <c r="H266" i="6" s="1"/>
  <c r="Z266" i="6"/>
  <c r="D266" i="6"/>
  <c r="K266" i="6" s="1"/>
  <c r="C266" i="6"/>
  <c r="Q266" i="6" s="1"/>
  <c r="S266" i="6"/>
  <c r="J266" i="6"/>
  <c r="Z267" i="6" l="1"/>
  <c r="S267" i="6"/>
  <c r="C267" i="6"/>
  <c r="Q267" i="6" s="1"/>
  <c r="J267" i="6"/>
  <c r="B268" i="6"/>
  <c r="F267" i="6"/>
  <c r="D267" i="6"/>
  <c r="K267" i="6" s="1"/>
  <c r="E267" i="6"/>
  <c r="H267" i="6" s="1"/>
  <c r="N265" i="6"/>
  <c r="G265" i="6" s="1"/>
  <c r="R266" i="6"/>
  <c r="I265" i="6"/>
  <c r="M266" i="6"/>
  <c r="N266" i="6" s="1"/>
  <c r="G266" i="6" s="1"/>
  <c r="L266" i="6"/>
  <c r="O266" i="6"/>
  <c r="P266" i="6" s="1"/>
  <c r="I266" i="6" s="1"/>
  <c r="F268" i="6" l="1"/>
  <c r="B269" i="6"/>
  <c r="E268" i="6"/>
  <c r="H268" i="6" s="1"/>
  <c r="Z268" i="6"/>
  <c r="D268" i="6"/>
  <c r="K268" i="6" s="1"/>
  <c r="S268" i="6"/>
  <c r="C268" i="6"/>
  <c r="Q268" i="6" s="1"/>
  <c r="R268" i="6" s="1"/>
  <c r="J268" i="6"/>
  <c r="R267" i="6"/>
  <c r="L267" i="6"/>
  <c r="O267" i="6"/>
  <c r="P267" i="6" s="1"/>
  <c r="M267" i="6"/>
  <c r="N267" i="6" s="1"/>
  <c r="G267" i="6" s="1"/>
  <c r="O268" i="6" l="1"/>
  <c r="P268" i="6" s="1"/>
  <c r="L268" i="6"/>
  <c r="M268" i="6"/>
  <c r="N268" i="6" s="1"/>
  <c r="G268" i="6" s="1"/>
  <c r="I267" i="6"/>
  <c r="F269" i="6"/>
  <c r="B270" i="6"/>
  <c r="E269" i="6"/>
  <c r="H269" i="6" s="1"/>
  <c r="Z269" i="6"/>
  <c r="D269" i="6"/>
  <c r="K269" i="6" s="1"/>
  <c r="S269" i="6"/>
  <c r="C269" i="6"/>
  <c r="Q269" i="6" s="1"/>
  <c r="J269" i="6"/>
  <c r="S270" i="6" l="1"/>
  <c r="C270" i="6"/>
  <c r="Q270" i="6" s="1"/>
  <c r="J270" i="6"/>
  <c r="F270" i="6"/>
  <c r="E270" i="6"/>
  <c r="H270" i="6" s="1"/>
  <c r="Z270" i="6"/>
  <c r="B271" i="6"/>
  <c r="D270" i="6"/>
  <c r="K270" i="6" s="1"/>
  <c r="R269" i="6"/>
  <c r="M269" i="6"/>
  <c r="L269" i="6"/>
  <c r="O269" i="6"/>
  <c r="P269" i="6" s="1"/>
  <c r="I268" i="6"/>
  <c r="R270" i="6" l="1"/>
  <c r="N269" i="6"/>
  <c r="G269" i="6" s="1"/>
  <c r="F271" i="6"/>
  <c r="B272" i="6"/>
  <c r="E271" i="6"/>
  <c r="H271" i="6" s="1"/>
  <c r="J271" i="6"/>
  <c r="S271" i="6"/>
  <c r="C271" i="6"/>
  <c r="Q271" i="6" s="1"/>
  <c r="Z271" i="6"/>
  <c r="D271" i="6"/>
  <c r="K271" i="6" s="1"/>
  <c r="I269" i="6"/>
  <c r="O270" i="6"/>
  <c r="P270" i="6" s="1"/>
  <c r="M270" i="6"/>
  <c r="L270" i="6"/>
  <c r="O271" i="6" l="1"/>
  <c r="P271" i="6" s="1"/>
  <c r="M271" i="6"/>
  <c r="L271" i="6"/>
  <c r="R271" i="6"/>
  <c r="N270" i="6"/>
  <c r="G270" i="6" s="1"/>
  <c r="B273" i="6"/>
  <c r="E272" i="6"/>
  <c r="Z272" i="6"/>
  <c r="D272" i="6"/>
  <c r="K272" i="6" s="1"/>
  <c r="S272" i="6"/>
  <c r="C272" i="6"/>
  <c r="Q272" i="6" s="1"/>
  <c r="J272" i="6"/>
  <c r="F272" i="6"/>
  <c r="H272" i="6" l="1"/>
  <c r="J273" i="6"/>
  <c r="F273" i="6"/>
  <c r="B274" i="6"/>
  <c r="E273" i="6"/>
  <c r="H273" i="6" s="1"/>
  <c r="Z273" i="6"/>
  <c r="D273" i="6"/>
  <c r="K273" i="6" s="1"/>
  <c r="S273" i="6"/>
  <c r="C273" i="6"/>
  <c r="Q273" i="6" s="1"/>
  <c r="I270" i="6"/>
  <c r="M272" i="6"/>
  <c r="L272" i="6"/>
  <c r="O272" i="6"/>
  <c r="P272" i="6" s="1"/>
  <c r="N271" i="6"/>
  <c r="G271" i="6" s="1"/>
  <c r="R272" i="6"/>
  <c r="I271" i="6" l="1"/>
  <c r="O273" i="6"/>
  <c r="P273" i="6" s="1"/>
  <c r="M273" i="6"/>
  <c r="L273" i="6"/>
  <c r="F274" i="6"/>
  <c r="B275" i="6"/>
  <c r="E274" i="6"/>
  <c r="Z274" i="6"/>
  <c r="D274" i="6"/>
  <c r="K274" i="6" s="1"/>
  <c r="S274" i="6"/>
  <c r="C274" i="6"/>
  <c r="Q274" i="6" s="1"/>
  <c r="J274" i="6"/>
  <c r="N272" i="6"/>
  <c r="G272" i="6" s="1"/>
  <c r="R273" i="6"/>
  <c r="H274" i="6" l="1"/>
  <c r="Z275" i="6"/>
  <c r="D275" i="6"/>
  <c r="K275" i="6" s="1"/>
  <c r="S275" i="6"/>
  <c r="C275" i="6"/>
  <c r="Q275" i="6" s="1"/>
  <c r="J275" i="6"/>
  <c r="B276" i="6"/>
  <c r="E275" i="6"/>
  <c r="H275" i="6" s="1"/>
  <c r="F275" i="6"/>
  <c r="I272" i="6"/>
  <c r="N273" i="6"/>
  <c r="G273" i="6" s="1"/>
  <c r="R274" i="6"/>
  <c r="I273" i="6"/>
  <c r="O274" i="6"/>
  <c r="P274" i="6" s="1"/>
  <c r="M274" i="6"/>
  <c r="L274" i="6"/>
  <c r="N274" i="6" l="1"/>
  <c r="G274" i="6" s="1"/>
  <c r="F276" i="6"/>
  <c r="J276" i="6"/>
  <c r="B277" i="6"/>
  <c r="E276" i="6"/>
  <c r="H276" i="6" s="1"/>
  <c r="S276" i="6"/>
  <c r="D276" i="6"/>
  <c r="K276" i="6" s="1"/>
  <c r="Z276" i="6"/>
  <c r="C276" i="6"/>
  <c r="Q276" i="6" s="1"/>
  <c r="R275" i="6"/>
  <c r="L275" i="6"/>
  <c r="O275" i="6"/>
  <c r="P275" i="6" s="1"/>
  <c r="M275" i="6"/>
  <c r="N275" i="6" s="1"/>
  <c r="G275" i="6" s="1"/>
  <c r="I274" i="6"/>
  <c r="O276" i="6" l="1"/>
  <c r="P276" i="6" s="1"/>
  <c r="M276" i="6"/>
  <c r="L276" i="6"/>
  <c r="I275" i="6"/>
  <c r="F277" i="6"/>
  <c r="B278" i="6"/>
  <c r="E277" i="6"/>
  <c r="H277" i="6" s="1"/>
  <c r="Z277" i="6"/>
  <c r="D277" i="6"/>
  <c r="K277" i="6" s="1"/>
  <c r="S277" i="6"/>
  <c r="C277" i="6"/>
  <c r="Q277" i="6" s="1"/>
  <c r="J277" i="6"/>
  <c r="R276" i="6"/>
  <c r="S278" i="6" l="1"/>
  <c r="C278" i="6"/>
  <c r="Q278" i="6" s="1"/>
  <c r="J278" i="6"/>
  <c r="F278" i="6"/>
  <c r="B279" i="6"/>
  <c r="E278" i="6"/>
  <c r="H278" i="6" s="1"/>
  <c r="Z278" i="6"/>
  <c r="D278" i="6"/>
  <c r="K278" i="6" s="1"/>
  <c r="R277" i="6"/>
  <c r="N276" i="6"/>
  <c r="G276" i="6" s="1"/>
  <c r="M277" i="6"/>
  <c r="L277" i="6"/>
  <c r="O277" i="6"/>
  <c r="P277" i="6" s="1"/>
  <c r="O278" i="6" l="1"/>
  <c r="P278" i="6" s="1"/>
  <c r="M278" i="6"/>
  <c r="L278" i="6"/>
  <c r="F279" i="6"/>
  <c r="B280" i="6"/>
  <c r="E279" i="6"/>
  <c r="H279" i="6" s="1"/>
  <c r="Z279" i="6"/>
  <c r="D279" i="6"/>
  <c r="K279" i="6" s="1"/>
  <c r="S279" i="6"/>
  <c r="C279" i="6"/>
  <c r="Q279" i="6" s="1"/>
  <c r="J279" i="6"/>
  <c r="I276" i="6"/>
  <c r="N277" i="6"/>
  <c r="G277" i="6" s="1"/>
  <c r="R278" i="6"/>
  <c r="O279" i="6" l="1"/>
  <c r="P279" i="6" s="1"/>
  <c r="M279" i="6"/>
  <c r="L279" i="6"/>
  <c r="R279" i="6"/>
  <c r="N278" i="6"/>
  <c r="G278" i="6" s="1"/>
  <c r="I277" i="6"/>
  <c r="B281" i="6"/>
  <c r="E280" i="6"/>
  <c r="Z280" i="6"/>
  <c r="D280" i="6"/>
  <c r="K280" i="6" s="1"/>
  <c r="S280" i="6"/>
  <c r="C280" i="6"/>
  <c r="Q280" i="6" s="1"/>
  <c r="J280" i="6"/>
  <c r="F280" i="6"/>
  <c r="H280" i="6" l="1"/>
  <c r="I278" i="6"/>
  <c r="J281" i="6"/>
  <c r="F281" i="6"/>
  <c r="B282" i="6"/>
  <c r="E281" i="6"/>
  <c r="H281" i="6" s="1"/>
  <c r="Z281" i="6"/>
  <c r="D281" i="6"/>
  <c r="K281" i="6" s="1"/>
  <c r="C281" i="6"/>
  <c r="Q281" i="6" s="1"/>
  <c r="S281" i="6"/>
  <c r="M280" i="6"/>
  <c r="L280" i="6"/>
  <c r="O280" i="6"/>
  <c r="P280" i="6" s="1"/>
  <c r="N279" i="6"/>
  <c r="G279" i="6" s="1"/>
  <c r="R280" i="6"/>
  <c r="I279" i="6" l="1"/>
  <c r="O281" i="6"/>
  <c r="P281" i="6" s="1"/>
  <c r="M281" i="6"/>
  <c r="L281" i="6"/>
  <c r="F282" i="6"/>
  <c r="B283" i="6"/>
  <c r="E282" i="6"/>
  <c r="H282" i="6" s="1"/>
  <c r="Z282" i="6"/>
  <c r="D282" i="6"/>
  <c r="K282" i="6" s="1"/>
  <c r="J282" i="6"/>
  <c r="S282" i="6"/>
  <c r="C282" i="6"/>
  <c r="Q282" i="6" s="1"/>
  <c r="N280" i="6"/>
  <c r="G280" i="6" s="1"/>
  <c r="R281" i="6"/>
  <c r="R282" i="6" l="1"/>
  <c r="I280" i="6"/>
  <c r="Z283" i="6"/>
  <c r="D283" i="6"/>
  <c r="K283" i="6" s="1"/>
  <c r="S283" i="6"/>
  <c r="C283" i="6"/>
  <c r="Q283" i="6" s="1"/>
  <c r="J283" i="6"/>
  <c r="F283" i="6"/>
  <c r="B284" i="6"/>
  <c r="E283" i="6"/>
  <c r="N281" i="6"/>
  <c r="G281" i="6" s="1"/>
  <c r="O282" i="6"/>
  <c r="P282" i="6" s="1"/>
  <c r="M282" i="6"/>
  <c r="L282" i="6"/>
  <c r="I281" i="6"/>
  <c r="L283" i="6" l="1"/>
  <c r="O283" i="6"/>
  <c r="P283" i="6" s="1"/>
  <c r="M283" i="6"/>
  <c r="N283" i="6" s="1"/>
  <c r="G283" i="6" s="1"/>
  <c r="N282" i="6"/>
  <c r="G282" i="6" s="1"/>
  <c r="H283" i="6"/>
  <c r="R283" i="6" s="1"/>
  <c r="F284" i="6"/>
  <c r="B285" i="6"/>
  <c r="E284" i="6"/>
  <c r="Z284" i="6"/>
  <c r="D284" i="6"/>
  <c r="K284" i="6" s="1"/>
  <c r="S284" i="6"/>
  <c r="C284" i="6"/>
  <c r="Q284" i="6" s="1"/>
  <c r="J284" i="6"/>
  <c r="I282" i="6" l="1"/>
  <c r="O284" i="6"/>
  <c r="P284" i="6" s="1"/>
  <c r="M284" i="6"/>
  <c r="L284" i="6"/>
  <c r="I283" i="6"/>
  <c r="H284" i="6"/>
  <c r="R284" i="6" s="1"/>
  <c r="F285" i="6"/>
  <c r="B286" i="6"/>
  <c r="E285" i="6"/>
  <c r="Z285" i="6"/>
  <c r="D285" i="6"/>
  <c r="K285" i="6" s="1"/>
  <c r="S285" i="6"/>
  <c r="C285" i="6"/>
  <c r="Q285" i="6" s="1"/>
  <c r="J285" i="6"/>
  <c r="H285" i="6" l="1"/>
  <c r="R285" i="6"/>
  <c r="M285" i="6"/>
  <c r="L285" i="6"/>
  <c r="O285" i="6"/>
  <c r="P285" i="6" s="1"/>
  <c r="N284" i="6"/>
  <c r="G284" i="6" s="1"/>
  <c r="S286" i="6"/>
  <c r="C286" i="6"/>
  <c r="Q286" i="6" s="1"/>
  <c r="J286" i="6"/>
  <c r="B287" i="6"/>
  <c r="Z286" i="6"/>
  <c r="D286" i="6"/>
  <c r="K286" i="6" s="1"/>
  <c r="F286" i="6"/>
  <c r="E286" i="6"/>
  <c r="H286" i="6" s="1"/>
  <c r="R286" i="6" l="1"/>
  <c r="I284" i="6"/>
  <c r="N285" i="6"/>
  <c r="G285" i="6" s="1"/>
  <c r="O286" i="6"/>
  <c r="P286" i="6" s="1"/>
  <c r="M286" i="6"/>
  <c r="L286" i="6"/>
  <c r="F287" i="6"/>
  <c r="B288" i="6"/>
  <c r="E287" i="6"/>
  <c r="J287" i="6"/>
  <c r="Z287" i="6"/>
  <c r="D287" i="6"/>
  <c r="K287" i="6" s="1"/>
  <c r="S287" i="6"/>
  <c r="C287" i="6"/>
  <c r="Q287" i="6" s="1"/>
  <c r="I285" i="6" l="1"/>
  <c r="H287" i="6"/>
  <c r="R287" i="6" s="1"/>
  <c r="B289" i="6"/>
  <c r="E288" i="6"/>
  <c r="Z288" i="6"/>
  <c r="D288" i="6"/>
  <c r="K288" i="6" s="1"/>
  <c r="S288" i="6"/>
  <c r="C288" i="6"/>
  <c r="Q288" i="6" s="1"/>
  <c r="J288" i="6"/>
  <c r="F288" i="6"/>
  <c r="N286" i="6"/>
  <c r="G286" i="6" s="1"/>
  <c r="O287" i="6"/>
  <c r="P287" i="6" s="1"/>
  <c r="M287" i="6"/>
  <c r="L287" i="6"/>
  <c r="I286" i="6"/>
  <c r="M288" i="6" l="1"/>
  <c r="L288" i="6"/>
  <c r="O288" i="6"/>
  <c r="P288" i="6" s="1"/>
  <c r="H288" i="6"/>
  <c r="R288" i="6" s="1"/>
  <c r="N287" i="6"/>
  <c r="G287" i="6" s="1"/>
  <c r="J289" i="6"/>
  <c r="F289" i="6"/>
  <c r="B290" i="6"/>
  <c r="E289" i="6"/>
  <c r="Z289" i="6"/>
  <c r="D289" i="6"/>
  <c r="K289" i="6" s="1"/>
  <c r="S289" i="6"/>
  <c r="C289" i="6"/>
  <c r="Q289" i="6" s="1"/>
  <c r="N288" i="6" l="1"/>
  <c r="G288" i="6" s="1"/>
  <c r="I287" i="6"/>
  <c r="O289" i="6"/>
  <c r="P289" i="6" s="1"/>
  <c r="L289" i="6"/>
  <c r="M289" i="6"/>
  <c r="N289" i="6" s="1"/>
  <c r="G289" i="6" s="1"/>
  <c r="I288" i="6"/>
  <c r="H289" i="6"/>
  <c r="R289" i="6" s="1"/>
  <c r="F290" i="6"/>
  <c r="B291" i="6"/>
  <c r="E290" i="6"/>
  <c r="Z290" i="6"/>
  <c r="D290" i="6"/>
  <c r="K290" i="6" s="1"/>
  <c r="S290" i="6"/>
  <c r="C290" i="6"/>
  <c r="Q290" i="6" s="1"/>
  <c r="J290" i="6"/>
  <c r="O290" i="6" l="1"/>
  <c r="P290" i="6" s="1"/>
  <c r="M290" i="6"/>
  <c r="L290" i="6"/>
  <c r="I289" i="6"/>
  <c r="H290" i="6"/>
  <c r="R290" i="6" s="1"/>
  <c r="Z291" i="6"/>
  <c r="D291" i="6"/>
  <c r="K291" i="6" s="1"/>
  <c r="S291" i="6"/>
  <c r="C291" i="6"/>
  <c r="Q291" i="6" s="1"/>
  <c r="J291" i="6"/>
  <c r="F291" i="6"/>
  <c r="E291" i="6"/>
  <c r="B292" i="6"/>
  <c r="H291" i="6" l="1"/>
  <c r="N290" i="6"/>
  <c r="G290" i="6" s="1"/>
  <c r="L291" i="6"/>
  <c r="O291" i="6"/>
  <c r="P291" i="6" s="1"/>
  <c r="M291" i="6"/>
  <c r="N291" i="6" s="1"/>
  <c r="G291" i="6" s="1"/>
  <c r="F292" i="6"/>
  <c r="J292" i="6"/>
  <c r="B293" i="6"/>
  <c r="E292" i="6"/>
  <c r="S292" i="6"/>
  <c r="D292" i="6"/>
  <c r="K292" i="6" s="1"/>
  <c r="C292" i="6"/>
  <c r="Q292" i="6" s="1"/>
  <c r="Z292" i="6"/>
  <c r="R291" i="6"/>
  <c r="I290" i="6"/>
  <c r="O292" i="6" l="1"/>
  <c r="P292" i="6" s="1"/>
  <c r="M292" i="6"/>
  <c r="L292" i="6"/>
  <c r="F293" i="6"/>
  <c r="B294" i="6"/>
  <c r="E293" i="6"/>
  <c r="H293" i="6" s="1"/>
  <c r="Z293" i="6"/>
  <c r="D293" i="6"/>
  <c r="K293" i="6" s="1"/>
  <c r="S293" i="6"/>
  <c r="C293" i="6"/>
  <c r="Q293" i="6" s="1"/>
  <c r="R293" i="6" s="1"/>
  <c r="J293" i="6"/>
  <c r="I291" i="6"/>
  <c r="H292" i="6"/>
  <c r="R292" i="6" s="1"/>
  <c r="N292" i="6" l="1"/>
  <c r="G292" i="6" s="1"/>
  <c r="M293" i="6"/>
  <c r="L293" i="6"/>
  <c r="O293" i="6"/>
  <c r="P293" i="6" s="1"/>
  <c r="I292" i="6"/>
  <c r="S294" i="6"/>
  <c r="C294" i="6"/>
  <c r="Q294" i="6" s="1"/>
  <c r="J294" i="6"/>
  <c r="F294" i="6"/>
  <c r="B295" i="6"/>
  <c r="E294" i="6"/>
  <c r="Z294" i="6"/>
  <c r="D294" i="6"/>
  <c r="K294" i="6" s="1"/>
  <c r="O294" i="6" l="1"/>
  <c r="P294" i="6" s="1"/>
  <c r="M294" i="6"/>
  <c r="L294" i="6"/>
  <c r="H294" i="6"/>
  <c r="R294" i="6" s="1"/>
  <c r="F295" i="6"/>
  <c r="E295" i="6"/>
  <c r="H295" i="6" s="1"/>
  <c r="D295" i="6"/>
  <c r="K295" i="6" s="1"/>
  <c r="B296" i="6"/>
  <c r="C295" i="6"/>
  <c r="Q295" i="6" s="1"/>
  <c r="Z295" i="6"/>
  <c r="S295" i="6"/>
  <c r="J295" i="6"/>
  <c r="N293" i="6"/>
  <c r="G293" i="6" s="1"/>
  <c r="N294" i="6" l="1"/>
  <c r="G294" i="6" s="1"/>
  <c r="R295" i="6"/>
  <c r="S296" i="6"/>
  <c r="C296" i="6"/>
  <c r="Q296" i="6" s="1"/>
  <c r="F296" i="6"/>
  <c r="E296" i="6"/>
  <c r="H296" i="6" s="1"/>
  <c r="D296" i="6"/>
  <c r="K296" i="6" s="1"/>
  <c r="B297" i="6"/>
  <c r="Z296" i="6"/>
  <c r="J296" i="6"/>
  <c r="I293" i="6"/>
  <c r="O295" i="6"/>
  <c r="P295" i="6" s="1"/>
  <c r="M295" i="6"/>
  <c r="L295" i="6"/>
  <c r="O296" i="6" l="1"/>
  <c r="P296" i="6" s="1"/>
  <c r="M296" i="6"/>
  <c r="L296" i="6"/>
  <c r="R296" i="6"/>
  <c r="I294" i="6"/>
  <c r="N295" i="6"/>
  <c r="G295" i="6" s="1"/>
  <c r="B298" i="6"/>
  <c r="Z297" i="6"/>
  <c r="D297" i="6"/>
  <c r="K297" i="6" s="1"/>
  <c r="S297" i="6"/>
  <c r="F297" i="6"/>
  <c r="E297" i="6"/>
  <c r="C297" i="6"/>
  <c r="Q297" i="6" s="1"/>
  <c r="J297" i="6"/>
  <c r="H297" i="6" l="1"/>
  <c r="I295" i="6"/>
  <c r="J298" i="6"/>
  <c r="B299" i="6"/>
  <c r="Z298" i="6"/>
  <c r="F298" i="6"/>
  <c r="E298" i="6"/>
  <c r="D298" i="6"/>
  <c r="K298" i="6" s="1"/>
  <c r="C298" i="6"/>
  <c r="Q298" i="6" s="1"/>
  <c r="S298" i="6"/>
  <c r="R297" i="6"/>
  <c r="L297" i="6"/>
  <c r="O297" i="6"/>
  <c r="P297" i="6" s="1"/>
  <c r="M297" i="6"/>
  <c r="N297" i="6" s="1"/>
  <c r="G297" i="6" s="1"/>
  <c r="N296" i="6"/>
  <c r="G296" i="6" s="1"/>
  <c r="I296" i="6" l="1"/>
  <c r="H298" i="6"/>
  <c r="I297" i="6"/>
  <c r="F299" i="6"/>
  <c r="E299" i="6"/>
  <c r="H299" i="6" s="1"/>
  <c r="D299" i="6"/>
  <c r="K299" i="6" s="1"/>
  <c r="C299" i="6"/>
  <c r="Q299" i="6" s="1"/>
  <c r="J299" i="6"/>
  <c r="S299" i="6"/>
  <c r="Z299" i="6"/>
  <c r="B300" i="6"/>
  <c r="M298" i="6"/>
  <c r="L298" i="6"/>
  <c r="O298" i="6"/>
  <c r="P298" i="6" s="1"/>
  <c r="R298" i="6"/>
  <c r="R299" i="6" l="1"/>
  <c r="O299" i="6"/>
  <c r="P299" i="6" s="1"/>
  <c r="L299" i="6"/>
  <c r="M299" i="6"/>
  <c r="N299" i="6" s="1"/>
  <c r="G299" i="6" s="1"/>
  <c r="N298" i="6"/>
  <c r="G298" i="6" s="1"/>
  <c r="Z300" i="6"/>
  <c r="D300" i="6"/>
  <c r="K300" i="6" s="1"/>
  <c r="S300" i="6"/>
  <c r="C300" i="6"/>
  <c r="Q300" i="6" s="1"/>
  <c r="E300" i="6"/>
  <c r="J300" i="6"/>
  <c r="B301" i="6"/>
  <c r="F300" i="6"/>
  <c r="F301" i="6" l="1"/>
  <c r="D301" i="6"/>
  <c r="K301" i="6" s="1"/>
  <c r="C301" i="6"/>
  <c r="Q301" i="6" s="1"/>
  <c r="B302" i="6"/>
  <c r="Z301" i="6"/>
  <c r="S301" i="6"/>
  <c r="E301" i="6"/>
  <c r="H301" i="6" s="1"/>
  <c r="J301" i="6"/>
  <c r="I298" i="6"/>
  <c r="L300" i="6"/>
  <c r="O300" i="6"/>
  <c r="P300" i="6" s="1"/>
  <c r="M300" i="6"/>
  <c r="H300" i="6"/>
  <c r="R300" i="6" s="1"/>
  <c r="I299" i="6"/>
  <c r="N300" i="6" l="1"/>
  <c r="G300" i="6" s="1"/>
  <c r="F302" i="6"/>
  <c r="B303" i="6"/>
  <c r="E302" i="6"/>
  <c r="S302" i="6"/>
  <c r="J302" i="6"/>
  <c r="Z302" i="6"/>
  <c r="D302" i="6"/>
  <c r="K302" i="6" s="1"/>
  <c r="C302" i="6"/>
  <c r="Q302" i="6" s="1"/>
  <c r="R301" i="6"/>
  <c r="O301" i="6"/>
  <c r="P301" i="6" s="1"/>
  <c r="M301" i="6"/>
  <c r="L301" i="6"/>
  <c r="I300" i="6" l="1"/>
  <c r="M302" i="6"/>
  <c r="L302" i="6"/>
  <c r="O302" i="6"/>
  <c r="P302" i="6" s="1"/>
  <c r="H302" i="6"/>
  <c r="N301" i="6"/>
  <c r="G301" i="6" s="1"/>
  <c r="S303" i="6"/>
  <c r="C303" i="6"/>
  <c r="Q303" i="6" s="1"/>
  <c r="J303" i="6"/>
  <c r="D303" i="6"/>
  <c r="K303" i="6" s="1"/>
  <c r="F303" i="6"/>
  <c r="E303" i="6"/>
  <c r="H303" i="6" s="1"/>
  <c r="B304" i="6"/>
  <c r="Z303" i="6"/>
  <c r="R302" i="6"/>
  <c r="I301" i="6" l="1"/>
  <c r="R303" i="6"/>
  <c r="C304" i="6"/>
  <c r="Q304" i="6" s="1"/>
  <c r="Z304" i="6"/>
  <c r="S304" i="6"/>
  <c r="F304" i="6"/>
  <c r="E304" i="6"/>
  <c r="D304" i="6"/>
  <c r="K304" i="6" s="1"/>
  <c r="J304" i="6"/>
  <c r="B305" i="6"/>
  <c r="L303" i="6"/>
  <c r="O303" i="6"/>
  <c r="P303" i="6" s="1"/>
  <c r="M303" i="6"/>
  <c r="N303" i="6" s="1"/>
  <c r="G303" i="6" s="1"/>
  <c r="N302" i="6"/>
  <c r="G302" i="6" s="1"/>
  <c r="H304" i="6" l="1"/>
  <c r="I303" i="6"/>
  <c r="O304" i="6"/>
  <c r="P304" i="6" s="1"/>
  <c r="M304" i="6"/>
  <c r="L304" i="6"/>
  <c r="R304" i="6"/>
  <c r="I302" i="6"/>
  <c r="B306" i="6"/>
  <c r="E305" i="6"/>
  <c r="Z305" i="6"/>
  <c r="D305" i="6"/>
  <c r="K305" i="6" s="1"/>
  <c r="F305" i="6"/>
  <c r="J305" i="6"/>
  <c r="S305" i="6"/>
  <c r="C305" i="6"/>
  <c r="Q305" i="6" s="1"/>
  <c r="H305" i="6" l="1"/>
  <c r="R305" i="6" s="1"/>
  <c r="J306" i="6"/>
  <c r="S306" i="6"/>
  <c r="Z306" i="6"/>
  <c r="F306" i="6"/>
  <c r="E306" i="6"/>
  <c r="H306" i="6" s="1"/>
  <c r="D306" i="6"/>
  <c r="K306" i="6" s="1"/>
  <c r="C306" i="6"/>
  <c r="Q306" i="6" s="1"/>
  <c r="B307" i="6"/>
  <c r="N304" i="6"/>
  <c r="G304" i="6" s="1"/>
  <c r="M305" i="6"/>
  <c r="L305" i="6"/>
  <c r="O305" i="6"/>
  <c r="P305" i="6" s="1"/>
  <c r="O306" i="6" l="1"/>
  <c r="P306" i="6" s="1"/>
  <c r="M306" i="6"/>
  <c r="L306" i="6"/>
  <c r="F307" i="6"/>
  <c r="Z307" i="6"/>
  <c r="J307" i="6"/>
  <c r="B308" i="6"/>
  <c r="S307" i="6"/>
  <c r="E307" i="6"/>
  <c r="D307" i="6"/>
  <c r="K307" i="6" s="1"/>
  <c r="C307" i="6"/>
  <c r="Q307" i="6" s="1"/>
  <c r="N305" i="6"/>
  <c r="G305" i="6" s="1"/>
  <c r="I304" i="6"/>
  <c r="R306" i="6"/>
  <c r="I305" i="6" l="1"/>
  <c r="Z308" i="6"/>
  <c r="D308" i="6"/>
  <c r="K308" i="6" s="1"/>
  <c r="S308" i="6"/>
  <c r="C308" i="6"/>
  <c r="Q308" i="6" s="1"/>
  <c r="F308" i="6"/>
  <c r="E308" i="6"/>
  <c r="J308" i="6"/>
  <c r="B309" i="6"/>
  <c r="O307" i="6"/>
  <c r="P307" i="6" s="1"/>
  <c r="L307" i="6"/>
  <c r="M307" i="6"/>
  <c r="N306" i="6"/>
  <c r="G306" i="6" s="1"/>
  <c r="H307" i="6"/>
  <c r="R307" i="6" s="1"/>
  <c r="I306" i="6" l="1"/>
  <c r="H308" i="6"/>
  <c r="N307" i="6"/>
  <c r="G307" i="6" s="1"/>
  <c r="D309" i="6"/>
  <c r="K309" i="6" s="1"/>
  <c r="B310" i="6"/>
  <c r="J309" i="6"/>
  <c r="Z309" i="6"/>
  <c r="S309" i="6"/>
  <c r="F309" i="6"/>
  <c r="E309" i="6"/>
  <c r="C309" i="6"/>
  <c r="Q309" i="6" s="1"/>
  <c r="L308" i="6"/>
  <c r="M308" i="6"/>
  <c r="O308" i="6"/>
  <c r="P308" i="6" s="1"/>
  <c r="R308" i="6"/>
  <c r="I307" i="6"/>
  <c r="H309" i="6" l="1"/>
  <c r="R309" i="6" s="1"/>
  <c r="N308" i="6"/>
  <c r="G308" i="6" s="1"/>
  <c r="F310" i="6"/>
  <c r="B311" i="6"/>
  <c r="E310" i="6"/>
  <c r="H310" i="6" s="1"/>
  <c r="C310" i="6"/>
  <c r="Q310" i="6" s="1"/>
  <c r="R310" i="6" s="1"/>
  <c r="Z310" i="6"/>
  <c r="S310" i="6"/>
  <c r="J310" i="6"/>
  <c r="D310" i="6"/>
  <c r="K310" i="6" s="1"/>
  <c r="O309" i="6"/>
  <c r="P309" i="6" s="1"/>
  <c r="M309" i="6"/>
  <c r="L309" i="6"/>
  <c r="N309" i="6" l="1"/>
  <c r="G309" i="6" s="1"/>
  <c r="S311" i="6"/>
  <c r="C311" i="6"/>
  <c r="Q311" i="6" s="1"/>
  <c r="J311" i="6"/>
  <c r="Z311" i="6"/>
  <c r="B312" i="6"/>
  <c r="F311" i="6"/>
  <c r="E311" i="6"/>
  <c r="H311" i="6" s="1"/>
  <c r="D311" i="6"/>
  <c r="K311" i="6" s="1"/>
  <c r="M310" i="6"/>
  <c r="O310" i="6"/>
  <c r="P310" i="6" s="1"/>
  <c r="L310" i="6"/>
  <c r="I308" i="6"/>
  <c r="R311" i="6" l="1"/>
  <c r="B313" i="6"/>
  <c r="C312" i="6"/>
  <c r="Q312" i="6" s="1"/>
  <c r="J312" i="6"/>
  <c r="F312" i="6"/>
  <c r="E312" i="6"/>
  <c r="D312" i="6"/>
  <c r="K312" i="6" s="1"/>
  <c r="Z312" i="6"/>
  <c r="S312" i="6"/>
  <c r="N310" i="6"/>
  <c r="G310" i="6" s="1"/>
  <c r="I309" i="6"/>
  <c r="O311" i="6"/>
  <c r="P311" i="6" s="1"/>
  <c r="L311" i="6"/>
  <c r="M311" i="6"/>
  <c r="O312" i="6" l="1"/>
  <c r="P312" i="6" s="1"/>
  <c r="M312" i="6"/>
  <c r="L312" i="6"/>
  <c r="N311" i="6"/>
  <c r="G311" i="6" s="1"/>
  <c r="H312" i="6"/>
  <c r="R312" i="6" s="1"/>
  <c r="B314" i="6"/>
  <c r="E313" i="6"/>
  <c r="Z313" i="6"/>
  <c r="D313" i="6"/>
  <c r="K313" i="6" s="1"/>
  <c r="S313" i="6"/>
  <c r="F313" i="6"/>
  <c r="C313" i="6"/>
  <c r="Q313" i="6" s="1"/>
  <c r="J313" i="6"/>
  <c r="I310" i="6"/>
  <c r="I311" i="6" l="1"/>
  <c r="M313" i="6"/>
  <c r="L313" i="6"/>
  <c r="O313" i="6"/>
  <c r="P313" i="6" s="1"/>
  <c r="N312" i="6"/>
  <c r="G312" i="6" s="1"/>
  <c r="J314" i="6"/>
  <c r="E314" i="6"/>
  <c r="D314" i="6"/>
  <c r="K314" i="6" s="1"/>
  <c r="B315" i="6"/>
  <c r="Z314" i="6"/>
  <c r="S314" i="6"/>
  <c r="C314" i="6"/>
  <c r="Q314" i="6" s="1"/>
  <c r="F314" i="6"/>
  <c r="H313" i="6"/>
  <c r="R313" i="6" s="1"/>
  <c r="I312" i="6"/>
  <c r="H314" i="6" l="1"/>
  <c r="R314" i="6" s="1"/>
  <c r="N313" i="6"/>
  <c r="G313" i="6" s="1"/>
  <c r="F315" i="6"/>
  <c r="E315" i="6"/>
  <c r="H315" i="6" s="1"/>
  <c r="J315" i="6"/>
  <c r="B316" i="6"/>
  <c r="Z315" i="6"/>
  <c r="D315" i="6"/>
  <c r="K315" i="6" s="1"/>
  <c r="C315" i="6"/>
  <c r="Q315" i="6" s="1"/>
  <c r="S315" i="6"/>
  <c r="O314" i="6"/>
  <c r="P314" i="6" s="1"/>
  <c r="M314" i="6"/>
  <c r="L314" i="6"/>
  <c r="Z316" i="6" l="1"/>
  <c r="D316" i="6"/>
  <c r="K316" i="6" s="1"/>
  <c r="S316" i="6"/>
  <c r="C316" i="6"/>
  <c r="Q316" i="6" s="1"/>
  <c r="B317" i="6"/>
  <c r="F316" i="6"/>
  <c r="E316" i="6"/>
  <c r="H316" i="6" s="1"/>
  <c r="J316" i="6"/>
  <c r="R315" i="6"/>
  <c r="I313" i="6"/>
  <c r="N314" i="6"/>
  <c r="G314" i="6" s="1"/>
  <c r="O315" i="6"/>
  <c r="P315" i="6" s="1"/>
  <c r="M315" i="6"/>
  <c r="L315" i="6"/>
  <c r="I314" i="6" l="1"/>
  <c r="N315" i="6"/>
  <c r="G315" i="6" s="1"/>
  <c r="R316" i="6"/>
  <c r="L316" i="6"/>
  <c r="O316" i="6"/>
  <c r="P316" i="6" s="1"/>
  <c r="M316" i="6"/>
  <c r="N316" i="6" s="1"/>
  <c r="G316" i="6" s="1"/>
  <c r="B318" i="6"/>
  <c r="C317" i="6"/>
  <c r="Q317" i="6" s="1"/>
  <c r="J317" i="6"/>
  <c r="Z317" i="6"/>
  <c r="S317" i="6"/>
  <c r="D317" i="6"/>
  <c r="K317" i="6" s="1"/>
  <c r="F317" i="6"/>
  <c r="E317" i="6"/>
  <c r="H317" i="6" s="1"/>
  <c r="R317" i="6" l="1"/>
  <c r="F318" i="6"/>
  <c r="B319" i="6"/>
  <c r="E318" i="6"/>
  <c r="H318" i="6" s="1"/>
  <c r="C318" i="6"/>
  <c r="Q318" i="6" s="1"/>
  <c r="J318" i="6"/>
  <c r="Z318" i="6"/>
  <c r="S318" i="6"/>
  <c r="D318" i="6"/>
  <c r="K318" i="6" s="1"/>
  <c r="I316" i="6"/>
  <c r="I315" i="6"/>
  <c r="L317" i="6"/>
  <c r="O317" i="6"/>
  <c r="P317" i="6" s="1"/>
  <c r="M317" i="6"/>
  <c r="N317" i="6" l="1"/>
  <c r="G317" i="6" s="1"/>
  <c r="M318" i="6"/>
  <c r="O318" i="6"/>
  <c r="P318" i="6" s="1"/>
  <c r="L318" i="6"/>
  <c r="I317" i="6"/>
  <c r="R318" i="6"/>
  <c r="S319" i="6"/>
  <c r="C319" i="6"/>
  <c r="Q319" i="6" s="1"/>
  <c r="J319" i="6"/>
  <c r="F319" i="6"/>
  <c r="E319" i="6"/>
  <c r="H319" i="6" s="1"/>
  <c r="B320" i="6"/>
  <c r="Z319" i="6"/>
  <c r="D319" i="6"/>
  <c r="K319" i="6" s="1"/>
  <c r="N318" i="6" l="1"/>
  <c r="G318" i="6" s="1"/>
  <c r="R319" i="6"/>
  <c r="O319" i="6"/>
  <c r="P319" i="6" s="1"/>
  <c r="M319" i="6"/>
  <c r="L319" i="6"/>
  <c r="B321" i="6"/>
  <c r="S320" i="6"/>
  <c r="F320" i="6"/>
  <c r="Z320" i="6"/>
  <c r="J320" i="6"/>
  <c r="E320" i="6"/>
  <c r="D320" i="6"/>
  <c r="K320" i="6" s="1"/>
  <c r="C320" i="6"/>
  <c r="Q320" i="6" s="1"/>
  <c r="I318" i="6" l="1"/>
  <c r="B322" i="6"/>
  <c r="E321" i="6"/>
  <c r="Z321" i="6"/>
  <c r="D321" i="6"/>
  <c r="K321" i="6" s="1"/>
  <c r="J321" i="6"/>
  <c r="S321" i="6"/>
  <c r="F321" i="6"/>
  <c r="C321" i="6"/>
  <c r="Q321" i="6" s="1"/>
  <c r="O320" i="6"/>
  <c r="P320" i="6" s="1"/>
  <c r="M320" i="6"/>
  <c r="L320" i="6"/>
  <c r="N319" i="6"/>
  <c r="G319" i="6" s="1"/>
  <c r="H320" i="6"/>
  <c r="R320" i="6" s="1"/>
  <c r="I319" i="6" l="1"/>
  <c r="N320" i="6"/>
  <c r="G320" i="6" s="1"/>
  <c r="M321" i="6"/>
  <c r="L321" i="6"/>
  <c r="O321" i="6"/>
  <c r="P321" i="6" s="1"/>
  <c r="H321" i="6"/>
  <c r="R321" i="6" s="1"/>
  <c r="I320" i="6"/>
  <c r="J322" i="6"/>
  <c r="E322" i="6"/>
  <c r="C322" i="6"/>
  <c r="Q322" i="6" s="1"/>
  <c r="B323" i="6"/>
  <c r="Z322" i="6"/>
  <c r="S322" i="6"/>
  <c r="F322" i="6"/>
  <c r="D322" i="6"/>
  <c r="K322" i="6" s="1"/>
  <c r="N321" i="6" l="1"/>
  <c r="G321" i="6" s="1"/>
  <c r="H322" i="6"/>
  <c r="R322" i="6" s="1"/>
  <c r="I321" i="6"/>
  <c r="O322" i="6"/>
  <c r="P322" i="6" s="1"/>
  <c r="M322" i="6"/>
  <c r="L322" i="6"/>
  <c r="F323" i="6"/>
  <c r="D323" i="6"/>
  <c r="K323" i="6" s="1"/>
  <c r="C323" i="6"/>
  <c r="Q323" i="6" s="1"/>
  <c r="J323" i="6"/>
  <c r="B324" i="6"/>
  <c r="E323" i="6"/>
  <c r="Z323" i="6"/>
  <c r="S323" i="6"/>
  <c r="N322" i="6" l="1"/>
  <c r="G322" i="6" s="1"/>
  <c r="H323" i="6"/>
  <c r="R323" i="6" s="1"/>
  <c r="O323" i="6"/>
  <c r="P323" i="6" s="1"/>
  <c r="M323" i="6"/>
  <c r="L323" i="6"/>
  <c r="I322" i="6"/>
  <c r="Z324" i="6"/>
  <c r="D324" i="6"/>
  <c r="K324" i="6" s="1"/>
  <c r="S324" i="6"/>
  <c r="C324" i="6"/>
  <c r="Q324" i="6" s="1"/>
  <c r="B325" i="6"/>
  <c r="F324" i="6"/>
  <c r="J324" i="6"/>
  <c r="E324" i="6"/>
  <c r="L324" i="6" l="1"/>
  <c r="O324" i="6"/>
  <c r="P324" i="6" s="1"/>
  <c r="M324" i="6"/>
  <c r="H324" i="6"/>
  <c r="R324" i="6" s="1"/>
  <c r="N323" i="6"/>
  <c r="G323" i="6" s="1"/>
  <c r="Z325" i="6"/>
  <c r="J325" i="6"/>
  <c r="S325" i="6"/>
  <c r="F325" i="6"/>
  <c r="E325" i="6"/>
  <c r="B326" i="6"/>
  <c r="D325" i="6"/>
  <c r="K325" i="6" s="1"/>
  <c r="C325" i="6"/>
  <c r="Q325" i="6" s="1"/>
  <c r="I323" i="6" l="1"/>
  <c r="N324" i="6"/>
  <c r="G324" i="6" s="1"/>
  <c r="H325" i="6"/>
  <c r="R325" i="6" s="1"/>
  <c r="F326" i="6"/>
  <c r="B327" i="6"/>
  <c r="E326" i="6"/>
  <c r="H326" i="6" s="1"/>
  <c r="C326" i="6"/>
  <c r="Q326" i="6" s="1"/>
  <c r="Z326" i="6"/>
  <c r="J326" i="6"/>
  <c r="S326" i="6"/>
  <c r="D326" i="6"/>
  <c r="K326" i="6" s="1"/>
  <c r="L325" i="6"/>
  <c r="O325" i="6"/>
  <c r="P325" i="6" s="1"/>
  <c r="M325" i="6"/>
  <c r="N325" i="6" s="1"/>
  <c r="G325" i="6" s="1"/>
  <c r="I324" i="6"/>
  <c r="R326" i="6" l="1"/>
  <c r="I325" i="6"/>
  <c r="S327" i="6"/>
  <c r="C327" i="6"/>
  <c r="Q327" i="6" s="1"/>
  <c r="J327" i="6"/>
  <c r="F327" i="6"/>
  <c r="D327" i="6"/>
  <c r="K327" i="6" s="1"/>
  <c r="B328" i="6"/>
  <c r="E327" i="6"/>
  <c r="Z327" i="6"/>
  <c r="M326" i="6"/>
  <c r="O326" i="6"/>
  <c r="P326" i="6" s="1"/>
  <c r="L326" i="6"/>
  <c r="H327" i="6" l="1"/>
  <c r="M327" i="6"/>
  <c r="O327" i="6"/>
  <c r="P327" i="6" s="1"/>
  <c r="L327" i="6"/>
  <c r="S328" i="6"/>
  <c r="E328" i="6"/>
  <c r="H328" i="6" s="1"/>
  <c r="D328" i="6"/>
  <c r="K328" i="6" s="1"/>
  <c r="Z328" i="6"/>
  <c r="J328" i="6"/>
  <c r="F328" i="6"/>
  <c r="C328" i="6"/>
  <c r="Q328" i="6" s="1"/>
  <c r="B329" i="6"/>
  <c r="R327" i="6"/>
  <c r="N326" i="6"/>
  <c r="G326" i="6" s="1"/>
  <c r="O328" i="6" l="1"/>
  <c r="P328" i="6" s="1"/>
  <c r="M328" i="6"/>
  <c r="L328" i="6"/>
  <c r="I326" i="6"/>
  <c r="R328" i="6"/>
  <c r="B330" i="6"/>
  <c r="E329" i="6"/>
  <c r="H329" i="6" s="1"/>
  <c r="Z329" i="6"/>
  <c r="D329" i="6"/>
  <c r="K329" i="6" s="1"/>
  <c r="J329" i="6"/>
  <c r="S329" i="6"/>
  <c r="F329" i="6"/>
  <c r="C329" i="6"/>
  <c r="Q329" i="6" s="1"/>
  <c r="N327" i="6"/>
  <c r="G327" i="6" s="1"/>
  <c r="J330" i="6" l="1"/>
  <c r="C330" i="6"/>
  <c r="Q330" i="6" s="1"/>
  <c r="B331" i="6"/>
  <c r="Z330" i="6"/>
  <c r="F330" i="6"/>
  <c r="E330" i="6"/>
  <c r="H330" i="6" s="1"/>
  <c r="D330" i="6"/>
  <c r="K330" i="6" s="1"/>
  <c r="S330" i="6"/>
  <c r="I327" i="6"/>
  <c r="M329" i="6"/>
  <c r="L329" i="6"/>
  <c r="O329" i="6"/>
  <c r="P329" i="6" s="1"/>
  <c r="N328" i="6"/>
  <c r="G328" i="6" s="1"/>
  <c r="R329" i="6"/>
  <c r="N329" i="6" l="1"/>
  <c r="G329" i="6" s="1"/>
  <c r="M330" i="6"/>
  <c r="O330" i="6"/>
  <c r="P330" i="6" s="1"/>
  <c r="L330" i="6"/>
  <c r="I328" i="6"/>
  <c r="F331" i="6"/>
  <c r="D331" i="6"/>
  <c r="K331" i="6" s="1"/>
  <c r="B332" i="6"/>
  <c r="J331" i="6"/>
  <c r="Z331" i="6"/>
  <c r="S331" i="6"/>
  <c r="E331" i="6"/>
  <c r="C331" i="6"/>
  <c r="Q331" i="6" s="1"/>
  <c r="R330" i="6"/>
  <c r="I329" i="6" l="1"/>
  <c r="Z332" i="6"/>
  <c r="D332" i="6"/>
  <c r="K332" i="6" s="1"/>
  <c r="S332" i="6"/>
  <c r="C332" i="6"/>
  <c r="Q332" i="6" s="1"/>
  <c r="J332" i="6"/>
  <c r="B333" i="6"/>
  <c r="E332" i="6"/>
  <c r="H332" i="6" s="1"/>
  <c r="F332" i="6"/>
  <c r="O331" i="6"/>
  <c r="P331" i="6" s="1"/>
  <c r="L331" i="6"/>
  <c r="M331" i="6"/>
  <c r="H331" i="6"/>
  <c r="R331" i="6" s="1"/>
  <c r="N330" i="6"/>
  <c r="G330" i="6" s="1"/>
  <c r="R332" i="6" l="1"/>
  <c r="N331" i="6"/>
  <c r="G331" i="6" s="1"/>
  <c r="L332" i="6"/>
  <c r="O332" i="6"/>
  <c r="P332" i="6" s="1"/>
  <c r="M332" i="6"/>
  <c r="N332" i="6" s="1"/>
  <c r="G332" i="6" s="1"/>
  <c r="B334" i="6"/>
  <c r="J333" i="6"/>
  <c r="F333" i="6"/>
  <c r="E333" i="6"/>
  <c r="Z333" i="6"/>
  <c r="S333" i="6"/>
  <c r="D333" i="6"/>
  <c r="K333" i="6" s="1"/>
  <c r="C333" i="6"/>
  <c r="Q333" i="6" s="1"/>
  <c r="I330" i="6"/>
  <c r="I331" i="6"/>
  <c r="F334" i="6" l="1"/>
  <c r="B335" i="6"/>
  <c r="E334" i="6"/>
  <c r="H334" i="6" s="1"/>
  <c r="Z334" i="6"/>
  <c r="D334" i="6"/>
  <c r="K334" i="6" s="1"/>
  <c r="S334" i="6"/>
  <c r="C334" i="6"/>
  <c r="Q334" i="6" s="1"/>
  <c r="J334" i="6"/>
  <c r="I332" i="6"/>
  <c r="O333" i="6"/>
  <c r="P333" i="6" s="1"/>
  <c r="M333" i="6"/>
  <c r="L333" i="6"/>
  <c r="H333" i="6"/>
  <c r="R333" i="6" s="1"/>
  <c r="R334" i="6" l="1"/>
  <c r="S335" i="6"/>
  <c r="C335" i="6"/>
  <c r="Q335" i="6" s="1"/>
  <c r="J335" i="6"/>
  <c r="E335" i="6"/>
  <c r="H335" i="6" s="1"/>
  <c r="D335" i="6"/>
  <c r="K335" i="6" s="1"/>
  <c r="B336" i="6"/>
  <c r="Z335" i="6"/>
  <c r="F335" i="6"/>
  <c r="M334" i="6"/>
  <c r="L334" i="6"/>
  <c r="O334" i="6"/>
  <c r="P334" i="6" s="1"/>
  <c r="N333" i="6"/>
  <c r="G333" i="6" s="1"/>
  <c r="N334" i="6" l="1"/>
  <c r="G334" i="6" s="1"/>
  <c r="R335" i="6"/>
  <c r="M335" i="6"/>
  <c r="L335" i="6"/>
  <c r="O335" i="6"/>
  <c r="P335" i="6" s="1"/>
  <c r="F336" i="6"/>
  <c r="Z336" i="6"/>
  <c r="S336" i="6"/>
  <c r="E336" i="6"/>
  <c r="D336" i="6"/>
  <c r="K336" i="6" s="1"/>
  <c r="C336" i="6"/>
  <c r="Q336" i="6" s="1"/>
  <c r="J336" i="6"/>
  <c r="B337" i="6"/>
  <c r="I333" i="6"/>
  <c r="I334" i="6" l="1"/>
  <c r="B338" i="6"/>
  <c r="E337" i="6"/>
  <c r="H337" i="6" s="1"/>
  <c r="Z337" i="6"/>
  <c r="D337" i="6"/>
  <c r="K337" i="6" s="1"/>
  <c r="S337" i="6"/>
  <c r="C337" i="6"/>
  <c r="Q337" i="6" s="1"/>
  <c r="R337" i="6" s="1"/>
  <c r="J337" i="6"/>
  <c r="F337" i="6"/>
  <c r="N335" i="6"/>
  <c r="G335" i="6" s="1"/>
  <c r="O336" i="6"/>
  <c r="P336" i="6" s="1"/>
  <c r="M336" i="6"/>
  <c r="L336" i="6"/>
  <c r="H336" i="6"/>
  <c r="R336" i="6" s="1"/>
  <c r="N336" i="6" l="1"/>
  <c r="G336" i="6" s="1"/>
  <c r="M337" i="6"/>
  <c r="L337" i="6"/>
  <c r="O337" i="6"/>
  <c r="P337" i="6" s="1"/>
  <c r="J338" i="6"/>
  <c r="B339" i="6"/>
  <c r="Z338" i="6"/>
  <c r="F338" i="6"/>
  <c r="S338" i="6"/>
  <c r="E338" i="6"/>
  <c r="D338" i="6"/>
  <c r="K338" i="6" s="1"/>
  <c r="C338" i="6"/>
  <c r="Q338" i="6" s="1"/>
  <c r="I335" i="6"/>
  <c r="H338" i="6" l="1"/>
  <c r="R338" i="6" s="1"/>
  <c r="N337" i="6"/>
  <c r="G337" i="6" s="1"/>
  <c r="F339" i="6"/>
  <c r="B340" i="6"/>
  <c r="E339" i="6"/>
  <c r="H339" i="6" s="1"/>
  <c r="J339" i="6"/>
  <c r="D339" i="6"/>
  <c r="K339" i="6" s="1"/>
  <c r="C339" i="6"/>
  <c r="Q339" i="6" s="1"/>
  <c r="Z339" i="6"/>
  <c r="S339" i="6"/>
  <c r="O338" i="6"/>
  <c r="P338" i="6" s="1"/>
  <c r="M338" i="6"/>
  <c r="L338" i="6"/>
  <c r="I336" i="6"/>
  <c r="R339" i="6" l="1"/>
  <c r="I337" i="6"/>
  <c r="O339" i="6"/>
  <c r="P339" i="6" s="1"/>
  <c r="M339" i="6"/>
  <c r="L339" i="6"/>
  <c r="N338" i="6"/>
  <c r="G338" i="6" s="1"/>
  <c r="D340" i="6"/>
  <c r="K340" i="6" s="1"/>
  <c r="B341" i="6"/>
  <c r="C340" i="6"/>
  <c r="Q340" i="6" s="1"/>
  <c r="Z340" i="6"/>
  <c r="J340" i="6"/>
  <c r="S340" i="6"/>
  <c r="F340" i="6"/>
  <c r="E340" i="6"/>
  <c r="N339" i="6" l="1"/>
  <c r="G339" i="6" s="1"/>
  <c r="H340" i="6"/>
  <c r="R340" i="6" s="1"/>
  <c r="Z341" i="6"/>
  <c r="D341" i="6"/>
  <c r="K341" i="6" s="1"/>
  <c r="S341" i="6"/>
  <c r="C341" i="6"/>
  <c r="Q341" i="6" s="1"/>
  <c r="E341" i="6"/>
  <c r="H341" i="6" s="1"/>
  <c r="B342" i="6"/>
  <c r="F341" i="6"/>
  <c r="J341" i="6"/>
  <c r="O340" i="6"/>
  <c r="P340" i="6" s="1"/>
  <c r="L340" i="6"/>
  <c r="M340" i="6"/>
  <c r="N340" i="6" s="1"/>
  <c r="G340" i="6" s="1"/>
  <c r="I339" i="6"/>
  <c r="I338" i="6"/>
  <c r="F342" i="6" l="1"/>
  <c r="E342" i="6"/>
  <c r="H342" i="6" s="1"/>
  <c r="D342" i="6"/>
  <c r="K342" i="6" s="1"/>
  <c r="B343" i="6"/>
  <c r="C342" i="6"/>
  <c r="Q342" i="6" s="1"/>
  <c r="R342" i="6" s="1"/>
  <c r="Z342" i="6"/>
  <c r="S342" i="6"/>
  <c r="J342" i="6"/>
  <c r="R341" i="6"/>
  <c r="L341" i="6"/>
  <c r="O341" i="6"/>
  <c r="P341" i="6" s="1"/>
  <c r="M341" i="6"/>
  <c r="I340" i="6"/>
  <c r="N341" i="6" l="1"/>
  <c r="G341" i="6" s="1"/>
  <c r="F343" i="6"/>
  <c r="B344" i="6"/>
  <c r="E343" i="6"/>
  <c r="H343" i="6" s="1"/>
  <c r="S343" i="6"/>
  <c r="Z343" i="6"/>
  <c r="J343" i="6"/>
  <c r="D343" i="6"/>
  <c r="K343" i="6" s="1"/>
  <c r="C343" i="6"/>
  <c r="Q343" i="6" s="1"/>
  <c r="O342" i="6"/>
  <c r="P342" i="6" s="1"/>
  <c r="M342" i="6"/>
  <c r="L342" i="6"/>
  <c r="I341" i="6"/>
  <c r="M343" i="6" l="1"/>
  <c r="O343" i="6"/>
  <c r="P343" i="6" s="1"/>
  <c r="L343" i="6"/>
  <c r="N342" i="6"/>
  <c r="G342" i="6" s="1"/>
  <c r="S344" i="6"/>
  <c r="C344" i="6"/>
  <c r="Q344" i="6" s="1"/>
  <c r="J344" i="6"/>
  <c r="B345" i="6"/>
  <c r="Z344" i="6"/>
  <c r="E344" i="6"/>
  <c r="D344" i="6"/>
  <c r="K344" i="6" s="1"/>
  <c r="F344" i="6"/>
  <c r="R343" i="6"/>
  <c r="I342" i="6" l="1"/>
  <c r="L344" i="6"/>
  <c r="O344" i="6"/>
  <c r="P344" i="6" s="1"/>
  <c r="M344" i="6"/>
  <c r="N344" i="6" s="1"/>
  <c r="G344" i="6" s="1"/>
  <c r="H344" i="6"/>
  <c r="R344" i="6" s="1"/>
  <c r="C345" i="6"/>
  <c r="Q345" i="6" s="1"/>
  <c r="B346" i="6"/>
  <c r="J345" i="6"/>
  <c r="S345" i="6"/>
  <c r="F345" i="6"/>
  <c r="E345" i="6"/>
  <c r="Z345" i="6"/>
  <c r="D345" i="6"/>
  <c r="K345" i="6" s="1"/>
  <c r="N343" i="6"/>
  <c r="G343" i="6" s="1"/>
  <c r="H345" i="6" l="1"/>
  <c r="R345" i="6" s="1"/>
  <c r="O345" i="6"/>
  <c r="P345" i="6" s="1"/>
  <c r="M345" i="6"/>
  <c r="L345" i="6"/>
  <c r="I343" i="6"/>
  <c r="I344" i="6"/>
  <c r="B347" i="6"/>
  <c r="E346" i="6"/>
  <c r="Z346" i="6"/>
  <c r="D346" i="6"/>
  <c r="K346" i="6" s="1"/>
  <c r="F346" i="6"/>
  <c r="C346" i="6"/>
  <c r="Q346" i="6" s="1"/>
  <c r="J346" i="6"/>
  <c r="S346" i="6"/>
  <c r="N345" i="6" l="1"/>
  <c r="G345" i="6" s="1"/>
  <c r="H346" i="6"/>
  <c r="R346" i="6" s="1"/>
  <c r="J347" i="6"/>
  <c r="S347" i="6"/>
  <c r="F347" i="6"/>
  <c r="E347" i="6"/>
  <c r="D347" i="6"/>
  <c r="K347" i="6" s="1"/>
  <c r="C347" i="6"/>
  <c r="Q347" i="6" s="1"/>
  <c r="B348" i="6"/>
  <c r="Z347" i="6"/>
  <c r="M346" i="6"/>
  <c r="L346" i="6"/>
  <c r="O346" i="6"/>
  <c r="P346" i="6" s="1"/>
  <c r="I345" i="6"/>
  <c r="H347" i="6" l="1"/>
  <c r="R347" i="6" s="1"/>
  <c r="F348" i="6"/>
  <c r="Z348" i="6"/>
  <c r="J348" i="6"/>
  <c r="S348" i="6"/>
  <c r="E348" i="6"/>
  <c r="D348" i="6"/>
  <c r="K348" i="6" s="1"/>
  <c r="B349" i="6"/>
  <c r="C348" i="6"/>
  <c r="Q348" i="6" s="1"/>
  <c r="O347" i="6"/>
  <c r="P347" i="6" s="1"/>
  <c r="L347" i="6"/>
  <c r="M347" i="6"/>
  <c r="N347" i="6" s="1"/>
  <c r="G347" i="6" s="1"/>
  <c r="N346" i="6"/>
  <c r="G346" i="6" s="1"/>
  <c r="H348" i="6" l="1"/>
  <c r="R348" i="6" s="1"/>
  <c r="I347" i="6"/>
  <c r="Z349" i="6"/>
  <c r="D349" i="6"/>
  <c r="K349" i="6" s="1"/>
  <c r="S349" i="6"/>
  <c r="C349" i="6"/>
  <c r="Q349" i="6" s="1"/>
  <c r="J349" i="6"/>
  <c r="B350" i="6"/>
  <c r="F349" i="6"/>
  <c r="E349" i="6"/>
  <c r="H349" i="6" s="1"/>
  <c r="O348" i="6"/>
  <c r="P348" i="6" s="1"/>
  <c r="M348" i="6"/>
  <c r="L348" i="6"/>
  <c r="I346" i="6"/>
  <c r="N348" i="6" l="1"/>
  <c r="G348" i="6" s="1"/>
  <c r="D350" i="6"/>
  <c r="K350" i="6" s="1"/>
  <c r="C350" i="6"/>
  <c r="Q350" i="6" s="1"/>
  <c r="B351" i="6"/>
  <c r="F350" i="6"/>
  <c r="Z350" i="6"/>
  <c r="E350" i="6"/>
  <c r="H350" i="6" s="1"/>
  <c r="S350" i="6"/>
  <c r="J350" i="6"/>
  <c r="R349" i="6"/>
  <c r="L349" i="6"/>
  <c r="M349" i="6"/>
  <c r="O349" i="6"/>
  <c r="P349" i="6" s="1"/>
  <c r="R350" i="6" l="1"/>
  <c r="I348" i="6"/>
  <c r="M350" i="6"/>
  <c r="L350" i="6"/>
  <c r="O350" i="6"/>
  <c r="P350" i="6" s="1"/>
  <c r="N349" i="6"/>
  <c r="G349" i="6" s="1"/>
  <c r="F351" i="6"/>
  <c r="B352" i="6"/>
  <c r="E351" i="6"/>
  <c r="D351" i="6"/>
  <c r="K351" i="6" s="1"/>
  <c r="C351" i="6"/>
  <c r="Q351" i="6" s="1"/>
  <c r="Z351" i="6"/>
  <c r="S351" i="6"/>
  <c r="J351" i="6"/>
  <c r="H351" i="6" l="1"/>
  <c r="I349" i="6"/>
  <c r="S352" i="6"/>
  <c r="C352" i="6"/>
  <c r="Q352" i="6" s="1"/>
  <c r="J352" i="6"/>
  <c r="Z352" i="6"/>
  <c r="F352" i="6"/>
  <c r="B353" i="6"/>
  <c r="E352" i="6"/>
  <c r="D352" i="6"/>
  <c r="K352" i="6" s="1"/>
  <c r="R351" i="6"/>
  <c r="M351" i="6"/>
  <c r="O351" i="6"/>
  <c r="P351" i="6" s="1"/>
  <c r="L351" i="6"/>
  <c r="N350" i="6"/>
  <c r="G350" i="6" s="1"/>
  <c r="I350" i="6" l="1"/>
  <c r="H352" i="6"/>
  <c r="R352" i="6" s="1"/>
  <c r="B354" i="6"/>
  <c r="Z353" i="6"/>
  <c r="J353" i="6"/>
  <c r="S353" i="6"/>
  <c r="D353" i="6"/>
  <c r="K353" i="6" s="1"/>
  <c r="C353" i="6"/>
  <c r="Q353" i="6" s="1"/>
  <c r="F353" i="6"/>
  <c r="E353" i="6"/>
  <c r="N351" i="6"/>
  <c r="G351" i="6" s="1"/>
  <c r="O352" i="6"/>
  <c r="P352" i="6" s="1"/>
  <c r="M352" i="6"/>
  <c r="L352" i="6"/>
  <c r="I351" i="6" l="1"/>
  <c r="H353" i="6"/>
  <c r="R353" i="6" s="1"/>
  <c r="O353" i="6"/>
  <c r="P353" i="6" s="1"/>
  <c r="M353" i="6"/>
  <c r="L353" i="6"/>
  <c r="B355" i="6"/>
  <c r="E354" i="6"/>
  <c r="H354" i="6" s="1"/>
  <c r="Z354" i="6"/>
  <c r="D354" i="6"/>
  <c r="K354" i="6" s="1"/>
  <c r="J354" i="6"/>
  <c r="F354" i="6"/>
  <c r="C354" i="6"/>
  <c r="Q354" i="6" s="1"/>
  <c r="S354" i="6"/>
  <c r="N352" i="6"/>
  <c r="G352" i="6" s="1"/>
  <c r="J355" i="6" l="1"/>
  <c r="E355" i="6"/>
  <c r="D355" i="6"/>
  <c r="K355" i="6" s="1"/>
  <c r="C355" i="6"/>
  <c r="Q355" i="6" s="1"/>
  <c r="B356" i="6"/>
  <c r="Z355" i="6"/>
  <c r="S355" i="6"/>
  <c r="F355" i="6"/>
  <c r="I352" i="6"/>
  <c r="N353" i="6"/>
  <c r="G353" i="6" s="1"/>
  <c r="I353" i="6"/>
  <c r="R354" i="6"/>
  <c r="M354" i="6"/>
  <c r="L354" i="6"/>
  <c r="O354" i="6"/>
  <c r="P354" i="6" s="1"/>
  <c r="F356" i="6" l="1"/>
  <c r="E356" i="6"/>
  <c r="D356" i="6"/>
  <c r="K356" i="6" s="1"/>
  <c r="J356" i="6"/>
  <c r="B357" i="6"/>
  <c r="C356" i="6"/>
  <c r="Q356" i="6" s="1"/>
  <c r="Z356" i="6"/>
  <c r="S356" i="6"/>
  <c r="N354" i="6"/>
  <c r="G354" i="6" s="1"/>
  <c r="O355" i="6"/>
  <c r="P355" i="6" s="1"/>
  <c r="M355" i="6"/>
  <c r="N355" i="6" s="1"/>
  <c r="G355" i="6" s="1"/>
  <c r="L355" i="6"/>
  <c r="H355" i="6"/>
  <c r="R355" i="6" s="1"/>
  <c r="I354" i="6" l="1"/>
  <c r="Z357" i="6"/>
  <c r="D357" i="6"/>
  <c r="K357" i="6" s="1"/>
  <c r="S357" i="6"/>
  <c r="C357" i="6"/>
  <c r="Q357" i="6" s="1"/>
  <c r="B358" i="6"/>
  <c r="J357" i="6"/>
  <c r="F357" i="6"/>
  <c r="E357" i="6"/>
  <c r="I355" i="6"/>
  <c r="O356" i="6"/>
  <c r="P356" i="6" s="1"/>
  <c r="M356" i="6"/>
  <c r="L356" i="6"/>
  <c r="H356" i="6"/>
  <c r="R356" i="6" s="1"/>
  <c r="B359" i="6" l="1"/>
  <c r="Z358" i="6"/>
  <c r="J358" i="6"/>
  <c r="F358" i="6"/>
  <c r="E358" i="6"/>
  <c r="H358" i="6" s="1"/>
  <c r="S358" i="6"/>
  <c r="D358" i="6"/>
  <c r="K358" i="6" s="1"/>
  <c r="C358" i="6"/>
  <c r="Q358" i="6" s="1"/>
  <c r="L357" i="6"/>
  <c r="O357" i="6"/>
  <c r="P357" i="6" s="1"/>
  <c r="M357" i="6"/>
  <c r="N357" i="6" s="1"/>
  <c r="G357" i="6" s="1"/>
  <c r="N356" i="6"/>
  <c r="G356" i="6" s="1"/>
  <c r="H357" i="6"/>
  <c r="R357" i="6" s="1"/>
  <c r="L358" i="6" l="1"/>
  <c r="M358" i="6"/>
  <c r="N358" i="6" s="1"/>
  <c r="G358" i="6" s="1"/>
  <c r="O358" i="6"/>
  <c r="P358" i="6" s="1"/>
  <c r="I357" i="6"/>
  <c r="I356" i="6"/>
  <c r="F359" i="6"/>
  <c r="B360" i="6"/>
  <c r="E359" i="6"/>
  <c r="H359" i="6" s="1"/>
  <c r="C359" i="6"/>
  <c r="Q359" i="6" s="1"/>
  <c r="Z359" i="6"/>
  <c r="S359" i="6"/>
  <c r="D359" i="6"/>
  <c r="K359" i="6" s="1"/>
  <c r="J359" i="6"/>
  <c r="R358" i="6"/>
  <c r="S360" i="6" l="1"/>
  <c r="C360" i="6"/>
  <c r="Q360" i="6" s="1"/>
  <c r="J360" i="6"/>
  <c r="F360" i="6"/>
  <c r="E360" i="6"/>
  <c r="H360" i="6" s="1"/>
  <c r="D360" i="6"/>
  <c r="K360" i="6" s="1"/>
  <c r="B361" i="6"/>
  <c r="Z360" i="6"/>
  <c r="M359" i="6"/>
  <c r="O359" i="6"/>
  <c r="P359" i="6" s="1"/>
  <c r="L359" i="6"/>
  <c r="I358" i="6"/>
  <c r="R359" i="6"/>
  <c r="S361" i="6" l="1"/>
  <c r="F361" i="6"/>
  <c r="E361" i="6"/>
  <c r="H361" i="6" s="1"/>
  <c r="Z361" i="6"/>
  <c r="B362" i="6"/>
  <c r="J361" i="6"/>
  <c r="D361" i="6"/>
  <c r="K361" i="6" s="1"/>
  <c r="C361" i="6"/>
  <c r="Q361" i="6" s="1"/>
  <c r="R360" i="6"/>
  <c r="O360" i="6"/>
  <c r="P360" i="6" s="1"/>
  <c r="M360" i="6"/>
  <c r="L360" i="6"/>
  <c r="N359" i="6"/>
  <c r="G359" i="6" s="1"/>
  <c r="R361" i="6" l="1"/>
  <c r="I359" i="6"/>
  <c r="O361" i="6"/>
  <c r="P361" i="6" s="1"/>
  <c r="M361" i="6"/>
  <c r="L361" i="6"/>
  <c r="B363" i="6"/>
  <c r="E362" i="6"/>
  <c r="Z362" i="6"/>
  <c r="D362" i="6"/>
  <c r="K362" i="6" s="1"/>
  <c r="J362" i="6"/>
  <c r="S362" i="6"/>
  <c r="C362" i="6"/>
  <c r="Q362" i="6" s="1"/>
  <c r="F362" i="6"/>
  <c r="N360" i="6"/>
  <c r="G360" i="6" s="1"/>
  <c r="I360" i="6"/>
  <c r="H362" i="6" l="1"/>
  <c r="J363" i="6"/>
  <c r="C363" i="6"/>
  <c r="Q363" i="6" s="1"/>
  <c r="B364" i="6"/>
  <c r="S363" i="6"/>
  <c r="F363" i="6"/>
  <c r="E363" i="6"/>
  <c r="H363" i="6" s="1"/>
  <c r="Z363" i="6"/>
  <c r="D363" i="6"/>
  <c r="K363" i="6" s="1"/>
  <c r="N361" i="6"/>
  <c r="G361" i="6" s="1"/>
  <c r="R362" i="6"/>
  <c r="M362" i="6"/>
  <c r="N362" i="6" s="1"/>
  <c r="G362" i="6" s="1"/>
  <c r="L362" i="6"/>
  <c r="O362" i="6"/>
  <c r="P362" i="6" s="1"/>
  <c r="I361" i="6" l="1"/>
  <c r="M363" i="6"/>
  <c r="L363" i="6"/>
  <c r="O363" i="6"/>
  <c r="P363" i="6" s="1"/>
  <c r="F364" i="6"/>
  <c r="D364" i="6"/>
  <c r="K364" i="6" s="1"/>
  <c r="C364" i="6"/>
  <c r="Q364" i="6" s="1"/>
  <c r="J364" i="6"/>
  <c r="B365" i="6"/>
  <c r="Z364" i="6"/>
  <c r="S364" i="6"/>
  <c r="E364" i="6"/>
  <c r="R363" i="6"/>
  <c r="I362" i="6"/>
  <c r="H364" i="6" l="1"/>
  <c r="R364" i="6" s="1"/>
  <c r="O364" i="6"/>
  <c r="P364" i="6" s="1"/>
  <c r="M364" i="6"/>
  <c r="L364" i="6"/>
  <c r="Z365" i="6"/>
  <c r="D365" i="6"/>
  <c r="K365" i="6" s="1"/>
  <c r="S365" i="6"/>
  <c r="C365" i="6"/>
  <c r="Q365" i="6" s="1"/>
  <c r="F365" i="6"/>
  <c r="E365" i="6"/>
  <c r="J365" i="6"/>
  <c r="B366" i="6"/>
  <c r="N363" i="6"/>
  <c r="G363" i="6" s="1"/>
  <c r="N364" i="6" l="1"/>
  <c r="G364" i="6" s="1"/>
  <c r="L365" i="6"/>
  <c r="O365" i="6"/>
  <c r="P365" i="6" s="1"/>
  <c r="M365" i="6"/>
  <c r="N365" i="6" s="1"/>
  <c r="G365" i="6" s="1"/>
  <c r="I363" i="6"/>
  <c r="Z366" i="6"/>
  <c r="J366" i="6"/>
  <c r="S366" i="6"/>
  <c r="F366" i="6"/>
  <c r="E366" i="6"/>
  <c r="D366" i="6"/>
  <c r="K366" i="6" s="1"/>
  <c r="B367" i="6"/>
  <c r="C366" i="6"/>
  <c r="Q366" i="6" s="1"/>
  <c r="H365" i="6"/>
  <c r="R365" i="6" s="1"/>
  <c r="I364" i="6" l="1"/>
  <c r="F367" i="6"/>
  <c r="B368" i="6"/>
  <c r="E367" i="6"/>
  <c r="Z367" i="6"/>
  <c r="J367" i="6"/>
  <c r="S367" i="6"/>
  <c r="D367" i="6"/>
  <c r="K367" i="6" s="1"/>
  <c r="C367" i="6"/>
  <c r="Q367" i="6" s="1"/>
  <c r="O366" i="6"/>
  <c r="P366" i="6" s="1"/>
  <c r="M366" i="6"/>
  <c r="L366" i="6"/>
  <c r="I365" i="6"/>
  <c r="H366" i="6"/>
  <c r="R366" i="6" s="1"/>
  <c r="N366" i="6" l="1"/>
  <c r="G366" i="6" s="1"/>
  <c r="M367" i="6"/>
  <c r="L367" i="6"/>
  <c r="O367" i="6"/>
  <c r="P367" i="6" s="1"/>
  <c r="H367" i="6"/>
  <c r="R367" i="6" s="1"/>
  <c r="I366" i="6"/>
  <c r="S368" i="6"/>
  <c r="C368" i="6"/>
  <c r="Q368" i="6" s="1"/>
  <c r="J368" i="6"/>
  <c r="D368" i="6"/>
  <c r="K368" i="6" s="1"/>
  <c r="B369" i="6"/>
  <c r="F368" i="6"/>
  <c r="Z368" i="6"/>
  <c r="E368" i="6"/>
  <c r="E369" i="6" l="1"/>
  <c r="D369" i="6"/>
  <c r="K369" i="6" s="1"/>
  <c r="C369" i="6"/>
  <c r="Q369" i="6" s="1"/>
  <c r="Z369" i="6"/>
  <c r="S369" i="6"/>
  <c r="F369" i="6"/>
  <c r="J369" i="6"/>
  <c r="B370" i="6"/>
  <c r="M368" i="6"/>
  <c r="L368" i="6"/>
  <c r="O368" i="6"/>
  <c r="P368" i="6" s="1"/>
  <c r="H368" i="6"/>
  <c r="R368" i="6" s="1"/>
  <c r="N367" i="6"/>
  <c r="G367" i="6" s="1"/>
  <c r="O369" i="6" l="1"/>
  <c r="P369" i="6" s="1"/>
  <c r="M369" i="6"/>
  <c r="L369" i="6"/>
  <c r="H369" i="6"/>
  <c r="R369" i="6" s="1"/>
  <c r="N368" i="6"/>
  <c r="G368" i="6" s="1"/>
  <c r="I367" i="6"/>
  <c r="B371" i="6"/>
  <c r="E370" i="6"/>
  <c r="Z370" i="6"/>
  <c r="D370" i="6"/>
  <c r="K370" i="6" s="1"/>
  <c r="F370" i="6"/>
  <c r="S370" i="6"/>
  <c r="J370" i="6"/>
  <c r="C370" i="6"/>
  <c r="Q370" i="6" s="1"/>
  <c r="M370" i="6" l="1"/>
  <c r="L370" i="6"/>
  <c r="O370" i="6"/>
  <c r="P370" i="6" s="1"/>
  <c r="H370" i="6"/>
  <c r="R370" i="6" s="1"/>
  <c r="N369" i="6"/>
  <c r="G369" i="6" s="1"/>
  <c r="J371" i="6"/>
  <c r="B372" i="6"/>
  <c r="Z371" i="6"/>
  <c r="S371" i="6"/>
  <c r="D371" i="6"/>
  <c r="K371" i="6" s="1"/>
  <c r="C371" i="6"/>
  <c r="Q371" i="6" s="1"/>
  <c r="F371" i="6"/>
  <c r="E371" i="6"/>
  <c r="I368" i="6"/>
  <c r="I369" i="6" l="1"/>
  <c r="O371" i="6"/>
  <c r="P371" i="6" s="1"/>
  <c r="M371" i="6"/>
  <c r="L371" i="6"/>
  <c r="H371" i="6"/>
  <c r="R371" i="6" s="1"/>
  <c r="F372" i="6"/>
  <c r="B373" i="6"/>
  <c r="Z372" i="6"/>
  <c r="J372" i="6"/>
  <c r="E372" i="6"/>
  <c r="D372" i="6"/>
  <c r="K372" i="6" s="1"/>
  <c r="C372" i="6"/>
  <c r="Q372" i="6" s="1"/>
  <c r="S372" i="6"/>
  <c r="N370" i="6"/>
  <c r="G370" i="6" s="1"/>
  <c r="I370" i="6" l="1"/>
  <c r="H372" i="6"/>
  <c r="R372" i="6" s="1"/>
  <c r="O372" i="6"/>
  <c r="P372" i="6" s="1"/>
  <c r="L372" i="6"/>
  <c r="M372" i="6"/>
  <c r="N372" i="6" s="1"/>
  <c r="G372" i="6" s="1"/>
  <c r="N371" i="6"/>
  <c r="G371" i="6" s="1"/>
  <c r="Z373" i="6"/>
  <c r="D373" i="6"/>
  <c r="K373" i="6" s="1"/>
  <c r="S373" i="6"/>
  <c r="C373" i="6"/>
  <c r="Q373" i="6" s="1"/>
  <c r="E373" i="6"/>
  <c r="J373" i="6"/>
  <c r="B374" i="6"/>
  <c r="F373" i="6"/>
  <c r="H373" i="6" l="1"/>
  <c r="I371" i="6"/>
  <c r="F374" i="6"/>
  <c r="E374" i="6"/>
  <c r="H374" i="6" s="1"/>
  <c r="D374" i="6"/>
  <c r="K374" i="6" s="1"/>
  <c r="J374" i="6"/>
  <c r="B375" i="6"/>
  <c r="C374" i="6"/>
  <c r="Q374" i="6" s="1"/>
  <c r="R374" i="6" s="1"/>
  <c r="Z374" i="6"/>
  <c r="S374" i="6"/>
  <c r="I372" i="6"/>
  <c r="R373" i="6"/>
  <c r="L373" i="6"/>
  <c r="O373" i="6"/>
  <c r="P373" i="6" s="1"/>
  <c r="M373" i="6"/>
  <c r="N373" i="6" l="1"/>
  <c r="G373" i="6" s="1"/>
  <c r="F375" i="6"/>
  <c r="E375" i="6"/>
  <c r="H375" i="6" s="1"/>
  <c r="S375" i="6"/>
  <c r="J375" i="6"/>
  <c r="D375" i="6"/>
  <c r="K375" i="6" s="1"/>
  <c r="C375" i="6"/>
  <c r="Q375" i="6" s="1"/>
  <c r="R375" i="6" s="1"/>
  <c r="I373" i="6"/>
  <c r="O374" i="6"/>
  <c r="P374" i="6" s="1"/>
  <c r="M374" i="6"/>
  <c r="L374" i="6"/>
  <c r="M375" i="6" l="1"/>
  <c r="O375" i="6"/>
  <c r="P375" i="6" s="1"/>
  <c r="L375" i="6"/>
  <c r="W48" i="6"/>
  <c r="X47" i="6" s="1"/>
  <c r="W17" i="6"/>
  <c r="X16" i="6" s="1"/>
  <c r="W50" i="6"/>
  <c r="X49" i="6" s="1"/>
  <c r="W33" i="6"/>
  <c r="X32" i="6" s="1"/>
  <c r="W39" i="6"/>
  <c r="X38" i="6" s="1"/>
  <c r="W43" i="6"/>
  <c r="X42" i="6" s="1"/>
  <c r="W41" i="6"/>
  <c r="X40" i="6" s="1"/>
  <c r="W22" i="6"/>
  <c r="X21" i="6" s="1"/>
  <c r="W52" i="6"/>
  <c r="X51" i="6" s="1"/>
  <c r="W46" i="6"/>
  <c r="X45" i="6" s="1"/>
  <c r="W55" i="6"/>
  <c r="X54" i="6" s="1"/>
  <c r="W25" i="6"/>
  <c r="X24" i="6" s="1"/>
  <c r="W14" i="6"/>
  <c r="X13" i="6" s="1"/>
  <c r="W58" i="6"/>
  <c r="X57" i="6" s="1"/>
  <c r="W28" i="6"/>
  <c r="X27" i="6" s="1"/>
  <c r="W12" i="6"/>
  <c r="X11" i="6" s="1"/>
  <c r="W59" i="6"/>
  <c r="X58" i="6" s="1"/>
  <c r="W24" i="6"/>
  <c r="X23" i="6" s="1"/>
  <c r="W20" i="6"/>
  <c r="X19" i="6" s="1"/>
  <c r="W61" i="6"/>
  <c r="X60" i="6" s="1"/>
  <c r="W51" i="6"/>
  <c r="X50" i="6" s="1"/>
  <c r="W40" i="6"/>
  <c r="X39" i="6" s="1"/>
  <c r="W18" i="6"/>
  <c r="X17" i="6" s="1"/>
  <c r="W45" i="6"/>
  <c r="X44" i="6" s="1"/>
  <c r="W36" i="6"/>
  <c r="X35" i="6" s="1"/>
  <c r="W30" i="6"/>
  <c r="X29" i="6" s="1"/>
  <c r="W47" i="6"/>
  <c r="X46" i="6" s="1"/>
  <c r="W23" i="6"/>
  <c r="X22" i="6" s="1"/>
  <c r="W57" i="6"/>
  <c r="X56" i="6" s="1"/>
  <c r="W44" i="6"/>
  <c r="X43" i="6" s="1"/>
  <c r="W16" i="6"/>
  <c r="X15" i="6" s="1"/>
  <c r="W29" i="6"/>
  <c r="X28" i="6" s="1"/>
  <c r="W26" i="6"/>
  <c r="X25" i="6" s="1"/>
  <c r="W53" i="6"/>
  <c r="X52" i="6" s="1"/>
  <c r="W34" i="6"/>
  <c r="X33" i="6" s="1"/>
  <c r="W42" i="6"/>
  <c r="X41" i="6" s="1"/>
  <c r="W27" i="6"/>
  <c r="X26" i="6" s="1"/>
  <c r="W38" i="6"/>
  <c r="X37" i="6" s="1"/>
  <c r="W21" i="6"/>
  <c r="X20" i="6" s="1"/>
  <c r="W56" i="6"/>
  <c r="X55" i="6" s="1"/>
  <c r="W54" i="6"/>
  <c r="X53" i="6" s="1"/>
  <c r="W62" i="6"/>
  <c r="X61" i="6" s="1"/>
  <c r="W32" i="6"/>
  <c r="X31" i="6" s="1"/>
  <c r="W15" i="6"/>
  <c r="X14" i="6" s="1"/>
  <c r="W49" i="6"/>
  <c r="X48" i="6" s="1"/>
  <c r="W37" i="6"/>
  <c r="X36" i="6" s="1"/>
  <c r="W19" i="6"/>
  <c r="X18" i="6" s="1"/>
  <c r="W13" i="6"/>
  <c r="X12" i="6" s="1"/>
  <c r="W60" i="6"/>
  <c r="X59" i="6" s="1"/>
  <c r="W31" i="6"/>
  <c r="X30" i="6" s="1"/>
  <c r="W35" i="6"/>
  <c r="X34" i="6" s="1"/>
  <c r="AR11" i="6"/>
  <c r="AR12" i="6"/>
  <c r="AR14" i="6"/>
  <c r="AR13" i="6"/>
  <c r="AR16" i="6"/>
  <c r="AR17" i="6"/>
  <c r="AR15" i="6"/>
  <c r="AR20" i="6"/>
  <c r="AR19" i="6"/>
  <c r="AR18" i="6"/>
  <c r="AR21" i="6"/>
  <c r="AP11" i="6"/>
  <c r="AQ11" i="6" s="1"/>
  <c r="AP10" i="6"/>
  <c r="AQ10" i="6" s="1"/>
  <c r="AS10" i="6" s="1"/>
  <c r="AP13" i="6"/>
  <c r="AQ13" i="6" s="1"/>
  <c r="AP12" i="6"/>
  <c r="AQ12" i="6" s="1"/>
  <c r="AP14" i="6"/>
  <c r="AQ14" i="6" s="1"/>
  <c r="AP15" i="6"/>
  <c r="AQ15" i="6" s="1"/>
  <c r="AP17" i="6"/>
  <c r="AQ17" i="6" s="1"/>
  <c r="AP16" i="6"/>
  <c r="AQ16" i="6" s="1"/>
  <c r="AP20" i="6"/>
  <c r="AQ20" i="6" s="1"/>
  <c r="AP18" i="6"/>
  <c r="AQ18" i="6" s="1"/>
  <c r="AP19" i="6"/>
  <c r="AQ19" i="6" s="1"/>
  <c r="AP21" i="6"/>
  <c r="AQ21" i="6" s="1"/>
  <c r="N374" i="6"/>
  <c r="G374" i="6" s="1"/>
  <c r="I374" i="6"/>
  <c r="AS12" i="6" l="1"/>
  <c r="AS19" i="6"/>
  <c r="AS11" i="6"/>
  <c r="AS18" i="6"/>
  <c r="AS20" i="6"/>
  <c r="AS15" i="6"/>
  <c r="AS17" i="6"/>
  <c r="AD30" i="6"/>
  <c r="AD14" i="6"/>
  <c r="AD31" i="6"/>
  <c r="AD36" i="6"/>
  <c r="AD16" i="6"/>
  <c r="AD15" i="6"/>
  <c r="AD17" i="6"/>
  <c r="AD40" i="6"/>
  <c r="AD18" i="6"/>
  <c r="AD25" i="6"/>
  <c r="AD27" i="6"/>
  <c r="AD23" i="6"/>
  <c r="AD21" i="6"/>
  <c r="AD34" i="6"/>
  <c r="AD12" i="6"/>
  <c r="AD20" i="6"/>
  <c r="AD37" i="6"/>
  <c r="AD26" i="6"/>
  <c r="AD32" i="6"/>
  <c r="AD24" i="6"/>
  <c r="AD35" i="6"/>
  <c r="AD13" i="6"/>
  <c r="AD29" i="6"/>
  <c r="AD11" i="6"/>
  <c r="AD28" i="6"/>
  <c r="AD19" i="6"/>
  <c r="AD33" i="6"/>
  <c r="AD38" i="6"/>
  <c r="AS16" i="6"/>
  <c r="AS13" i="6"/>
  <c r="AS21" i="6"/>
  <c r="AD10" i="6"/>
  <c r="AD22" i="6"/>
  <c r="AD39" i="6"/>
  <c r="AS14" i="6"/>
  <c r="N375" i="6"/>
  <c r="I375" i="6" s="1"/>
  <c r="G375" i="6" l="1"/>
  <c r="V62" i="6"/>
  <c r="V30" i="6"/>
  <c r="V59" i="6"/>
  <c r="V55" i="6"/>
  <c r="V43" i="6"/>
  <c r="V44" i="6"/>
  <c r="V56" i="6"/>
  <c r="V18" i="6"/>
  <c r="V35" i="6"/>
  <c r="V52" i="6"/>
  <c r="V61" i="6"/>
  <c r="V25" i="6"/>
  <c r="V60" i="6"/>
  <c r="V17" i="6"/>
  <c r="V48" i="6"/>
  <c r="V23" i="6"/>
  <c r="V14" i="6"/>
  <c r="V50" i="6"/>
  <c r="V36" i="6"/>
  <c r="V57" i="6"/>
  <c r="V21" i="6"/>
  <c r="V27" i="6"/>
  <c r="V34" i="6"/>
  <c r="V49" i="6"/>
  <c r="V11" i="6"/>
  <c r="V31" i="6"/>
  <c r="V51" i="6"/>
  <c r="V24" i="6"/>
  <c r="V10" i="6"/>
  <c r="V47" i="6"/>
  <c r="V58" i="6"/>
  <c r="V15" i="6"/>
  <c r="V38" i="6"/>
  <c r="V45" i="6"/>
  <c r="V16" i="6"/>
  <c r="V40" i="6"/>
  <c r="V32" i="6"/>
  <c r="V19" i="6"/>
  <c r="V26" i="6"/>
  <c r="V54" i="6"/>
  <c r="V22" i="6"/>
  <c r="V28" i="6"/>
  <c r="V13" i="6"/>
  <c r="V12" i="6"/>
  <c r="V41" i="6"/>
  <c r="V37" i="6"/>
  <c r="V46" i="6"/>
  <c r="V20" i="6"/>
  <c r="V29" i="6"/>
  <c r="V63" i="6"/>
  <c r="V39" i="6"/>
  <c r="V33" i="6"/>
  <c r="V53" i="6"/>
  <c r="V4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E2E4A6CE-85D1-41E1-999B-3A97630F81C3}" keepAlive="1" name="Query - API_AccountingPeriod" description="Connection to the 'API_AccountingPeriod' query in the workbook." type="5" refreshedVersion="7" background="1" saveData="1">
    <dbPr connection="Provider=Microsoft.Mashup.OleDb.1;Data Source=$Workbook$;Location=API_AccountingPeriod;Extended Properties=&quot;&quot;" command="SELECT * FROM [API_AccountingPeriod]"/>
  </connection>
  <connection id="3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4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5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6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7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8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9" xr16:uid="{B904CA0C-165A-4F9C-81FE-EF160B95AB8F}" keepAlive="1" name="Query - API_lst_EventActivity" description="Connection to the 'API_lst_EventActivity' query in the workbook." type="5" refreshedVersion="0" background="1">
    <dbPr connection="Provider=Microsoft.Mashup.OleDb.1;Data Source=$Workbook$;Location=API_lst_EventActivity;Extended Properties=&quot;&quot;" command="SELECT * FROM [API_lst_EventActivity]"/>
  </connection>
  <connection id="10" xr16:uid="{9975F4D2-2EC5-445C-9E3C-C571F8A38785}" keepAlive="1" name="Query - API_lst_EventActivity4Plan" description="Connection to the 'API_lst_EventActivity4Plan' query in the workbook." type="5" refreshedVersion="0" background="1">
    <dbPr connection="Provider=Microsoft.Mashup.OleDb.1;Data Source=$Workbook$;Location=API_lst_EventActivity4Plan;Extended Properties=&quot;&quot;" command="SELECT * FROM [API_lst_EventActivity4Plan]"/>
  </connection>
  <connection id="11" xr16:uid="{75119892-574C-4CF2-85F1-B014E2AF7284}" keepAlive="1" name="Query - API_lst_ProblemActivity" description="Connection to the 'API_lst_ProblemActivity' query in the workbook." type="5" refreshedVersion="0" background="1">
    <dbPr connection="Provider=Microsoft.Mashup.OleDb.1;Data Source=$Workbook$;Location=API_lst_ProblemActivity;Extended Properties=&quot;&quot;" command="SELECT * FROM [API_lst_ProblemActivity]"/>
  </connection>
  <connection id="12" xr16:uid="{7F573D4C-E645-4CCA-8ABF-E56B138CAA76}" keepAlive="1" name="Query - API_lst_ProblemActivity4Plan" description="Connection to the 'API_lst_ProblemActivity4Plan' query in the workbook." type="5" refreshedVersion="0" background="1">
    <dbPr connection="Provider=Microsoft.Mashup.OleDb.1;Data Source=$Workbook$;Location=API_lst_ProblemActivity4Plan;Extended Properties=&quot;&quot;" command="SELECT * FROM [API_lst_ProblemActivity4Plan]"/>
  </connection>
  <connection id="13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14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5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6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7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18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19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20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21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22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23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24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5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6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27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28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29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30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  <connection id="31" xr16:uid="{338983E6-7F75-40AC-A2B2-B679B86707E7}" keepAlive="1" name="Query - QryTest" description="Connection to the 'QryTest' query in the workbook." type="5" refreshedVersion="0" background="1">
    <dbPr connection="Provider=Microsoft.Mashup.OleDb.1;Data Source=$Workbook$;Location=QryTest;Extended Properties=&quot;&quot;" command="SELECT * FROM [QryTest]"/>
  </connection>
  <connection id="32" xr16:uid="{B5546D75-ABA9-4713-8793-C685F97A897B}" keepAlive="1" name="Query - Web_AccountingPeriod" description="Connection to the 'Web_AccountingPeriod' query in the workbook." type="5" refreshedVersion="0" background="1">
    <dbPr connection="Provider=Microsoft.Mashup.OleDb.1;Data Source=$Workbook$;Location=Web_AccountingPeriod;Extended Properties=&quot;&quot;" command="SELECT * FROM [Web_AccountingPeriod]"/>
  </connection>
  <connection id="33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34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35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36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37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38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39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40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41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42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43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44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45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46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47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<sst xmlns="http://schemas.openxmlformats.org/spreadsheetml/2006/main" count="8554" uniqueCount="1649">
  <si>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</si>
  <si>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</si>
  <si>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</si>
  <si>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</si>
  <si>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</si>
  <si>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</si>
  <si>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</si>
  <si>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</si>
  <si>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</si>
  <si>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</si>
  <si>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</si>
  <si>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</si>
  <si>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</si>
  <si>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</si>
  <si>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</si>
  <si>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</si>
  <si>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</si>
  <si>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</si>
  <si>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</si>
  <si>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</si>
  <si>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</si>
  <si>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</si>
  <si>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</si>
  <si>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</si>
  <si>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</si>
  <si>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</si>
  <si>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</si>
  <si>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</si>
  <si>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</si>
  <si>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</si>
  <si>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</si>
  <si>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</si>
  <si>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</si>
  <si>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</si>
  <si>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</si>
  <si>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</si>
  <si>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</si>
  <si>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</si>
  <si>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</si>
  <si>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</si>
  <si>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</si>
  <si>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</si>
  <si>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</si>
  <si>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</si>
  <si>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</si>
  <si>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</si>
  <si>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</si>
  <si>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</si>
  <si>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</si>
  <si>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</si>
  <si>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</si>
  <si>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</si>
  <si>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</si>
  <si>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</si>
  <si>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</si>
  <si>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</si>
  <si>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</si>
  <si>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</si>
  <si>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</si>
  <si>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</si>
  <si>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</si>
  <si>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</si>
  <si>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</si>
  <si>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</si>
  <si>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</si>
  <si>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</si>
  <si>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</si>
  <si>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</si>
  <si>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</si>
  <si>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</si>
  <si>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</si>
  <si>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</si>
  <si>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</si>
  <si>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</si>
  <si>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</si>
  <si>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</si>
  <si>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</si>
  <si>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</si>
  <si>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</si>
  <si>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</si>
  <si>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</si>
  <si>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</si>
  <si>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</si>
  <si>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</si>
  <si>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</si>
  <si>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</si>
  <si>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</si>
  <si>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</si>
  <si>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</si>
  <si>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</si>
  <si>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</si>
  <si>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</si>
  <si>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</si>
  <si>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</si>
  <si>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</si>
  <si>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</si>
  <si>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</si>
  <si>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</si>
  <si>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</si>
  <si>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</si>
  <si>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</si>
  <si>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</si>
  <si>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</si>
  <si>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</si>
  <si>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</si>
  <si>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</si>
  <si>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</si>
  <si>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</si>
  <si>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</si>
  <si>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</si>
  <si>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</si>
  <si>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</si>
  <si>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</si>
  <si>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</si>
  <si>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</si>
  <si>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</si>
  <si>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</si>
  <si>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</si>
  <si>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</si>
  <si>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</si>
  <si>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</si>
  <si>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</si>
  <si>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</si>
  <si>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</si>
  <si>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</si>
  <si>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</si>
  <si>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</si>
  <si>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</si>
  <si>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</si>
  <si>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</si>
  <si>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</si>
  <si>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</si>
  <si>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</si>
  <si>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</si>
  <si>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</si>
  <si>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</si>
  <si>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</si>
  <si>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</si>
  <si>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</si>
  <si>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</si>
  <si>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</si>
  <si>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</si>
  <si>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</si>
  <si>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</si>
  <si>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</si>
  <si>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</si>
  <si>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</si>
  <si>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</si>
  <si>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</si>
  <si>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</si>
  <si>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</si>
  <si>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</si>
  <si>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</si>
  <si>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</si>
  <si>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</si>
  <si>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</si>
  <si>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</si>
  <si>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</si>
  <si>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</si>
  <si>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</si>
  <si>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</si>
  <si>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</si>
  <si>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</si>
  <si>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</si>
  <si>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</si>
  <si>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</si>
  <si>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</si>
  <si>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</si>
  <si>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</si>
  <si>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</si>
  <si>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</si>
  <si>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</si>
  <si>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</si>
  <si>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</si>
  <si>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</si>
  <si>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</si>
  <si>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</si>
  <si>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</si>
  <si>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</si>
  <si>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</si>
  <si>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</si>
  <si>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</si>
  <si>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</si>
  <si>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</si>
  <si>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</si>
  <si>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</si>
  <si>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</si>
  <si>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</si>
  <si>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</si>
  <si>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</si>
  <si>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</si>
  <si>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</si>
  <si>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</si>
  <si>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</si>
  <si>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</si>
  <si>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</si>
  <si>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</si>
  <si>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</si>
  <si>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</si>
  <si>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</si>
  <si>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</si>
  <si>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</si>
  <si>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</si>
  <si>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</si>
  <si>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</si>
  <si>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</si>
  <si>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</si>
  <si>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</si>
  <si>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</si>
  <si>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</si>
  <si>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</si>
  <si>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</si>
  <si>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</si>
  <si>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</si>
  <si>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</si>
  <si>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</si>
  <si>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</si>
  <si>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</si>
  <si>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</si>
  <si>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</si>
  <si>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</si>
  <si>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</si>
  <si>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</si>
  <si>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</si>
  <si>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</si>
  <si>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</si>
  <si>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</si>
  <si>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</si>
  <si>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</si>
  <si>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</si>
  <si>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</si>
  <si>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</si>
  <si>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</si>
  <si>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</si>
  <si>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</si>
  <si>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</si>
  <si>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</si>
  <si>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</si>
  <si>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</si>
  <si>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</si>
  <si>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</si>
  <si>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</si>
  <si>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</si>
  <si>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</si>
  <si>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</si>
  <si>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</si>
  <si>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</si>
  <si>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</si>
  <si>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</si>
  <si>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</si>
  <si>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</si>
  <si>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</si>
  <si>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</si>
  <si>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</si>
  <si>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</si>
  <si>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</si>
  <si>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</si>
  <si>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</si>
  <si>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</si>
  <si>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</si>
  <si>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</si>
  <si>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</si>
  <si>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</si>
  <si>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</si>
  <si>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</si>
  <si>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</si>
  <si>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</si>
  <si>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</si>
  <si>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</si>
  <si>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</si>
  <si>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</si>
  <si>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</si>
  <si>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</si>
  <si>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</si>
  <si>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</si>
  <si>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</si>
  <si>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</si>
  <si>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</si>
  <si>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</si>
  <si>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</si>
  <si>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</si>
  <si>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</si>
  <si>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</si>
  <si>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</si>
  <si>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</si>
  <si>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</si>
  <si>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</si>
  <si>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</si>
  <si>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</si>
  <si>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</si>
  <si>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</si>
  <si>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</si>
  <si>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</si>
  <si>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</si>
  <si>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</si>
  <si>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</si>
  <si>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</si>
  <si>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</si>
  <si>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</si>
  <si>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</si>
  <si>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</si>
  <si>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</si>
  <si>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</si>
  <si>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</si>
  <si>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</si>
  <si>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</si>
  <si>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</si>
  <si>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</si>
  <si>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</si>
  <si>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</si>
  <si>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</si>
  <si>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</si>
  <si>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</si>
  <si>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</si>
  <si>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</si>
  <si>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</si>
  <si>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</si>
  <si>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</si>
  <si>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</si>
  <si>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</si>
  <si>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</si>
  <si>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</si>
  <si>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</si>
  <si>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</si>
  <si>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</si>
  <si>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</si>
  <si>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</si>
  <si>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</si>
  <si>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</si>
  <si>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</si>
  <si>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</si>
  <si>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</si>
  <si>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</si>
  <si>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</si>
  <si>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</si>
  <si>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</si>
  <si>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</si>
  <si>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</si>
  <si>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</si>
  <si>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</si>
  <si>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</si>
  <si>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</si>
  <si>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</si>
  <si>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</si>
  <si>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</si>
  <si>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</si>
  <si>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</si>
  <si>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</si>
  <si>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</si>
  <si>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</si>
  <si>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</si>
  <si>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</si>
  <si>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</si>
  <si>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</si>
  <si>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</si>
  <si>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</si>
  <si>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</si>
  <si>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</si>
  <si>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</si>
  <si>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</si>
  <si>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</si>
  <si>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</si>
  <si>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</si>
  <si>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</si>
  <si>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</si>
  <si>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</si>
  <si>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</si>
  <si>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</si>
  <si>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</si>
  <si>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</si>
  <si>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</si>
  <si>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</si>
  <si>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</si>
  <si>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</si>
  <si>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</si>
  <si>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</si>
  <si>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</si>
  <si>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</si>
  <si>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</si>
  <si>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</si>
  <si>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</si>
  <si>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</si>
  <si>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</si>
  <si>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</si>
  <si>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</si>
  <si>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</si>
  <si>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</si>
  <si>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</si>
  <si>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</si>
  <si>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</si>
  <si>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</si>
  <si>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</si>
  <si>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</si>
  <si>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</si>
  <si>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</si>
  <si>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</si>
  <si>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</si>
  <si>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</si>
  <si>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</si>
  <si>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</si>
  <si>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</si>
  <si>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</si>
  <si>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</si>
  <si>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</si>
  <si>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</si>
  <si>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</si>
  <si>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</si>
  <si>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</si>
  <si>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</si>
  <si>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</si>
  <si>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</si>
  <si>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</si>
  <si>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</si>
  <si>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</si>
  <si>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</si>
  <si>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</si>
  <si>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</si>
  <si>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</si>
  <si>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</si>
  <si>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</si>
  <si>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</si>
  <si>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</si>
  <si>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</si>
  <si>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</si>
  <si>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</si>
  <si>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</si>
  <si>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</si>
  <si>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</si>
  <si>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</si>
  <si>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</si>
  <si>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</si>
  <si>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</si>
  <si>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</si>
  <si>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</si>
  <si>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</si>
  <si>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</si>
  <si>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</si>
  <si>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</si>
  <si>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</si>
  <si>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</si>
  <si>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</si>
  <si>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</si>
  <si>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</si>
  <si>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</si>
  <si>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</si>
  <si>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</si>
  <si>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</si>
  <si>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</si>
  <si>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</si>
  <si>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</si>
  <si>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</si>
  <si>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</si>
  <si>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</si>
  <si>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</si>
  <si>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</si>
  <si>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</si>
  <si>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</si>
  <si>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</si>
  <si>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</si>
  <si>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</si>
  <si>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</si>
  <si>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</si>
  <si>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</si>
  <si>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</si>
  <si>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</si>
  <si>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</si>
  <si>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</si>
  <si>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</si>
  <si>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</si>
  <si>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</si>
  <si>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</si>
  <si>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</si>
  <si>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</si>
  <si>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</si>
  <si>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</si>
  <si>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</si>
  <si>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</si>
  <si>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</si>
  <si>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</si>
  <si>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</si>
  <si>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</si>
  <si>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</si>
  <si>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</si>
  <si>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</si>
  <si>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</si>
  <si>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</si>
  <si>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</si>
  <si>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</si>
  <si>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</si>
  <si>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</si>
  <si>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</si>
  <si>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</si>
  <si>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</si>
  <si>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</si>
  <si>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</si>
  <si>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</si>
  <si>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</si>
  <si>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</si>
  <si>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</si>
  <si>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</si>
  <si>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</si>
  <si>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</si>
  <si>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</si>
  <si>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</si>
  <si>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</si>
  <si>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</si>
  <si>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</si>
  <si>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</si>
  <si>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</si>
  <si>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</si>
  <si>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</si>
  <si>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</si>
  <si>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</si>
  <si>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</si>
  <si>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</si>
  <si>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</si>
  <si>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</si>
  <si>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</si>
  <si>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</si>
  <si>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</si>
  <si>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</si>
  <si>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</si>
  <si>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</si>
  <si>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</si>
  <si>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</si>
  <si>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</si>
  <si>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</si>
  <si>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</si>
  <si>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</si>
  <si>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</si>
  <si>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</si>
  <si>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</si>
  <si>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</si>
  <si>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</si>
  <si>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</si>
  <si>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</si>
  <si>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</si>
  <si>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</si>
  <si>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</si>
  <si>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</si>
  <si>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</si>
  <si>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</si>
  <si>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</si>
  <si>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</si>
  <si>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</si>
  <si>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</si>
  <si>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</si>
  <si>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</si>
  <si>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</si>
  <si>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</si>
  <si>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</si>
  <si>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</si>
  <si>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</si>
  <si>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</si>
  <si>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</si>
  <si>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</si>
  <si>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</si>
  <si>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</si>
  <si>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</si>
  <si>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</si>
  <si>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</si>
  <si>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</si>
  <si>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</si>
  <si>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</si>
  <si>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</si>
  <si>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</si>
  <si>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</si>
  <si>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</si>
  <si>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</si>
  <si>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</si>
  <si>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</si>
  <si>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</si>
  <si>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</si>
  <si>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</si>
  <si>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</si>
  <si>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</si>
  <si>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</si>
  <si>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</si>
  <si>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</si>
  <si>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</si>
  <si>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</si>
  <si>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</si>
  <si>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</si>
  <si>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</si>
  <si>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</si>
  <si>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</si>
  <si>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</si>
  <si>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</si>
  <si>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</si>
  <si>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</si>
  <si>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</si>
  <si>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</si>
  <si>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</si>
  <si>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</si>
  <si>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</si>
  <si>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</si>
  <si>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</si>
  <si>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</si>
  <si>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</si>
  <si>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</si>
  <si>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</si>
  <si>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</si>
  <si>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</si>
  <si>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</si>
  <si>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</si>
  <si>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</si>
  <si>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</si>
  <si>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</si>
  <si>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</si>
  <si>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</si>
  <si>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</si>
  <si>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</si>
  <si>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</si>
  <si>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</si>
  <si>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</si>
  <si>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</si>
  <si>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</si>
  <si>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</si>
  <si>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</si>
  <si>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</si>
  <si>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</si>
  <si>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</si>
  <si>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</si>
  <si>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</si>
  <si>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</si>
  <si>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</si>
  <si>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</si>
  <si>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</si>
  <si>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</si>
  <si>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</si>
  <si>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</si>
  <si>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</si>
  <si>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</si>
  <si>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</si>
  <si>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</si>
  <si>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</si>
  <si>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</si>
  <si>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</si>
  <si>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</si>
  <si>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</si>
  <si>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</si>
  <si>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</si>
  <si>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</si>
  <si>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</si>
  <si>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</si>
  <si>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</si>
  <si>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</si>
  <si>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</si>
  <si>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</si>
  <si>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</si>
  <si>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</si>
  <si>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</si>
  <si>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</si>
  <si>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</si>
  <si>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</si>
  <si>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</si>
  <si>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</si>
  <si>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</si>
  <si>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</si>
  <si>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</si>
  <si>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</si>
  <si>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</si>
  <si>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</si>
  <si>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</si>
  <si>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</si>
  <si>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</si>
  <si>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</si>
  <si>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</si>
  <si>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</si>
  <si>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</si>
  <si>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</si>
  <si>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</si>
  <si>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</si>
  <si>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</si>
  <si>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</si>
  <si>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</si>
  <si>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</si>
  <si>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</si>
  <si>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</si>
  <si>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</si>
  <si>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</si>
  <si>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</si>
  <si>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</si>
  <si>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</si>
  <si>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</si>
  <si>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</si>
  <si>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</si>
  <si>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</si>
  <si>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</si>
  <si>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</si>
  <si>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</si>
  <si>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</si>
  <si>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</si>
  <si>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</si>
  <si>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</si>
  <si>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</si>
  <si>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</si>
  <si>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</si>
  <si>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</si>
  <si>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</si>
  <si>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</si>
  <si>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</si>
  <si>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</si>
  <si>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</si>
  <si>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</si>
  <si>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</si>
  <si>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</si>
  <si>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</si>
  <si>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</si>
  <si>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</si>
  <si>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</si>
  <si>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</si>
  <si>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</si>
  <si>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</si>
  <si>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</si>
  <si>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</si>
  <si>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</si>
  <si>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</si>
  <si>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</si>
  <si>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</si>
  <si>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</si>
  <si>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</si>
  <si>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</si>
  <si>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</si>
  <si>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</si>
  <si>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</si>
  <si>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</si>
  <si>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</si>
  <si>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</si>
  <si>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</si>
  <si>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</si>
  <si>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</si>
  <si>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</si>
  <si>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</si>
  <si>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</si>
  <si>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</si>
  <si>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</si>
  <si>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</si>
  <si>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</si>
  <si>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</si>
  <si>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</si>
  <si>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</si>
  <si>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</si>
  <si>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</si>
  <si>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</si>
  <si>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</si>
  <si>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</si>
  <si>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</si>
  <si>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</si>
  <si>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</si>
  <si>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</si>
  <si>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</si>
  <si>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</si>
  <si>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</si>
  <si>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</si>
  <si>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</si>
  <si>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</si>
  <si>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</si>
  <si>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</si>
  <si>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</si>
  <si>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</si>
  <si>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</si>
  <si>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</si>
  <si>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</si>
  <si>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</si>
  <si>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</si>
  <si>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</si>
  <si>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</si>
  <si>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</si>
  <si>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</si>
  <si>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</si>
  <si>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</si>
  <si>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</si>
  <si>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</si>
  <si>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</si>
  <si>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</si>
  <si>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</si>
  <si>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</si>
  <si>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</si>
  <si>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</si>
  <si>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</si>
  <si>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</si>
  <si>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</si>
  <si>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</si>
  <si>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</si>
  <si>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</si>
  <si>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</si>
  <si>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</si>
  <si>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</si>
  <si>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</si>
  <si>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</si>
  <si>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</si>
  <si>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</si>
  <si>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</si>
  <si>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</si>
  <si>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</si>
  <si>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</si>
  <si>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</si>
  <si>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</si>
  <si>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</si>
  <si>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</si>
  <si>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</si>
  <si>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</si>
  <si>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</si>
  <si>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</si>
  <si>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</si>
  <si>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</si>
  <si>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</si>
  <si>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</si>
  <si>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</si>
  <si>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</si>
  <si>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</si>
  <si>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</si>
  <si>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</si>
  <si>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</si>
  <si>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</si>
  <si>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</si>
  <si>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</si>
  <si>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</si>
  <si>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</si>
  <si>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</si>
  <si>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</si>
  <si>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</si>
  <si>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</si>
  <si>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</si>
  <si>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</si>
  <si>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</si>
  <si>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</si>
  <si>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</si>
  <si>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</si>
  <si>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</si>
  <si>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</si>
  <si>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</si>
  <si>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</si>
  <si>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</si>
  <si>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</si>
  <si>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</si>
  <si>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</si>
  <si>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</si>
  <si>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</si>
  <si>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</si>
  <si>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</si>
  <si>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</si>
  <si>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</si>
  <si>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</si>
  <si>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</si>
  <si>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</si>
  <si>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</si>
  <si>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</si>
  <si>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</si>
  <si>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</si>
  <si>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</si>
  <si>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</si>
  <si>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</si>
  <si>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</si>
  <si>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</si>
  <si>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</si>
  <si>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</si>
  <si>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</si>
  <si>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</si>
  <si>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</si>
  <si>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</si>
  <si>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</si>
  <si>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</si>
  <si>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</si>
  <si>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</si>
  <si>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</si>
  <si>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</si>
  <si>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</si>
  <si>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</si>
  <si>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</si>
  <si>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</si>
  <si>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</si>
  <si>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</si>
  <si>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</si>
  <si>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</si>
  <si>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</si>
  <si>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</si>
  <si>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</si>
  <si>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</si>
  <si>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</si>
  <si>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</si>
  <si>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</si>
  <si>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</si>
  <si>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</si>
  <si>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</si>
  <si>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</si>
  <si>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</si>
  <si>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</si>
  <si>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</si>
  <si>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</si>
  <si>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</si>
  <si>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</si>
  <si>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</si>
  <si>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</si>
  <si>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</si>
  <si>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</si>
  <si>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</si>
  <si>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</si>
  <si>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</si>
  <si>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</si>
  <si>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</si>
  <si>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</si>
  <si>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</si>
  <si>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</si>
  <si>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</si>
  <si>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</si>
  <si>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</si>
  <si>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</si>
  <si>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</si>
  <si>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</si>
  <si>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</si>
  <si>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</si>
  <si>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</si>
  <si>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</si>
  <si>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</si>
  <si>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</si>
  <si>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</si>
  <si>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</si>
  <si>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</si>
  <si>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</si>
  <si>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</si>
  <si>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</si>
  <si>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</si>
  <si>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</si>
  <si>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</si>
  <si>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</si>
  <si>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</si>
  <si>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</si>
  <si>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</si>
  <si>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</si>
  <si>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</si>
  <si>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</si>
  <si>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</si>
  <si>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</si>
  <si>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</si>
  <si>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</si>
  <si>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</si>
  <si>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</si>
  <si>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</si>
  <si>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</si>
  <si>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</si>
  <si>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</si>
  <si>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</si>
  <si>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</si>
  <si>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</si>
  <si>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</si>
  <si>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</si>
  <si>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</si>
  <si>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</si>
  <si>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</si>
  <si>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</si>
  <si>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</si>
  <si>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</si>
  <si>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</si>
  <si>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</si>
  <si>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</si>
  <si>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</si>
  <si>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</si>
  <si>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</si>
  <si>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</si>
  <si>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</si>
  <si>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</si>
  <si>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</si>
  <si>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</si>
  <si>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</si>
  <si>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</si>
  <si>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August 2021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</si>
  <si>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</si>
  <si>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</si>
  <si>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</si>
  <si>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</si>
  <si>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</si>
  <si>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</si>
  <si>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</si>
  <si>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</si>
  <si>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</si>
  <si>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</si>
  <si>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</si>
  <si>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</si>
  <si>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</si>
  <si>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</si>
  <si>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</si>
  <si>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</si>
  <si>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</si>
  <si>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</si>
  <si>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</si>
  <si>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</si>
  <si>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</si>
  <si>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</si>
  <si>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</si>
  <si>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</si>
  <si>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text</t>
  </si>
  <si>
    <t>value</t>
  </si>
  <si>
    <t>UD-RD040001</t>
  </si>
  <si>
    <t>UD-RD040002</t>
  </si>
  <si>
    <t>item_group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</si>
  <si>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</si>
  <si>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</si>
  <si>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</si>
  <si>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</si>
  <si>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</si>
  <si>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</si>
  <si>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</si>
  <si>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50721060-Andi Amiluddin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</si>
  <si>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</si>
  <si>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</si>
  <si>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</si>
  <si>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</si>
  <si>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</si>
  <si>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</si>
  <si>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PORT</t>
  </si>
  <si>
    <t>CPP KM 33</t>
  </si>
  <si>
    <t>IC-CPPKM33</t>
  </si>
  <si>
    <t>INDEXIM COALINDO</t>
  </si>
  <si>
    <t>INDEXIM COALINDO &gt; CPP KM 33</t>
  </si>
  <si>
    <t>IC-CPPKM33-CPPKM33 ROM</t>
  </si>
  <si>
    <t>CPP KM 33 ROM</t>
  </si>
  <si>
    <t>CPP KM 33 &gt; CPP KM 33 ROM</t>
  </si>
  <si>
    <t>IC-CPPKM33-CPP KM33 Hopper</t>
  </si>
  <si>
    <t>CPP KM33 Hopper</t>
  </si>
  <si>
    <t>CPP KM 33 &gt; CPP KM33 Hopper</t>
  </si>
  <si>
    <t>IC-Disposal</t>
  </si>
  <si>
    <t>DISPOSAL</t>
  </si>
  <si>
    <t>INDEXIM COALINDO &gt; DISPOSAL</t>
  </si>
  <si>
    <t>IC-PORT</t>
  </si>
  <si>
    <t>Kaliorang Anchorage</t>
  </si>
  <si>
    <t>PIT</t>
  </si>
  <si>
    <t>IC-PIT</t>
  </si>
  <si>
    <t>INDEXIM COALINDO &gt; PIT</t>
  </si>
  <si>
    <t>PIT ROM</t>
  </si>
  <si>
    <t>PIT &gt; PIT ROM</t>
  </si>
  <si>
    <t>INDEXIM COALINDO &gt; PORT</t>
  </si>
  <si>
    <t>IC-PIT-TEMP02</t>
  </si>
  <si>
    <t>TEMPUDO 2</t>
  </si>
  <si>
    <t>PIT &gt; TEMPUDO 2</t>
  </si>
  <si>
    <t>IC-PIT-TEMP03</t>
  </si>
  <si>
    <t>TEMPUDO 3</t>
  </si>
  <si>
    <t>PIT &gt; TEMPUDO 3</t>
  </si>
  <si>
    <t>TEMPUDO 4</t>
  </si>
  <si>
    <t>PIT &gt; TEMPUDO 4</t>
  </si>
  <si>
    <t>IC-PIT-TEMP05</t>
  </si>
  <si>
    <t>TEMPUDO 5</t>
  </si>
  <si>
    <t>PIT &gt; TEMPUDO 5</t>
  </si>
  <si>
    <t>IC-PIT-TEMP06</t>
  </si>
  <si>
    <t>TEMPUDO 6</t>
  </si>
  <si>
    <t>PIT &gt; TEMPUDO 6</t>
  </si>
  <si>
    <t>IC-PIT-TEMP07</t>
  </si>
  <si>
    <t>TEMPUDO 7</t>
  </si>
  <si>
    <t>PIT &gt; TEMPUDO 7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</si>
  <si>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</si>
  <si>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</si>
  <si>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</si>
  <si>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</si>
  <si>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</si>
  <si>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</si>
  <si>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</si>
  <si>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Testing</t>
  </si>
  <si>
    <t>stock_location_name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</si>
  <si>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</si>
  <si>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</si>
  <si>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</si>
  <si>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</si>
  <si>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</si>
  <si>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</si>
  <si>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</si>
  <si>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</si>
  <si>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</si>
  <si>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</si>
  <si>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</si>
  <si>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</si>
  <si>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</si>
  <si>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</si>
  <si>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</si>
  <si>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</si>
  <si>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</si>
  <si>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</si>
  <si>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</si>
  <si>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</si>
  <si>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</si>
  <si>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</si>
  <si>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</si>
  <si>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</si>
  <si>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</si>
  <si>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</si>
  <si>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</si>
  <si>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</si>
  <si>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Non Production Activity</t>
  </si>
  <si>
    <t>S</t>
  </si>
  <si>
    <t>Production Activity</t>
  </si>
  <si>
    <t>P</t>
  </si>
  <si>
    <t>ID</t>
  </si>
  <si>
    <t>DE</t>
  </si>
  <si>
    <t>R</t>
  </si>
  <si>
    <t xml:space="preserve">Front Problem productivity </t>
  </si>
  <si>
    <t>FPP</t>
  </si>
  <si>
    <t xml:space="preserve">Disposal Problem Productivity </t>
  </si>
  <si>
    <t>DPP</t>
  </si>
  <si>
    <t xml:space="preserve">Road Problem Productivity </t>
  </si>
  <si>
    <t>RPP</t>
  </si>
  <si>
    <t xml:space="preserve">Unit Problem Productivity </t>
  </si>
  <si>
    <t>UPP</t>
  </si>
  <si>
    <t>event_category_name</t>
  </si>
  <si>
    <t>WAITING SUPPORT DISPOSAL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</si>
  <si>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</si>
  <si>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</si>
  <si>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</si>
  <si>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</si>
  <si>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</si>
  <si>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</si>
  <si>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</si>
  <si>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</si>
  <si>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</si>
  <si>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</si>
  <si>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</si>
  <si>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</si>
  <si>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</si>
  <si>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</si>
  <si>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</si>
  <si>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</si>
  <si>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IC-PIT-TEMP04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</si>
  <si>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</si>
  <si>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</si>
  <si>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</si>
  <si>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</si>
  <si>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</si>
  <si>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</si>
  <si>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</si>
  <si>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More Than 720 minutes</t>
  </si>
  <si>
    <t>http://smdev.mc.com:8081/</t>
  </si>
  <si>
    <t>Training</t>
  </si>
  <si>
    <t>Development</t>
  </si>
  <si>
    <t>URL Link</t>
  </si>
  <si>
    <t>Purpose</t>
  </si>
  <si>
    <t>Old Link</t>
  </si>
  <si>
    <t>https://mcs.codemarvel.com/</t>
  </si>
  <si>
    <t>http://smdev.mc.com/</t>
  </si>
  <si>
    <t>http://smdev.mc.com:8080/</t>
  </si>
  <si>
    <t>WH OB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</si>
  <si>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</si>
  <si>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</si>
  <si>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</si>
  <si>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</si>
  <si>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</si>
  <si>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</si>
  <si>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</si>
  <si>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</si>
  <si>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</si>
  <si>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</si>
  <si>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</si>
  <si>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</si>
  <si>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</si>
  <si>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</si>
  <si>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</si>
  <si>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</si>
  <si>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</si>
  <si>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</si>
  <si>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</si>
  <si>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</si>
  <si>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</si>
  <si>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</si>
  <si>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</si>
  <si>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</si>
  <si>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</si>
  <si>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</si>
  <si>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</si>
  <si>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</si>
  <si>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</si>
  <si>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</si>
  <si>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</si>
  <si>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</si>
  <si>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</si>
  <si>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</si>
  <si>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</si>
  <si>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</si>
  <si>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</si>
  <si>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</si>
  <si>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</si>
  <si>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id,is_active,event_definition_category_name,event_definition_category_code,is_problem_productivity,organization_id,timesheet_detail_event,timesheet_detail_productivity_problem,value,text</t>
  </si>
  <si>
    <t>b2160850-939b-4ec7-99fe-ae8395834200</t>
  </si>
  <si>
    <t>6:00 PM-6:00 AM</t>
  </si>
  <si>
    <t>Capacity</t>
  </si>
  <si>
    <t>Date+CodeNumber</t>
  </si>
  <si>
    <t>Data.1</t>
  </si>
  <si>
    <t>Data.2</t>
  </si>
  <si>
    <t>Need Revise</t>
  </si>
  <si>
    <t>rit_rehandling</t>
  </si>
  <si>
    <t>vol_rehandling</t>
  </si>
  <si>
    <t>productivity</t>
  </si>
  <si>
    <t>vol_distance</t>
  </si>
  <si>
    <t>vol_density</t>
  </si>
  <si>
    <t>AccountingPeriod</t>
  </si>
  <si>
    <t>api/accounting/accountingperiod/accountingperiodidlookup</t>
  </si>
  <si>
    <t>API_Accounting Period</t>
  </si>
  <si>
    <t>Administrator</t>
  </si>
  <si>
    <t>Mat.Coal</t>
  </si>
  <si>
    <t>Material Coal</t>
  </si>
  <si>
    <t>application_username</t>
  </si>
  <si>
    <t>fullname</t>
  </si>
  <si>
    <t>email</t>
  </si>
  <si>
    <t>is_sysadmin</t>
  </si>
  <si>
    <t>api_key</t>
  </si>
  <si>
    <t>expired_date</t>
  </si>
  <si>
    <t>primary_team_name</t>
  </si>
  <si>
    <t>business_unit_id</t>
  </si>
  <si>
    <t>business_unit_name</t>
  </si>
  <si>
    <t>ApplicationUser</t>
  </si>
  <si>
    <t>api/SystemAdministration/ApplicationUser/List</t>
  </si>
  <si>
    <t>id,is_active,is_locked,application_username,fullname,email,is_sysadmin,api_key,expired_date,organization_name,primary_team_name,business_unit_id,business_unit_name</t>
  </si>
  <si>
    <t>Allowed Role</t>
  </si>
  <si>
    <t>Input/Maintain</t>
  </si>
  <si>
    <t>Web_AccountingPeriod.value</t>
  </si>
  <si>
    <t>08/20/2021</t>
  </si>
  <si>
    <t>08/16/2021</t>
  </si>
  <si>
    <t>API_ApplicationUser</t>
  </si>
  <si>
    <t>Activity_HardCode</t>
  </si>
  <si>
    <t>Accounting Period</t>
  </si>
  <si>
    <t>Success</t>
  </si>
  <si>
    <t>6:00 AM-6:00 PM</t>
  </si>
  <si>
    <t>role_name</t>
  </si>
  <si>
    <t>DOZER</t>
  </si>
  <si>
    <t>8945e9971b3b4c48b2a7d01ebab6421b</t>
  </si>
  <si>
    <t>admin_udu</t>
  </si>
  <si>
    <t>Unggul Dinamika Utama</t>
  </si>
  <si>
    <t>e8e83668a99e4ae7b1131d920e988a7e</t>
  </si>
  <si>
    <t>Seam 29</t>
  </si>
  <si>
    <t>RBS212</t>
  </si>
  <si>
    <t>Isuzu</t>
  </si>
  <si>
    <t>RBS225</t>
  </si>
  <si>
    <t>Mitsubishi</t>
  </si>
  <si>
    <t>RLV003</t>
  </si>
  <si>
    <t>RBS501</t>
  </si>
  <si>
    <t>Cat 12 M</t>
  </si>
  <si>
    <t>RBU003</t>
  </si>
  <si>
    <t>RBU002</t>
  </si>
  <si>
    <t>RBS209</t>
  </si>
  <si>
    <t>RBS221</t>
  </si>
  <si>
    <t>RBS217</t>
  </si>
  <si>
    <t>RBS222</t>
  </si>
  <si>
    <t>RLV002</t>
  </si>
  <si>
    <t>RBS205</t>
  </si>
  <si>
    <t>RLV004</t>
  </si>
  <si>
    <t>RLV005</t>
  </si>
  <si>
    <t>RBS214</t>
  </si>
  <si>
    <t>RLV006</t>
  </si>
  <si>
    <t>LV03</t>
  </si>
  <si>
    <t>RBS223</t>
  </si>
  <si>
    <t>RBS062</t>
  </si>
  <si>
    <t>D85</t>
  </si>
  <si>
    <t>LV047</t>
  </si>
  <si>
    <t>RBS219</t>
  </si>
  <si>
    <t>RBS215</t>
  </si>
  <si>
    <t>RBS224</t>
  </si>
  <si>
    <t>RLV001</t>
  </si>
  <si>
    <t>RBU001</t>
  </si>
  <si>
    <t>RBS220</t>
  </si>
  <si>
    <t>b727d19d4f0046158937948ea06bdc16</t>
  </si>
  <si>
    <t>7393fa702c3e4a939fc7405198dec6d4</t>
  </si>
  <si>
    <t>Fuso FN 62</t>
  </si>
  <si>
    <t>BUS</t>
  </si>
  <si>
    <t>Welding</t>
  </si>
  <si>
    <t>Seam 27AL</t>
  </si>
  <si>
    <t>Seam 27AU</t>
  </si>
  <si>
    <t>Seam 27L</t>
  </si>
  <si>
    <t>Seam 27U</t>
  </si>
  <si>
    <t>Seam 27</t>
  </si>
  <si>
    <t>Seam 28AL</t>
  </si>
  <si>
    <t>Seam 28AU</t>
  </si>
  <si>
    <t>Seam 28</t>
  </si>
  <si>
    <t>Seam 19</t>
  </si>
  <si>
    <t>Seam 20A</t>
  </si>
  <si>
    <t>Seam 20L</t>
  </si>
  <si>
    <t>Seam 20U</t>
  </si>
  <si>
    <t>Seam 20</t>
  </si>
  <si>
    <t>Seam 21</t>
  </si>
  <si>
    <t>Seam 22</t>
  </si>
  <si>
    <t>WASTE DUMP 05</t>
  </si>
  <si>
    <t>Block B1</t>
  </si>
  <si>
    <t>WASTE DUMP 02</t>
  </si>
  <si>
    <t>WASTE DUMP 07</t>
  </si>
  <si>
    <t>WASTE DUMP 04</t>
  </si>
  <si>
    <t>WASTE DUMP 06</t>
  </si>
  <si>
    <t>WASTE DUMP 03</t>
  </si>
  <si>
    <t>CPP HOPPER</t>
  </si>
  <si>
    <t>Block A1</t>
  </si>
  <si>
    <t>Overburden Free Dig</t>
  </si>
  <si>
    <t>Overburden Blasting</t>
  </si>
  <si>
    <t>High Sulphur</t>
  </si>
  <si>
    <t>Mud</t>
  </si>
  <si>
    <t>Low Sulphur</t>
  </si>
  <si>
    <t>Overburden Ripping</t>
  </si>
  <si>
    <t>Top Soil</t>
  </si>
  <si>
    <t>Dawud Prionggodo</t>
  </si>
  <si>
    <t>50721059-Hotman Sinaga</t>
  </si>
  <si>
    <t>50721061-Jefrianus Yoseph Budu</t>
  </si>
  <si>
    <t>50721072-Sali</t>
  </si>
  <si>
    <t>50721080-Lukman</t>
  </si>
  <si>
    <t>PORT &gt; Kaliorang Anchorage</t>
  </si>
  <si>
    <t>d62033098a354c8f8ce855c5c2623e5b</t>
  </si>
  <si>
    <t>416c62f86295462e96b7d028c2d1faed</t>
  </si>
  <si>
    <t>e8b565608ff3472caa4847785aa092b7</t>
  </si>
  <si>
    <t>30d77eb2f8674cd691cacfcd5e33a233-715#60e543d35e7e4d11818ee74a34765e73-5</t>
  </si>
  <si>
    <t>30d77eb2f8674cd691cacfcd5e33a233-715#18df7fbcc10448f0a1bd4b6b7d302987-5</t>
  </si>
  <si>
    <t>834e4adaecd346218dbd811fdd70574c-715#3fe93e1bf789493a9c9a3ec5293c2ab3-5</t>
  </si>
  <si>
    <t>834e4adaecd346218dbd811fdd70574c-715#81fe5e82b58449dc985609261bd4536b-5</t>
  </si>
  <si>
    <t>834e4adaecd346218dbd811fdd70574c-715#53c9933258a5473a898693f7cd18795e-5</t>
  </si>
  <si>
    <t>834e4adaecd346218dbd811fdd70574c-715#892910e16a314a7c95319349a06f9c84-5</t>
  </si>
  <si>
    <t>834e4adaecd346218dbd811fdd70574c-715#9788e407cbe54c4cbfeb23ff9c26064a-5</t>
  </si>
  <si>
    <t>834e4adaecd346218dbd811fdd70574c-715#44799f4351224b1e808f2e338baba3a6-5</t>
  </si>
  <si>
    <t>67d2790e-181b-4185-b83a-ceb778e63c3b</t>
  </si>
  <si>
    <t>fd7adb4048f440e2b96c9aa433167ae5</t>
  </si>
  <si>
    <t>UDU-MINING</t>
  </si>
  <si>
    <t>b130e562acdd40aa9b3f2638290a08a9</t>
  </si>
  <si>
    <t>45621b61b1474299bc384a74e3a9f63d</t>
  </si>
  <si>
    <t>d2dac489ea2847f1851220ac68e576e9</t>
  </si>
  <si>
    <t>5d2f0841dad2491284253a404d033a54</t>
  </si>
  <si>
    <t>87c99b68d6ee4074bf42075044cdafa3</t>
  </si>
  <si>
    <t>1378ef6cc35542b3bc840ad2f3cd2e32</t>
  </si>
  <si>
    <t>71fda450b607496c9316e2aed23d4c30</t>
  </si>
  <si>
    <t>eafdcdd1fe054a85a745aba0541567de</t>
  </si>
  <si>
    <t>54a563a73f5e436eacf5c49058c99406</t>
  </si>
  <si>
    <t>43863a2fae4b4bf6ac6b6064af9aacfb</t>
  </si>
  <si>
    <t>fc9058df85db4e4caa464c8587771187</t>
  </si>
  <si>
    <t>c5dd85551a964802933c238ae911cc10</t>
  </si>
  <si>
    <t>b12128f883b548d59e3c1ea79a237f2b</t>
  </si>
  <si>
    <t>0433859f36a64d6d9be2292e19a4c7c3</t>
  </si>
  <si>
    <t>2d98a79541d74518b8c012d51966a03c</t>
  </si>
  <si>
    <t>aa6b98423049440abbad92b9df863dd1</t>
  </si>
  <si>
    <t>cb7f6b334ef0417a98388eafd2bd9e4d</t>
  </si>
  <si>
    <t>e1ae66e90d504b179e93b6baef359a61</t>
  </si>
  <si>
    <t>UD-RD040003</t>
  </si>
  <si>
    <t>49ce39f3d13b4fecb662b9cbe8a5d4c5</t>
  </si>
  <si>
    <t>cb54bd8190a94002a748991c0acd9fd4</t>
  </si>
  <si>
    <t>c6fcd1cc678a40bbb5066b579cc7c208</t>
  </si>
  <si>
    <t>5fee5db866ab4d569b4ecb5d2dab283b</t>
  </si>
  <si>
    <t>6e1d5de6e66e499c9e54b83d78b59da7</t>
  </si>
  <si>
    <t>bc1201bcc69646d893074701bf881c39</t>
  </si>
  <si>
    <t>b4511b7140d244369b72207d61a46eb6</t>
  </si>
  <si>
    <t>6458da2239fa4537b67526b47d7e87e2</t>
  </si>
  <si>
    <t>39ed2a8965494243ad0f296b9d2742c3</t>
  </si>
  <si>
    <t>ab6cf17d87104ad5ba78a1f78d1bf121</t>
  </si>
  <si>
    <t>UD-RD040004</t>
  </si>
  <si>
    <t>b5f8f0a1e24e4b5fb47c4c71abc0a00e</t>
  </si>
  <si>
    <t>ade8f5f4a01a4cdf81c8c14878b74835</t>
  </si>
  <si>
    <t>f52eb7929eca4cbf95ace50335aca012</t>
  </si>
  <si>
    <t>82ee940c20e3462083520abaaee75732</t>
  </si>
  <si>
    <t>ebaad44ba62c45d5ade7bbf6ac3a5925</t>
  </si>
  <si>
    <t>ae4ddfda2b2e42bc9a06f2349f0c2a4b</t>
  </si>
  <si>
    <t>808f9e169a0440799e375923acf60e88</t>
  </si>
  <si>
    <t>8df3403e3dc748bebc6105ee75e10088</t>
  </si>
  <si>
    <t>2a1665e5c7994ae5a13fc2cb42adcd37</t>
  </si>
  <si>
    <t>b142b650e9414c2a9551371427441109</t>
  </si>
  <si>
    <t>eab21540cc4741e599ca5ba8270654ea</t>
  </si>
  <si>
    <t>526af4c6469a455cbb0bf242a6277d3f</t>
  </si>
  <si>
    <t>ed18e4491a4542e4be68b9bd53a311c3</t>
  </si>
  <si>
    <t>8e8b7ae6ae18446c9c9b4b117d09d691</t>
  </si>
  <si>
    <t>440301c7e27948ebbe67e2eb2d57f856</t>
  </si>
  <si>
    <t>a5378edfb4b34ff3b17fcf6bdc09d019</t>
  </si>
  <si>
    <t>77f474704af642abb63d3bdeaecf86be</t>
  </si>
  <si>
    <t>6ff0bc6ca6944c0b817a74f6bbd7e2c1</t>
  </si>
  <si>
    <t>df93b38db56d485dad0e0d7e2d27254f</t>
  </si>
  <si>
    <t>ab0b084e926842519a577db8b95826bc</t>
  </si>
  <si>
    <t>711e7761205c464bad5390b7f9df3872</t>
  </si>
  <si>
    <t>674410ef8f3d4bc79170f307c0a54f0b</t>
  </si>
  <si>
    <t>0a4c960e873a4462b8b277cc4b1b2e9b</t>
  </si>
  <si>
    <t>56141a27c3984dd7865489cb77cbdec9</t>
  </si>
  <si>
    <t>f9dd79bd30fa4a4b8ef20da1e115a1b4</t>
  </si>
  <si>
    <t>2ca759eac7804021a50f10634d5a14f3</t>
  </si>
  <si>
    <t>c315133d563240ffbe2406a08bd465df</t>
  </si>
  <si>
    <t>e41577d1c1094c1692bcd1654d604a34</t>
  </si>
  <si>
    <t>3ef426a617a54cd9adbda7c379aab92b</t>
  </si>
  <si>
    <t>6a486a28d4914c5ab04f0aaa5ef1a9fe</t>
  </si>
  <si>
    <t>86f29445efa649fe9f5e4f46d33793d6</t>
  </si>
  <si>
    <t>bd95a59bc94d41d1b189d2278ec9fc84</t>
  </si>
  <si>
    <t>6c0991a2bcf34ab4b8926598dc83cfe9</t>
  </si>
  <si>
    <t>32bb685e7d7f4ea98efb5b18ccc09cb7</t>
  </si>
  <si>
    <t>4d432e7c41ae455c86115b861cd45f3a</t>
  </si>
  <si>
    <t>acbe756907c5460d94303c01e1b3fcae</t>
  </si>
  <si>
    <t>cf70d23d5e744ee3841ff682976ecc5f</t>
  </si>
  <si>
    <t>UD-RD040005</t>
  </si>
  <si>
    <t>93b86c61cd504f70ab6ef3058d7ab1aa</t>
  </si>
  <si>
    <t>c07ce5b91a7f47cb916308bf1889172a</t>
  </si>
  <si>
    <t>9c0ed1753d114ddebcfedfd815fe9800</t>
  </si>
  <si>
    <t>47ae28e34606446b83ac1fe66ae78daa</t>
  </si>
  <si>
    <t>d9ad195ea3854d21b4aa3eaeda6f9334</t>
  </si>
  <si>
    <t>a5923d35af064317955530bc51a6b9a3</t>
  </si>
  <si>
    <t>d0402169f8a545508f4889b0a7542a57</t>
  </si>
  <si>
    <t>bbdbded2e3b04c92aa38a8b61500388f</t>
  </si>
  <si>
    <t>UDU-KMA</t>
  </si>
  <si>
    <t>UDU MINING AREA</t>
  </si>
  <si>
    <t>9a0031bcee424e89bf93f877d71f5a18</t>
  </si>
  <si>
    <t>c5d0079e754041a98a1fed9321bc32eb</t>
  </si>
  <si>
    <t>UDU KDISPOSAL</t>
  </si>
  <si>
    <t>1afb6b61a7954b21a0dff57d033f7d7a</t>
  </si>
  <si>
    <t>IPDTEMPUDO 5</t>
  </si>
  <si>
    <t>INPIT TEMPUDO 5</t>
  </si>
  <si>
    <t>70f5d25fa15e48bab67ebefd33e7d322</t>
  </si>
  <si>
    <t>UDU-TMA</t>
  </si>
  <si>
    <t>3527e03d9d8c423498025abcc988e85e</t>
  </si>
  <si>
    <t>6100fe473fc64d66b5b43f8b229bafda</t>
  </si>
  <si>
    <t>UDU TPIT</t>
  </si>
  <si>
    <t>UDU-PIT</t>
  </si>
  <si>
    <t>048280a8b65945c5944f9ecf6da78cbc</t>
  </si>
  <si>
    <t>UDU TDISPOSAL</t>
  </si>
  <si>
    <t>UDU-DISPOSAL</t>
  </si>
  <si>
    <t>5c86987842dd4a26b3dc5555b8104bef</t>
  </si>
  <si>
    <t>UDU CH</t>
  </si>
  <si>
    <t>UDU COAL HANDLING</t>
  </si>
  <si>
    <t>247f791ce68c4e608a1899732eae95d4</t>
  </si>
  <si>
    <t>CPP KM33</t>
  </si>
  <si>
    <t>ab154a3008cf42158b06864fbf0324ca</t>
  </si>
  <si>
    <t>6331b7f069b948f69a705fcb56430be1</t>
  </si>
  <si>
    <t>660dc5a61149452e8b2f29e1c6b96281</t>
  </si>
  <si>
    <t>01dd826672244a8da6e6e24285d3aab6</t>
  </si>
  <si>
    <t>0ac94f238f8e454eb3b88303db91e947</t>
  </si>
  <si>
    <t>adb38a80bc4a4114b898b679bfccabe2</t>
  </si>
  <si>
    <t>1951884b94a74929807935593e7f68e6</t>
  </si>
  <si>
    <t>5db12e6cf9614cdd8c11417996fbe1ed</t>
  </si>
  <si>
    <t>79c914dd399448cdb2c70d05357103a4</t>
  </si>
  <si>
    <t>b4dd663014de4757a7fc4271520b8f5f</t>
  </si>
  <si>
    <t>e81735ee47c1462d9ec50324a5bda47c</t>
  </si>
  <si>
    <t>IC-TEMP4</t>
  </si>
  <si>
    <t>8360a1a4204a4dbaac207db8f8029f08</t>
  </si>
  <si>
    <t>b638a68266dd412db66ed4977afa37fa</t>
  </si>
  <si>
    <t>0c530f1fca89439b8879298c1bb57af5</t>
  </si>
  <si>
    <t>596f5e466bf844d2bdd9871b314fb74a</t>
  </si>
  <si>
    <t>14d4937bd8114118ad168425eb8897f8</t>
  </si>
  <si>
    <t>814e3267741f43bfa0f90613edcadce5</t>
  </si>
  <si>
    <t>e62dd16e6c634d9e918910e4e8d671ae</t>
  </si>
  <si>
    <t>603c299d41c940458f7441714b78d618</t>
  </si>
  <si>
    <t>e0f1a373390240d7bdc3f3db0e67a197</t>
  </si>
  <si>
    <t>3f469a422e9949dc9e64fca8a5484b7a</t>
  </si>
  <si>
    <t>a015ccea2f424f7094d7eba22d799ff6</t>
  </si>
  <si>
    <t>17550339f3de4cf49c0a03f345deafe6</t>
  </si>
  <si>
    <t>29ad0b12669c45a8b2d190c0deac93fa</t>
  </si>
  <si>
    <t>50c2cc098c0340c19e2db24301eead43</t>
  </si>
  <si>
    <t>ef8047e0b1b844f6940f61c92b58877a</t>
  </si>
  <si>
    <t>b0aaa82519da4f1081e013bb743fcd19</t>
  </si>
  <si>
    <t>d2c2f38561e541348702450e0a1bdac9</t>
  </si>
  <si>
    <t>4aba8459ec784029935ec2b63f0fe287</t>
  </si>
  <si>
    <t>491bd3c93f724c37b5f801fc5f0ed56f</t>
  </si>
  <si>
    <t>4d38ca4fc81740de849d6d5c78a0dcf0</t>
  </si>
  <si>
    <t>20a80620aa9f41e2b32945337bcd00f4</t>
  </si>
  <si>
    <t>f92161569c0c4b22bc28982615006860</t>
  </si>
  <si>
    <t>e899eb1bb43a4f1a9ac06ff3d1f6021c</t>
  </si>
  <si>
    <t>72a75257e04144a5aefe98209454872d</t>
  </si>
  <si>
    <t>5a014baf9df044bb8b795b7e75652222</t>
  </si>
  <si>
    <t>bcfa95c9d3a4482aa6f989202fac089f</t>
  </si>
  <si>
    <t>f551afa832cd40b99aa226d13465e2cb</t>
  </si>
  <si>
    <t>ee67917531c4488faf6f70afcb7ca74f</t>
  </si>
  <si>
    <t>af484a58670746b199ea714ad5064cbc</t>
  </si>
  <si>
    <t>8ba15baee3b5489cb80a5bde7c118d47</t>
  </si>
  <si>
    <t>aa939e88dba642989913423c00ceac4f</t>
  </si>
  <si>
    <t>220e4254423c44609ca00a4e5d2fb99e</t>
  </si>
  <si>
    <t>d7f4e25f1ea04f3ab7001aa52bad9f16</t>
  </si>
  <si>
    <t>ef2dc81dc1be4ebc8f683a46c7ccc377</t>
  </si>
  <si>
    <t>e0f3e89d200f4d14a0c5a63bb30a548e</t>
  </si>
  <si>
    <t>9d9fad4b16724f849ffb84efe7cf94fc</t>
  </si>
  <si>
    <t>58287cd63ff5424fa1cd3e9eb1bd62eb</t>
  </si>
  <si>
    <t>54a85f8e83b540af8d447dce3457f1a1</t>
  </si>
  <si>
    <t>Bank Cubic Meter</t>
  </si>
  <si>
    <t>d4ba0580de3e43c09fccc0a8de14bce7</t>
  </si>
  <si>
    <t>3babd8220428483e99b07d1bac33ce5e</t>
  </si>
  <si>
    <t>9f2d3fd5b2c34f9da0d37ad6282ad87a</t>
  </si>
  <si>
    <t>4621d31afd3940c6acbd13bd18cd7ba1</t>
  </si>
  <si>
    <t>0bd0655e89984ba88bfffaba1d692712</t>
  </si>
  <si>
    <t>98c8c0c069a14dd7939b85e371bf71a9</t>
  </si>
  <si>
    <t>5c49faab56594e3995b446a4ae1ed7ce</t>
  </si>
  <si>
    <t>6b669deeb1eb45b1a23ceef4cd401c97</t>
  </si>
  <si>
    <t>890a640093e94b07b3812d39b960adcf</t>
  </si>
  <si>
    <t>f30345cd63cf451490f1e9dd6e2ae964</t>
  </si>
  <si>
    <t>491d20bc44be4189b3e4ea73bd837a23</t>
  </si>
  <si>
    <t>ab84346ac7794eacb9b5aa9181df542a</t>
  </si>
  <si>
    <t>27b8b9188054494b970d76a6182704e0</t>
  </si>
  <si>
    <t>aa00b580dbf14792aab006620220bf60</t>
  </si>
  <si>
    <t>b1ef6e19e9334dc2a612ba4309d2003a</t>
  </si>
  <si>
    <t>199279a95795417caf972bdc3196bc7f</t>
  </si>
  <si>
    <t>42159926847d424ba24ebb0297019732</t>
  </si>
  <si>
    <t>45f9215e1cbd4e38b7d6b9faecf3d208</t>
  </si>
  <si>
    <t>fdd03fe7fc5444dd86e411dfae5c4747</t>
  </si>
  <si>
    <t>ee5cf9eceb354c89a066789a2d299d41</t>
  </si>
  <si>
    <t>f915fdabb43e47e4829bbddf256b95e0</t>
  </si>
  <si>
    <t>cbdb2ebd60474eb2b6fd79fe1cbccb98</t>
  </si>
  <si>
    <t>a19f748aab9040cd9913cbb3dd307c6b</t>
  </si>
  <si>
    <t>3360edf7e91446a3bd45866aaae143bc</t>
  </si>
  <si>
    <t>becb886d22c149489e5e3b062fc5fa18</t>
  </si>
  <si>
    <t>384bd227a0d149b287ee914d38c12f31</t>
  </si>
  <si>
    <t>44a2e0d5e47e4b98ae02c1d27e860fd8</t>
  </si>
  <si>
    <t>5b1142214f68488c8eff593f591e4a20</t>
  </si>
  <si>
    <t>c0a0a1ffd8c44816ab7262f0d97be57e</t>
  </si>
  <si>
    <t>c435d447041b4dea95bf313f5b26941b</t>
  </si>
  <si>
    <t>ce3ad41bd78c40679bcf58ecd1a666b6</t>
  </si>
  <si>
    <t>e233605edc8443faa6d7ae5374e746b9</t>
  </si>
  <si>
    <t>fbe5d04691f846ef9b09abf64bbbc081</t>
  </si>
  <si>
    <t>4f4e7bf908e34c3fa621ff06a65615b8</t>
  </si>
  <si>
    <t>09b0d8d7d6eb4bbd89eb9d8284e21ff5</t>
  </si>
  <si>
    <t>f6ce1662bd0643c9a0fe40433d4adf6f</t>
  </si>
  <si>
    <t>6f2679445dad4680acedea9a18ebef60</t>
  </si>
  <si>
    <t>5de09554adf648f0a67cad053a09410d</t>
  </si>
  <si>
    <t>c17be2fbc3954a6f90b43bdacf8f68a7</t>
  </si>
  <si>
    <t>efb97eee8d00424aa5651a8a8c3d95be</t>
  </si>
  <si>
    <t>f680173fe0284656987915f68800efdd</t>
  </si>
  <si>
    <t>ee332a9c7bdf4ba18cf27782c0ef1c3f</t>
  </si>
  <si>
    <t>ea1f9e07b5c6438c8671e07e09ea4fd4</t>
  </si>
  <si>
    <t>a00a3f4d2cb1440aaac9e436cedc1714</t>
  </si>
  <si>
    <t>48c4f85e7726494e870d97fb35d2c038</t>
  </si>
  <si>
    <t>5789f01b534c49a294ac2b69011fe00e</t>
  </si>
  <si>
    <t>8672c410dda841fb82a10e2478d71855</t>
  </si>
  <si>
    <t>ee6a68699a814514a5c042ca36cc897c</t>
  </si>
  <si>
    <t>c42cc1ba5f3d46a583f1c92eed3bbcf7</t>
  </si>
  <si>
    <t>082f0f18f51c465a87b0eb61514b538e</t>
  </si>
  <si>
    <t>471f737613fe4f13a5bd16f51ba3533b</t>
  </si>
  <si>
    <t>46b93df9cbb745bdb019880f710315ea</t>
  </si>
  <si>
    <t>640a111aa3f54b4a9d2c02ee7dedef8e</t>
  </si>
  <si>
    <t>2144a7b7162444578d3c75e9dcdb1c2b</t>
  </si>
  <si>
    <t>6eaed74409434483a4b79074a2153e9e</t>
  </si>
  <si>
    <t>53ecd20d1d344ea9a95fef0f00f774ac</t>
  </si>
  <si>
    <t>726a5eea16264642b16ab577bbfb3bd9</t>
  </si>
  <si>
    <t>d12224f7ab814f9c91c6f6116f19920f</t>
  </si>
  <si>
    <t>25aea3e6b7634ef9a2a41f15b99e996c</t>
  </si>
  <si>
    <t>0ee8a703e56846b086f13942597b1aeb</t>
  </si>
  <si>
    <t>846696f96c5840d0b9e242ae87874883</t>
  </si>
  <si>
    <t>926a5d2f17d64a9d952c5aa4836cc912</t>
  </si>
  <si>
    <t>787714de011a44bf9a6493fa22eded0c</t>
  </si>
  <si>
    <t>9c284772374144b081632e1c5caa6f55</t>
  </si>
  <si>
    <t>025f351f001949c98d6a4f8bdc95f6d3</t>
  </si>
  <si>
    <t>f33cc3e5fc3243ef9296c554cbb92ad9</t>
  </si>
  <si>
    <t>3bc9ab789b6940de8942138cf5851754</t>
  </si>
  <si>
    <t>df0580a1cff74bea977e4f371a612539</t>
  </si>
  <si>
    <t>0179dbee17fc458599c8535e30a01280</t>
  </si>
  <si>
    <t>b1f9c34fe1384e4d99a80fcec59f7a5f</t>
  </si>
  <si>
    <t>ec59408a3bea4766af89d3b923cb45a6</t>
  </si>
  <si>
    <t>16eb04a450f34374a3c0fac7ec7cf718</t>
  </si>
  <si>
    <t>0bf2d31690ac46a0962da072924d46f7</t>
  </si>
  <si>
    <t>d1673520c4374a2d96cf50b76fadde24</t>
  </si>
  <si>
    <t>e3fd9364bd9b4152857e802d543b94a0</t>
  </si>
  <si>
    <t>25555149856847949c5dc572e363c135</t>
  </si>
  <si>
    <t>edd8ae314e4d4dd9b56f64a0bb7bc877</t>
  </si>
  <si>
    <t>f285fa6afc3e415ea6c5dcd2a1837005</t>
  </si>
  <si>
    <t>afe4ac21536742e897c552f79ae809a8</t>
  </si>
  <si>
    <t>fbb0c42209824ca7a337d1188fbf6e91</t>
  </si>
  <si>
    <t>5d465774b5d6436495ee59ea54d82f55</t>
  </si>
  <si>
    <t>d6a5c4715b4448e6baf6abd62c2c00f3</t>
  </si>
  <si>
    <t>36f20c7d2e3b4030a57c3ce41d5960f3</t>
  </si>
  <si>
    <t>69d7500863aa407f81887c2baca34eb9</t>
  </si>
  <si>
    <t>1f379cca71a448cb94a80ab9e10c06e7</t>
  </si>
  <si>
    <t>6f43af267f574eb7bedf70a418f82b44</t>
  </si>
  <si>
    <t>9304eb72d95d44129e1b1e8194c251d2</t>
  </si>
  <si>
    <t>ad3463c365264e60a836daacee24153b</t>
  </si>
  <si>
    <t>f8c09c5c32ec46deb327096a3f3a4aa2</t>
  </si>
  <si>
    <t>b1782209ddc34fcaa5797d478c3a4466</t>
  </si>
  <si>
    <t>58b9c4067e6f4c5987326274da73d924</t>
  </si>
  <si>
    <t>49698be3149b4ec9bda4507d353bae0f</t>
  </si>
  <si>
    <t>f4a340debaee43fc9ee7e76f0936cfaa</t>
  </si>
  <si>
    <t>f57c991f237f401ca7050c2fb800db17</t>
  </si>
  <si>
    <t>43615e52915b4c769e4bf2d107266a56</t>
  </si>
  <si>
    <t>795d6e8e6e224cf796972496caa9c388</t>
  </si>
  <si>
    <t>e285dc6b98bd4f64acc7bba3a1075cfc</t>
  </si>
  <si>
    <t>be032f866b9f410198fcdd74ec28a3a1</t>
  </si>
  <si>
    <t>e85204cece6b4a959bee3b78522be7c6</t>
  </si>
  <si>
    <t>714b5f0069664fe6b8a7c1373979f31a</t>
  </si>
  <si>
    <t>1b09ddf02a814782928e26703112c2a7</t>
  </si>
  <si>
    <t>a819da651560463b81187c3e6b567d40</t>
  </si>
  <si>
    <t>bc308272741e4b23a4b31e2daae12de0</t>
  </si>
  <si>
    <t>495b804a8dbc43c3a21741eb601b7672</t>
  </si>
  <si>
    <t>1be14db391c841aa8aee01bf672b3382</t>
  </si>
  <si>
    <t>5b080b7f7e0a49aea8d5b8c6babe3f34</t>
  </si>
  <si>
    <t>1e4f9bdc1632438ead1f0dced72a5ae7</t>
  </si>
  <si>
    <t>a81c63a3355d47ce8d519f44185bfb43</t>
  </si>
  <si>
    <t>3cc82b74ade3417a8ef97224686c389f</t>
  </si>
  <si>
    <t>7a17820e63d342ddbdae5162ab8414ce</t>
  </si>
  <si>
    <t>6334de61714a41b3a94f4a85b57efbaa</t>
  </si>
  <si>
    <t>31dfeb4caed14712bde40a1a7a381695</t>
  </si>
  <si>
    <t>82b266c5f27e4e37af90ef483dcc8938</t>
  </si>
  <si>
    <t>4b1636861bdd43508369fee25f20aaa4</t>
  </si>
  <si>
    <t>2021-08</t>
  </si>
  <si>
    <t>dce8afce62f844778db677ab39e93f3f</t>
  </si>
  <si>
    <t>2021-09</t>
  </si>
  <si>
    <t>05363b8fdd204714926823cdb3ab1261</t>
  </si>
  <si>
    <t>dawud.prionggodo@indexim.co.id</t>
  </si>
  <si>
    <t>2021-12-16T09:47:04.8007</t>
  </si>
  <si>
    <t>September 2021</t>
  </si>
  <si>
    <t xml:space="preserve">50721062-Aslan </t>
  </si>
  <si>
    <t>DISPOSAL &gt; INPIT TEMPUDO 5</t>
  </si>
  <si>
    <t>IC-PORT &gt; Kaliorang Anchorage</t>
  </si>
  <si>
    <t>UDU COAL HANDLING &gt; CPP KM 33</t>
  </si>
  <si>
    <t>UDU MINING AREA &gt; DISPOSAL</t>
  </si>
  <si>
    <t>UDU MINING AREA &gt; UDU-DISPOSAL</t>
  </si>
  <si>
    <t>UDU MINING AREA &gt; UDU-PIT</t>
  </si>
  <si>
    <t>08/02/2021</t>
  </si>
  <si>
    <t>6:00</t>
  </si>
  <si>
    <t>afe4ac21536742e897c552f79ae809a8-60</t>
  </si>
  <si>
    <t>7:00</t>
  </si>
  <si>
    <t>8:00</t>
  </si>
  <si>
    <t>9:00</t>
  </si>
  <si>
    <t>10:00</t>
  </si>
  <si>
    <t>11:00</t>
  </si>
  <si>
    <t>12:00</t>
  </si>
  <si>
    <t>edd8ae314e4d4dd9b56f64a0bb7bc877-60</t>
  </si>
  <si>
    <t>13:00</t>
  </si>
  <si>
    <t>14:00</t>
  </si>
  <si>
    <t>15:00</t>
  </si>
  <si>
    <t>16:00</t>
  </si>
  <si>
    <t>17:00</t>
  </si>
  <si>
    <t>6f43af267f574eb7bedf70a418f82b44-1</t>
  </si>
  <si>
    <t>d12224f7ab814f9c91c6f6116f19920f-60</t>
  </si>
  <si>
    <t>DATE</t>
  </si>
  <si>
    <t>PREPARE FRONT</t>
  </si>
  <si>
    <t>SOFT LOADING POINT</t>
  </si>
  <si>
    <t>WAITING SURVEY</t>
  </si>
  <si>
    <t>HARD DIGGING</t>
  </si>
  <si>
    <t>NARROW ACCESS</t>
  </si>
  <si>
    <t>WAITING SUPPORT FRONT</t>
  </si>
  <si>
    <t>TOP LOADING</t>
  </si>
  <si>
    <t>BOULDER</t>
  </si>
  <si>
    <t>HARD DIGGING BLASTED</t>
  </si>
  <si>
    <t>DOUBLE BENCH</t>
  </si>
  <si>
    <t>NARROW DUMPING POINT</t>
  </si>
  <si>
    <t>LIGHTING PROBLEM</t>
  </si>
  <si>
    <t>CROWDED ROAD</t>
  </si>
  <si>
    <t>FATIGUE CHECK</t>
  </si>
  <si>
    <t>SOFT DUMPING POINT</t>
  </si>
  <si>
    <t>DAMAGED ROAD</t>
  </si>
  <si>
    <t>COAL ACTIVITY</t>
  </si>
  <si>
    <t>TRAVEL UNIT (EXCA)</t>
  </si>
  <si>
    <t>OB ACTIVITY</t>
  </si>
  <si>
    <t>GENERAL SUPPORT</t>
  </si>
  <si>
    <t>PEMINDAHAN LIGHTING PLANT</t>
  </si>
  <si>
    <t>PEMBUATAN PARIT</t>
  </si>
  <si>
    <t>LAND CLEARING DAN GRUBBING</t>
  </si>
  <si>
    <t>INSTALASI PUMP</t>
  </si>
  <si>
    <t>GENERAL EXPOSE</t>
  </si>
  <si>
    <t>CLEANING COAL</t>
  </si>
  <si>
    <t>PEMBUATAN TANGGUL</t>
  </si>
  <si>
    <t>SCRAB SETELAH HUJAN</t>
  </si>
  <si>
    <t>TRAVEL UNIT EXC EXCA</t>
  </si>
  <si>
    <t>ROAD MAINTENANCE</t>
  </si>
  <si>
    <t>DOZING</t>
  </si>
  <si>
    <t>PREPARING FRONT</t>
  </si>
  <si>
    <t>PREPARING DISPOSAL</t>
  </si>
  <si>
    <t>SPREADING</t>
  </si>
  <si>
    <t>EventCatName</t>
  </si>
  <si>
    <t>6f43af267f574eb7bedf70a418f82b44-1#9304eb72d95d44129e1b1e8194c251d2-1#ad3463c365264e60a836daacee24153b-1#f8c09c5c32ec46deb327096a3f3a4aa2-1#b1782209ddc34fcaa5797d478c3a4466-1#58b9c4067e6f4c5987326274da73d924-1#49698be3149b4ec9bda4507d353bae0f-1#f4a340debaee43fc9ee7e76f0936cfaa-1#f57c991f237f401ca7050c2fb800db17-1#43615e52915b4c769e4bf2d107266a56-1#795d6e8e6e224cf796972496caa9c388-1#e285dc6b98bd4f64acc7bba3a1075cfc-1#be032f866b9f410198fcdd74ec28a3a1-1#e85204cece6b4a959bee3b78522be7c6-1#714b5f0069664fe6b8a7c1373979f31a-1#1b09ddf02a814782928e26703112c2a7-1#a819da651560463b81187c3e6b567d40-1#bc308272741e4b23a4b31e2daae12de0-1#495b804a8dbc43c3a21741eb601b7672-1#3cc82b74ade3417a8ef97224686c389f-1#7a17820e63d342ddbdae5162ab8414ce-1#6334de61714a41b3a94f4a85b57efbaa-1#31dfeb4caed14712bde40a1a7a381695-1</t>
  </si>
  <si>
    <t>&lt;PLEASE EDIT&gt;</t>
  </si>
  <si>
    <t>370a794b5b454ccf8cb9a38e1dc65788</t>
  </si>
  <si>
    <t>DETELE AKU</t>
  </si>
  <si>
    <t>DELETE AKU</t>
  </si>
  <si>
    <t>http://sm.mc.com/</t>
  </si>
  <si>
    <t>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</si>
</sst>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  <numFmt numFmtId="168" formatCode="[$-13809]dd\ mmm\ yyyy;@"/>
    <numFmt numFmtId="169" formatCode="h:mm;@"/>
    <numFmt numFmtId="170" formatCode="[$-409]d\ mmm\ yy;@"/>
    <numFmt numFmtId="171" formatCode="&quot;Rp&quot;#,##0.00"/>
    <numFmt numFmtId="172" formatCode="[$-F400]h:mm:ss\ AM/PM"/>
    <numFmt numFmtId="173" formatCode="d\.hh:mm:ss"/>
    <numFmt numFmtId="174" formatCode="_(* #,##0.000_);_(* \(#,##0.000\);_(* &quot;-&quot;??_);_(@_)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8"/>
      <name val="Ebrima"/>
    </font>
    <font>
      <b/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68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04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6" fontId="9" fillId="15" borderId="0" xfId="1" applyNumberFormat="1" applyFont="1" applyFill="1" applyAlignment="1">
      <alignment horizontal="center"/>
    </xf>
    <xf numFmtId="166" fontId="9" fillId="12" borderId="0" xfId="1" applyNumberFormat="1" applyFont="1" applyFill="1" applyAlignment="1">
      <alignment horizontal="center"/>
    </xf>
    <xf numFmtId="166" fontId="9" fillId="0" borderId="0" xfId="1" applyNumberFormat="1" applyFont="1" applyFill="1" applyAlignment="1">
      <alignment horizontal="center"/>
    </xf>
    <xf numFmtId="166" fontId="9" fillId="7" borderId="0" xfId="1" applyNumberFormat="1" applyFont="1" applyFill="1" applyAlignment="1">
      <alignment horizontal="center"/>
    </xf>
    <xf numFmtId="166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165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165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8" fontId="13" fillId="0" borderId="28" xfId="0" applyNumberFormat="1" applyFont="1" applyBorder="1" applyAlignment="1">
      <alignment horizontal="center" vertical="center"/>
    </xf>
    <xf numFmtId="168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3" fillId="0" borderId="0" xfId="1" applyFont="1" applyAlignment="1">
      <alignment horizontal="center" vertical="center" wrapText="1"/>
    </xf>
    <xf numFmtId="168" fontId="13" fillId="0" borderId="0" xfId="0" applyNumberFormat="1" applyFont="1" applyAlignment="1">
      <alignment horizontal="center" vertical="center"/>
    </xf>
    <xf numFmtId="168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9" fontId="13" fillId="0" borderId="0" xfId="1" applyNumberFormat="1" applyFont="1" applyAlignment="1">
      <alignment horizontal="center"/>
    </xf>
    <xf numFmtId="169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7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8" fontId="13" fillId="0" borderId="16" xfId="0" applyNumberFormat="1" applyFont="1" applyBorder="1" applyAlignment="1">
      <alignment horizontal="center"/>
    </xf>
    <xf numFmtId="168" fontId="13" fillId="0" borderId="13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0" xfId="0" applyNumberFormat="1" applyFont="1" applyBorder="1" applyAlignment="1">
      <alignment horizontal="center"/>
    </xf>
    <xf numFmtId="165" fontId="13" fillId="0" borderId="0" xfId="1" applyFont="1" applyAlignment="1">
      <alignment vertical="center"/>
    </xf>
    <xf numFmtId="167" fontId="13" fillId="0" borderId="0" xfId="0" applyNumberFormat="1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5" fontId="13" fillId="0" borderId="0" xfId="1" applyFont="1" applyAlignment="1">
      <alignment horizontal="center" vertical="center"/>
    </xf>
    <xf numFmtId="165" fontId="13" fillId="0" borderId="0" xfId="1" applyFont="1"/>
    <xf numFmtId="165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8" fontId="13" fillId="0" borderId="31" xfId="0" applyNumberFormat="1" applyFont="1" applyBorder="1" applyAlignment="1">
      <alignment horizontal="center"/>
    </xf>
    <xf numFmtId="168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5" fontId="9" fillId="15" borderId="0" xfId="1" applyFont="1" applyFill="1" applyBorder="1" applyAlignment="1">
      <alignment horizontal="center"/>
    </xf>
    <xf numFmtId="165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65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9" fontId="25" fillId="0" borderId="0" xfId="1" applyNumberFormat="1" applyFont="1" applyAlignment="1">
      <alignment horizontal="center"/>
    </xf>
    <xf numFmtId="165" fontId="25" fillId="0" borderId="0" xfId="0" applyNumberFormat="1" applyFont="1"/>
    <xf numFmtId="167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165" fontId="9" fillId="15" borderId="0" xfId="1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18" fillId="0" borderId="0" xfId="0" applyNumberFormat="1" applyFont="1"/>
    <xf numFmtId="0" fontId="21" fillId="25" borderId="0" xfId="0" applyFont="1" applyFill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166" fontId="9" fillId="0" borderId="0" xfId="1" applyNumberFormat="1" applyFont="1" applyAlignment="1">
      <alignment horizontal="left"/>
    </xf>
    <xf numFmtId="0" fontId="0" fillId="25" borderId="0" xfId="0" applyFill="1"/>
    <xf numFmtId="0" fontId="4" fillId="26" borderId="0" xfId="0" applyFont="1" applyFill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4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0" fontId="9" fillId="24" borderId="54" xfId="0" applyFont="1" applyFill="1" applyBorder="1" applyAlignment="1">
      <alignment horizontal="center"/>
    </xf>
    <xf numFmtId="166" fontId="9" fillId="15" borderId="54" xfId="1" applyNumberFormat="1" applyFont="1" applyFill="1" applyBorder="1" applyAlignment="1">
      <alignment horizontal="center"/>
    </xf>
    <xf numFmtId="165" fontId="9" fillId="15" borderId="54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4" xfId="0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1" fontId="9" fillId="0" borderId="0" xfId="0" applyNumberFormat="1" applyFont="1" applyFill="1" applyBorder="1" applyAlignment="1">
      <alignment horizontal="center" textRotation="90"/>
    </xf>
    <xf numFmtId="165" fontId="9" fillId="15" borderId="54" xfId="0" applyNumberFormat="1" applyFont="1" applyFill="1" applyBorder="1" applyAlignment="1">
      <alignment horizontal="center"/>
    </xf>
    <xf numFmtId="0" fontId="9" fillId="23" borderId="54" xfId="0" applyFont="1" applyFill="1" applyBorder="1" applyAlignment="1">
      <alignment horizontal="center"/>
    </xf>
    <xf numFmtId="167" fontId="9" fillId="0" borderId="0" xfId="0" applyNumberFormat="1" applyFont="1" applyFill="1" applyAlignment="1">
      <alignment horizontal="center"/>
    </xf>
    <xf numFmtId="0" fontId="9" fillId="0" borderId="54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18" fillId="0" borderId="0" xfId="0" applyFont="1" applyFill="1"/>
    <xf numFmtId="0" fontId="0" fillId="0" borderId="0" xfId="0" applyFill="1"/>
    <xf numFmtId="11" fontId="0" fillId="0" borderId="0" xfId="0" applyNumberFormat="1"/>
    <xf numFmtId="0" fontId="28" fillId="27" borderId="57" xfId="0" applyFont="1" applyFill="1" applyBorder="1" applyAlignment="1">
      <alignment horizontal="center" vertical="center" wrapText="1"/>
    </xf>
    <xf numFmtId="21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28" fillId="28" borderId="59" xfId="0" applyFont="1" applyFill="1" applyBorder="1"/>
    <xf numFmtId="0" fontId="28" fillId="28" borderId="60" xfId="0" applyFont="1" applyFill="1" applyBorder="1"/>
    <xf numFmtId="0" fontId="29" fillId="29" borderId="19" xfId="0" applyFont="1" applyFill="1" applyBorder="1" applyAlignment="1">
      <alignment vertical="center"/>
    </xf>
    <xf numFmtId="0" fontId="28" fillId="28" borderId="51" xfId="0" applyFont="1" applyFill="1" applyBorder="1"/>
    <xf numFmtId="0" fontId="28" fillId="28" borderId="50" xfId="0" applyFont="1" applyFill="1" applyBorder="1"/>
    <xf numFmtId="0" fontId="9" fillId="15" borderId="54" xfId="0" applyFont="1" applyFill="1" applyBorder="1" applyAlignment="1">
      <alignment horizontal="left"/>
    </xf>
    <xf numFmtId="166" fontId="9" fillId="0" borderId="54" xfId="1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center" vertical="center" wrapText="1"/>
    </xf>
    <xf numFmtId="166" fontId="9" fillId="0" borderId="0" xfId="1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/>
    <xf numFmtId="0" fontId="29" fillId="29" borderId="58" xfId="0" applyFont="1" applyFill="1" applyBorder="1"/>
    <xf numFmtId="0" fontId="32" fillId="27" borderId="57" xfId="0" applyFont="1" applyFill="1" applyBorder="1" applyAlignment="1">
      <alignment horizontal="center" vertical="center" wrapText="1"/>
    </xf>
    <xf numFmtId="0" fontId="28" fillId="28" borderId="6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28" borderId="0" xfId="0" applyFont="1" applyFill="1" applyBorder="1" applyAlignment="1">
      <alignment horizontal="center" vertical="center"/>
    </xf>
    <xf numFmtId="166" fontId="9" fillId="25" borderId="54" xfId="1" applyNumberFormat="1" applyFont="1" applyFill="1" applyBorder="1" applyAlignment="1">
      <alignment horizontal="center"/>
    </xf>
    <xf numFmtId="174" fontId="9" fillId="15" borderId="0" xfId="1" applyNumberFormat="1" applyFont="1" applyFill="1" applyAlignment="1">
      <alignment horizontal="center"/>
    </xf>
    <xf numFmtId="166" fontId="9" fillId="0" borderId="62" xfId="1" applyNumberFormat="1" applyFont="1" applyBorder="1" applyAlignment="1">
      <alignment horizontal="center"/>
    </xf>
    <xf numFmtId="0" fontId="9" fillId="15" borderId="0" xfId="0" applyNumberFormat="1" applyFont="1" applyFill="1" applyBorder="1" applyAlignment="1">
      <alignment horizontal="center"/>
    </xf>
    <xf numFmtId="0" fontId="9" fillId="15" borderId="63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0" fontId="9" fillId="0" borderId="64" xfId="0" applyFont="1" applyFill="1" applyBorder="1" applyAlignment="1">
      <alignment horizontal="left"/>
    </xf>
    <xf numFmtId="0" fontId="9" fillId="15" borderId="0" xfId="0" applyNumberFormat="1" applyFont="1" applyFill="1" applyBorder="1" applyAlignment="1">
      <alignment horizontal="left"/>
    </xf>
    <xf numFmtId="0" fontId="9" fillId="15" borderId="0" xfId="0" applyFont="1" applyFill="1" applyBorder="1" applyAlignment="1">
      <alignment horizontal="center"/>
    </xf>
    <xf numFmtId="166" fontId="9" fillId="15" borderId="0" xfId="1" applyNumberFormat="1" applyFont="1" applyFill="1" applyBorder="1" applyAlignment="1">
      <alignment horizontal="center"/>
    </xf>
    <xf numFmtId="166" fontId="9" fillId="12" borderId="0" xfId="1" applyNumberFormat="1" applyFont="1" applyFill="1" applyBorder="1" applyAlignment="1">
      <alignment horizontal="center"/>
    </xf>
    <xf numFmtId="166" fontId="9" fillId="0" borderId="0" xfId="1" applyNumberFormat="1" applyFont="1" applyBorder="1" applyAlignment="1">
      <alignment horizontal="center"/>
    </xf>
    <xf numFmtId="166" fontId="9" fillId="0" borderId="65" xfId="1" applyNumberFormat="1" applyFont="1" applyFill="1" applyBorder="1" applyAlignment="1">
      <alignment horizontal="center"/>
    </xf>
    <xf numFmtId="166" fontId="9" fillId="0" borderId="65" xfId="1" applyNumberFormat="1" applyFont="1" applyFill="1" applyBorder="1" applyAlignment="1">
      <alignment horizontal="left"/>
    </xf>
    <xf numFmtId="174" fontId="9" fillId="15" borderId="0" xfId="1" applyNumberFormat="1" applyFont="1" applyFill="1" applyBorder="1" applyAlignment="1">
      <alignment horizontal="center"/>
    </xf>
    <xf numFmtId="166" fontId="9" fillId="7" borderId="0" xfId="1" applyNumberFormat="1" applyFont="1" applyFill="1" applyBorder="1" applyAlignment="1">
      <alignment horizontal="center"/>
    </xf>
    <xf numFmtId="165" fontId="9" fillId="0" borderId="0" xfId="1" applyNumberFormat="1" applyFont="1" applyBorder="1" applyAlignment="1">
      <alignment horizontal="center"/>
    </xf>
    <xf numFmtId="11" fontId="0" fillId="0" borderId="0" xfId="0" applyNumberFormat="1" applyAlignment="1">
      <alignment horizontal="left"/>
    </xf>
    <xf numFmtId="0" fontId="27" fillId="0" borderId="57" xfId="0" applyFont="1" applyFill="1" applyBorder="1" applyAlignment="1">
      <alignment vertical="center" wrapText="1"/>
    </xf>
    <xf numFmtId="0" fontId="0" fillId="0" borderId="57" xfId="0" applyBorder="1" applyAlignment="1"/>
    <xf numFmtId="0" fontId="0" fillId="0" borderId="57" xfId="0" applyBorder="1"/>
    <xf numFmtId="0" fontId="0" fillId="0" borderId="57" xfId="0" applyBorder="1" applyAlignment="1">
      <alignment horizontal="center" vertical="center"/>
    </xf>
    <xf numFmtId="0" fontId="0" fillId="0" borderId="57" xfId="0" applyFont="1" applyBorder="1" applyAlignment="1"/>
    <xf numFmtId="0" fontId="0" fillId="0" borderId="57" xfId="0" applyNumberFormat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165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vertical="center" wrapText="1"/>
    </xf>
    <xf numFmtId="0" fontId="4" fillId="17" borderId="2" xfId="0" applyFont="1" applyFill="1" applyBorder="1" applyAlignment="1">
      <alignment horizontal="center" textRotation="90" wrapText="1"/>
    </xf>
    <xf numFmtId="0" fontId="4" fillId="6" borderId="2" xfId="0" applyFont="1" applyFill="1" applyBorder="1" applyAlignment="1">
      <alignment horizontal="center" textRotation="90" wrapText="1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4" fillId="8" borderId="2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4" fillId="9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3" borderId="55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textRotation="90" wrapText="1"/>
    </xf>
    <xf numFmtId="0" fontId="7" fillId="12" borderId="41" xfId="0" applyFont="1" applyFill="1" applyBorder="1" applyAlignment="1">
      <alignment horizontal="center" textRotation="45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  <xf numFmtId="171" fontId="9" fillId="3" borderId="6" xfId="0" applyNumberFormat="1" applyFont="1" applyFill="1" applyBorder="1" applyAlignment="1">
      <alignment horizontal="center" textRotation="90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0" fontId="7" fillId="12" borderId="49" xfId="0" applyFont="1" applyFill="1" applyBorder="1" applyAlignment="1">
      <alignment horizontal="center" vertical="center" textRotation="30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52" xfId="0" applyFont="1" applyFill="1" applyBorder="1" applyAlignment="1">
      <alignment horizontal="center" vertical="center" textRotation="30"/>
    </xf>
    <xf numFmtId="0" fontId="7" fillId="12" borderId="53" xfId="0" applyFont="1" applyFill="1" applyBorder="1" applyAlignment="1">
      <alignment horizontal="center" vertical="center" textRotation="30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  <xf numFmtId="0" fontId="0" fillId="30" borderId="67" xfId="0" applyFont="1" applyFill="1" applyBorder="1"/>
    <xf numFmtId="0" fontId="0" fillId="30" borderId="66" xfId="0" applyFont="1" applyFill="1" applyBorder="1"/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74" formatCode="_(* #,##0.000_);_(* \(#,##0.0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[$-F400]h:mm:ss\ AM/PM"/>
    </dxf>
    <dxf>
      <numFmt numFmtId="173" formatCode="d\.hh:mm:ss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0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3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" xr16:uid="{63CA16A2-AF34-43B9-81ED-107876FE9192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  <queryTableField id="6" name="EventCatNa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7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6" xr16:uid="{1EAF6789-ACBE-4A55-9275-35B7A43455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  <queryTableField id="7" name="EventCatName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" xr16:uid="{BD3D6260-BE6D-407C-AC64-B0EB2C09A7D6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type" tableColumnId="3"/>
      <queryTableField id="4" name="Capacity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" xr16:uid="{F49BF595-9DD6-4D13-92B3-039C00A42B58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Month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30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7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6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3" xr16:uid="{06497D2C-6F6F-4AFE-8FF0-C68B217451A7}" autoFormatId="16" applyNumberFormats="0" applyBorderFormats="0" applyFontFormats="0" applyPatternFormats="0" applyAlignmentFormats="0" applyWidthHeightFormats="0">
  <queryTableRefresh nextId="54">
    <queryTableFields count="26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  <queryTableField id="53" name="Web_AccountingPeriod.value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BB3E5ACA-3677-4558-86CA-A1B6E9B6CA60}" autoFormatId="16" applyNumberFormats="0" applyBorderFormats="0" applyFontFormats="0" applyPatternFormats="0" applyAlignmentFormats="0" applyWidthHeightFormats="0">
  <queryTableRefresh nextId="19">
    <queryTableFields count="9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  <queryTableField id="16" name="Web_AccountingPeriod.value" tableColumnId="3"/>
      <queryTableField id="18" name="Activity_HardCode" tableColumnId="5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63" dataDxfId="461" headerRowBorderDxfId="462" tableBorderDxfId="460" totalsRowBorderDxfId="459">
  <autoFilter ref="B9:S375" xr:uid="{00000000-0009-0000-0100-000003000000}"/>
  <tableColumns count="18">
    <tableColumn id="1" xr3:uid="{00000000-0010-0000-0000-000001000000}" name="Full Date" dataDxfId="458">
      <calculatedColumnFormula>1+B9</calculatedColumnFormula>
    </tableColumn>
    <tableColumn id="2" xr3:uid="{00000000-0010-0000-0000-000002000000}" name="Date" dataDxfId="457">
      <calculatedColumnFormula>IF($B10="","",TEXT($B10,"dd"))</calculatedColumnFormula>
    </tableColumn>
    <tableColumn id="3" xr3:uid="{00000000-0010-0000-0000-000003000000}" name="Day" dataDxfId="456">
      <calculatedColumnFormula>IF($B10="","",TEXT($B10,"dddd"))</calculatedColumnFormula>
    </tableColumn>
    <tableColumn id="4" xr3:uid="{00000000-0010-0000-0000-000004000000}" name="Month" dataDxfId="455">
      <calculatedColumnFormula>IF($B10="","",TEXT($B10,"mmmm"))</calculatedColumnFormula>
    </tableColumn>
    <tableColumn id="5" xr3:uid="{00000000-0010-0000-0000-000005000000}" name="Year" dataDxfId="454">
      <calculatedColumnFormula>IF($B10="","",TEXT($B10,"yyyy"))</calculatedColumnFormula>
    </tableColumn>
    <tableColumn id="6" xr3:uid="{00000000-0010-0000-0000-000006000000}" name="Week Code" dataDxfId="453">
      <calculatedColumnFormula>+N10</calculatedColumnFormula>
    </tableColumn>
    <tableColumn id="7" xr3:uid="{00000000-0010-0000-0000-000007000000}" name="Monthly" dataDxfId="452">
      <calculatedColumnFormula>E10&amp;" "&amp;F10</calculatedColumnFormula>
    </tableColumn>
    <tableColumn id="8" xr3:uid="{00000000-0010-0000-0000-000008000000}" name="Vlookup Week" dataDxfId="451">
      <calculatedColumnFormula>+P10&amp;N10</calculatedColumnFormula>
    </tableColumn>
    <tableColumn id="9" xr3:uid="{00000000-0010-0000-0000-000009000000}" name="Date2" dataDxfId="450">
      <calculatedColumnFormula>+B10</calculatedColumnFormula>
    </tableColumn>
    <tableColumn id="10" xr3:uid="{00000000-0010-0000-0000-00000A000000}" name="Column1" dataDxfId="449">
      <calculatedColumnFormula>IF($D10=$C$3,K9+1,K9)</calculatedColumnFormula>
    </tableColumn>
    <tableColumn id="11" xr3:uid="{00000000-0010-0000-0000-00000B000000}" name="Column11" dataDxfId="448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47">
      <calculatedColumnFormula>IF(K10="","","Week_")</calculatedColumnFormula>
    </tableColumn>
    <tableColumn id="13" xr3:uid="{00000000-0010-0000-0000-00000D000000}" name="Week_to" dataDxfId="446">
      <calculatedColumnFormula>CONCATENATE(M10,L10)</calculatedColumnFormula>
    </tableColumn>
    <tableColumn id="14" xr3:uid="{00000000-0010-0000-0000-00000E000000}" name="Column14" dataDxfId="445">
      <calculatedColumnFormula>K10-K9</calculatedColumnFormula>
    </tableColumn>
    <tableColumn id="15" xr3:uid="{00000000-0010-0000-0000-00000F000000}" name="Column15" dataDxfId="444">
      <calculatedColumnFormula>IF(O10=1,"Start Week","")</calculatedColumnFormula>
    </tableColumn>
    <tableColumn id="16" xr3:uid="{00000000-0010-0000-0000-000010000000}" name="Column16" dataDxfId="443">
      <calculatedColumnFormula>IF(C10="01","Start Month","")</calculatedColumnFormula>
    </tableColumn>
    <tableColumn id="17" xr3:uid="{00000000-0010-0000-0000-000011000000}" name="Column17" dataDxfId="442">
      <calculatedColumnFormula>+Q10&amp;H10</calculatedColumnFormula>
    </tableColumn>
    <tableColumn id="18" xr3:uid="{00000000-0010-0000-0000-000012000000}" name="Date3" dataDxfId="441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40" dataDxfId="439">
  <autoFilter ref="G1:H3" xr:uid="{00000000-0009-0000-0100-000004000000}"/>
  <tableColumns count="2">
    <tableColumn id="1" xr3:uid="{00000000-0010-0000-0100-000001000000}" name="Shift" dataDxfId="438"/>
    <tableColumn id="2" xr3:uid="{00000000-0010-0000-0100-000002000000}" name="0" dataDxfId="437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36" dataDxfId="435" tableBorderDxfId="434">
  <autoFilter ref="U9:X63" xr:uid="{00000000-0009-0000-0100-000005000000}"/>
  <tableColumns count="4">
    <tableColumn id="1" xr3:uid="{00000000-0010-0000-0200-000001000000}" name="Week" dataDxfId="433"/>
    <tableColumn id="2" xr3:uid="{00000000-0010-0000-0200-000002000000}" name="Periode Week" dataDxfId="432" dataCellStyle="Comma">
      <calculatedColumnFormula>COUNTIFS($N$9:$N$500,$U10)</calculatedColumnFormula>
    </tableColumn>
    <tableColumn id="3" xr3:uid="{00000000-0010-0000-0200-000003000000}" name="Start Week" dataDxfId="431"/>
    <tableColumn id="4" xr3:uid="{00000000-0010-0000-0200-000004000000}" name="Stop Week" dataDxfId="430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29" dataDxfId="427" headerRowBorderDxfId="428" tableBorderDxfId="426">
  <autoFilter ref="AM9:AY21" xr:uid="{00000000-0009-0000-0100-000006000000}"/>
  <tableColumns count="13">
    <tableColumn id="13" xr3:uid="{00000000-0010-0000-0300-00000D000000}" name="Column1" dataDxfId="425">
      <calculatedColumnFormula>1+AM9</calculatedColumnFormula>
    </tableColumn>
    <tableColumn id="1" xr3:uid="{00000000-0010-0000-0300-000001000000}" name="Kode" dataDxfId="424"/>
    <tableColumn id="2" xr3:uid="{00000000-0010-0000-0300-000002000000}" name="Monthy" dataDxfId="423">
      <calculatedColumnFormula>+AN10&amp;" "&amp;F10</calculatedColumnFormula>
    </tableColumn>
    <tableColumn id="3" xr3:uid="{00000000-0010-0000-0300-000003000000}" name="Duration" dataDxfId="422" dataCellStyle="Comma">
      <calculatedColumnFormula>COUNTIFS($H$10:$H$501,AO10)</calculatedColumnFormula>
    </tableColumn>
    <tableColumn id="4" xr3:uid="{00000000-0010-0000-0300-000004000000}" name="Duration2" dataDxfId="421" dataCellStyle="Comma">
      <calculatedColumnFormula>+AP10-1</calculatedColumnFormula>
    </tableColumn>
    <tableColumn id="5" xr3:uid="{00000000-0010-0000-0300-000005000000}" name="Start Month" dataDxfId="420">
      <calculatedColumnFormula>VLOOKUP($AR$9&amp;$AO10,$R$10:$S$501,2,0)</calculatedColumnFormula>
    </tableColumn>
    <tableColumn id="6" xr3:uid="{00000000-0010-0000-0300-000006000000}" name="Stop Month" dataDxfId="419">
      <calculatedColumnFormula>+AR10+AQ10</calculatedColumnFormula>
    </tableColumn>
    <tableColumn id="7" xr3:uid="{00000000-0010-0000-0300-000007000000}" name="2" dataDxfId="418"/>
    <tableColumn id="8" xr3:uid="{00000000-0010-0000-0300-000008000000}" name="3" dataDxfId="417"/>
    <tableColumn id="9" xr3:uid="{00000000-0010-0000-0300-000009000000}" name="4" dataDxfId="416"/>
    <tableColumn id="10" xr3:uid="{00000000-0010-0000-0300-00000A000000}" name="5" dataDxfId="415"/>
    <tableColumn id="11" xr3:uid="{00000000-0010-0000-0300-00000B000000}" name="6" dataDxfId="414"/>
    <tableColumn id="12" xr3:uid="{00000000-0010-0000-0300-00000C000000}" name="7" dataDxfId="413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412" dataDxfId="411">
  <autoFilter ref="AF9:AK57" xr:uid="{00000000-0009-0000-0100-000007000000}"/>
  <tableColumns count="6">
    <tableColumn id="1" xr3:uid="{00000000-0010-0000-0400-000001000000}" name="No" dataDxfId="410"/>
    <tableColumn id="5" xr3:uid="{00000000-0010-0000-0400-000005000000}" name="Column1" dataDxfId="409"/>
    <tableColumn id="2" xr3:uid="{00000000-0010-0000-0400-000002000000}" name="Code" dataDxfId="408"/>
    <tableColumn id="6" xr3:uid="{00000000-0010-0000-0400-000006000000}" name="Column2" dataDxfId="407"/>
    <tableColumn id="3" xr3:uid="{00000000-0010-0000-0400-000003000000}" name="Start" dataDxfId="406" dataCellStyle="Comma"/>
    <tableColumn id="4" xr3:uid="{00000000-0010-0000-0400-000004000000}" name="Stop" dataDxfId="405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404" dataDxfId="403">
  <autoFilter ref="AC9:AD48" xr:uid="{00000000-0009-0000-0100-000008000000}"/>
  <tableColumns count="2">
    <tableColumn id="1" xr3:uid="{00000000-0010-0000-0500-000001000000}" name="No" dataDxfId="402">
      <calculatedColumnFormula>+AC9+1</calculatedColumnFormula>
    </tableColumn>
    <tableColumn id="2" xr3:uid="{00000000-0010-0000-0500-000002000000}" name="Date" dataDxfId="401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400" dataDxfId="399">
  <autoFilter ref="BA9:BD55" xr:uid="{00000000-0009-0000-0100-000009000000}"/>
  <tableColumns count="4">
    <tableColumn id="1" xr3:uid="{00000000-0010-0000-0600-000001000000}" name="Code Unit" dataDxfId="398"/>
    <tableColumn id="2" xr3:uid="{00000000-0010-0000-0600-000002000000}" name="Type" dataDxfId="397"/>
    <tableColumn id="4" xr3:uid="{00000000-0010-0000-0600-000004000000}" name="Spesifikasi Unit" dataDxfId="396"/>
    <tableColumn id="3" xr3:uid="{00000000-0010-0000-0600-000003000000}" name="Ownership" dataDxfId="395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94" dataDxfId="393">
  <autoFilter ref="BJ9:BM16" xr:uid="{00000000-0009-0000-0100-00000A000000}"/>
  <tableColumns count="4">
    <tableColumn id="1" xr3:uid="{00000000-0010-0000-0700-000001000000}" name="Lokasi Pit" dataDxfId="392"/>
    <tableColumn id="2" xr3:uid="{00000000-0010-0000-0700-000002000000}" name="Block Location" dataDxfId="391"/>
    <tableColumn id="3" xr3:uid="{00000000-0010-0000-0700-000003000000}" name="Dump Location" dataDxfId="390"/>
    <tableColumn id="4" xr3:uid="{00000000-0010-0000-0700-000004000000}" name="Coal Destinasi" dataDxfId="389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88" dataDxfId="387">
  <autoFilter ref="BF9:BF17" xr:uid="{00000000-0009-0000-0100-00000B000000}"/>
  <tableColumns count="1">
    <tableColumn id="1" xr3:uid="{00000000-0010-0000-0800-000001000000}" name="Digger" dataDxfId="386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85">
  <autoFilter ref="BO9:BQ14" xr:uid="{00000000-0009-0000-0100-00000C000000}"/>
  <tableColumns count="3">
    <tableColumn id="1" xr3:uid="{00000000-0010-0000-0900-000001000000}" name="Material" dataDxfId="384"/>
    <tableColumn id="2" xr3:uid="{00000000-0010-0000-0900-000002000000}" name="Vol" dataDxfId="383" dataCellStyle="Comma"/>
    <tableColumn id="3" xr3:uid="{00000000-0010-0000-0900-000003000000}" name="Plan Prod'ty" dataDxfId="382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381" dataDxfId="380">
  <autoFilter ref="BX9:BX21" xr:uid="{00000000-0009-0000-0100-00000D000000}"/>
  <tableColumns count="1">
    <tableColumn id="1" xr3:uid="{00000000-0010-0000-0A00-000001000000}" name="Activity" dataDxfId="379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378" dataDxfId="377">
  <autoFilter ref="BZ9:CA25" xr:uid="{00000000-0009-0000-0100-00000E000000}"/>
  <tableColumns count="2">
    <tableColumn id="1" xr3:uid="{00000000-0010-0000-0B00-000001000000}" name="Seam" dataDxfId="376"/>
    <tableColumn id="2" xr3:uid="{00000000-0010-0000-0B00-000002000000}" name="RD" dataDxfId="375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374" dataDxfId="373">
  <autoFilter ref="BS9:BV39" xr:uid="{00000000-0009-0000-0100-00000F000000}"/>
  <tableColumns count="4">
    <tableColumn id="1" xr3:uid="{00000000-0010-0000-0C00-000001000000}" name="Hauler/loader" dataDxfId="372"/>
    <tableColumn id="2" xr3:uid="{00000000-0010-0000-0C00-000002000000}" name="Materi" dataDxfId="371"/>
    <tableColumn id="4" xr3:uid="{00000000-0010-0000-0C00-000004000000}" name="H/mat" dataDxfId="370">
      <calculatedColumnFormula>+haulerpayload[[#This Row],[Hauler/loader]]&amp;haulerpayload[[#This Row],[Materi]]</calculatedColumnFormula>
    </tableColumn>
    <tableColumn id="3" xr3:uid="{00000000-0010-0000-0C00-000003000000}" name="Volume" dataDxfId="369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68" dataDxfId="367">
  <autoFilter ref="BH9:BH17" xr:uid="{00000000-0009-0000-0100-000010000000}"/>
  <tableColumns count="1">
    <tableColumn id="1" xr3:uid="{00000000-0010-0000-0D00-000001000000}" name="Fuel truck" dataDxfId="366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65" dataDxfId="364">
  <autoFilter ref="CC9:CF60" xr:uid="{00000000-0009-0000-0100-000011000000}"/>
  <tableColumns count="4">
    <tableColumn id="1" xr3:uid="{00000000-0010-0000-0E00-000001000000}" name="NIK" dataDxfId="363"/>
    <tableColumn id="4" xr3:uid="{00000000-0010-0000-0E00-000004000000}" name="NICK" dataDxfId="362"/>
    <tableColumn id="3" xr3:uid="{00000000-0010-0000-0E00-000003000000}" name="CODE" dataDxfId="361">
      <calculatedColumnFormula>+CC10&amp;"-"&amp;CD10</calculatedColumnFormula>
    </tableColumn>
    <tableColumn id="2" xr3:uid="{00000000-0010-0000-0E00-000002000000}" name="NAMA LENGKAP" dataDxfId="360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59" dataDxfId="358" tableBorderDxfId="357">
  <autoFilter ref="Z9:AA439" xr:uid="{00000000-0009-0000-0100-000012000000}"/>
  <tableColumns count="2">
    <tableColumn id="1" xr3:uid="{00000000-0010-0000-0F00-000001000000}" name="Full Date" dataDxfId="356"/>
    <tableColumn id="2" xr3:uid="{00000000-0010-0000-0F00-000002000000}" name="Daily" dataDxfId="355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54" dataDxfId="353">
  <autoFilter ref="CH9:CI14" xr:uid="{00000000-0009-0000-0100-000013000000}"/>
  <tableColumns count="2">
    <tableColumn id="2" xr3:uid="{00000000-0010-0000-1000-000002000000}" name="NIK" dataDxfId="352"/>
    <tableColumn id="1" xr3:uid="{00000000-0010-0000-1000-000001000000}" name="Pengawas Produksi" dataDxfId="351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50" dataDxfId="349">
  <autoFilter ref="CK9:CL33" xr:uid="{00000000-0009-0000-0100-000014000000}"/>
  <tableColumns count="2">
    <tableColumn id="1" xr3:uid="{00000000-0010-0000-1100-000001000000}" name="Code" dataDxfId="348"/>
    <tableColumn id="2" xr3:uid="{00000000-0010-0000-1100-000002000000}" name="Description" dataDxfId="347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46">
  <autoFilter ref="CN9:CP30" xr:uid="{00000000-0009-0000-0100-000015000000}"/>
  <tableColumns count="3">
    <tableColumn id="1" xr3:uid="{00000000-0010-0000-1200-000001000000}" name="CODE" dataDxfId="345"/>
    <tableColumn id="2" xr3:uid="{00000000-0010-0000-1200-000002000000}" name="Description" dataDxfId="344"/>
    <tableColumn id="3" xr3:uid="{00000000-0010-0000-1200-000003000000}" name="Segment Problem Prod'ty" dataDxfId="343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42">
  <autoFilter ref="CR9:CS14" xr:uid="{00000000-0009-0000-0100-000016000000}"/>
  <tableColumns count="2">
    <tableColumn id="1" xr3:uid="{00000000-0010-0000-1300-000001000000}" name="Code" dataDxfId="341"/>
    <tableColumn id="2" xr3:uid="{00000000-0010-0000-1300-000002000000}" name="Description" dataDxfId="340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1" totalsRowShown="0">
  <autoFilter ref="DA9:DB61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6" totalsRowShown="0">
  <autoFilter ref="DE9:DF26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B11" totalsRowShown="0" headerRowDxfId="339" dataDxfId="338">
  <autoFilter ref="B10:B11" xr:uid="{B7AF7A55-9843-4DE4-942C-B1DE474173D8}"/>
  <tableColumns count="1">
    <tableColumn id="1" xr3:uid="{0EC12B4F-43E1-4A17-8568-7EAE651E1A95}" name="Api key" dataDxfId="33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J10:Q12" tableType="queryTable" totalsRowShown="0">
  <autoFilter ref="J10:Q12" xr:uid="{533E8BFC-5F22-408E-BC4E-7A29470FE371}"/>
  <tableColumns count="8">
    <tableColumn id="1" xr3:uid="{A0B4E426-BC89-4CE4-9B52-9CD5B91821EA}" uniqueName="1" name="id" queryTableFieldId="1" dataDxfId="336"/>
    <tableColumn id="2" xr3:uid="{D77FB4D0-4DF4-4626-A189-2DB612E2245D}" uniqueName="2" name="shift_category_name" queryTableFieldId="2" dataDxfId="335"/>
    <tableColumn id="3" xr3:uid="{92BAE372-7016-418F-97E1-544E90462A2F}" uniqueName="3" name="shift_name" queryTableFieldId="3" dataDxfId="334"/>
    <tableColumn id="4" xr3:uid="{843CF2E3-A857-424E-A113-5F827A7E99DC}" uniqueName="4" name="start_time" queryTableFieldId="4" dataDxfId="333"/>
    <tableColumn id="5" xr3:uid="{114866EE-1078-4BB4-9A7D-044A2E3CE97A}" uniqueName="5" name="duration" queryTableFieldId="5" dataDxfId="332"/>
    <tableColumn id="6" xr3:uid="{F864E9CC-817E-46D7-919B-FD52390682D4}" uniqueName="6" name="end_time" queryTableFieldId="6" dataDxfId="331"/>
    <tableColumn id="7" xr3:uid="{B125CE70-AAE3-4141-96D1-52C68EEA0E6C}" uniqueName="7" name="organization_name" queryTableFieldId="7" dataDxfId="330"/>
    <tableColumn id="8" xr3:uid="{C1C04FEB-F899-4AA7-9408-9F40AD613057}" uniqueName="8" name="Start-End" queryTableFieldId="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A10:AC11" tableType="queryTable" insertRow="1" totalsRowShown="0">
  <autoFilter ref="AA10:AC11" xr:uid="{E60F3009-592E-421B-9D2B-F94E7FB54684}"/>
  <tableColumns count="3">
    <tableColumn id="1" xr3:uid="{D01DC6FC-D500-42CE-B9E9-24202D52AB76}" uniqueName="1" name="text" queryTableFieldId="1" dataDxfId="329"/>
    <tableColumn id="2" xr3:uid="{FD3A2B3E-F57E-4F06-A644-0352AC5BD154}" uniqueName="2" name="value" queryTableFieldId="2" dataDxfId="328"/>
    <tableColumn id="3" xr3:uid="{9ACE15B7-EBCE-4A3F-B3CF-CADD948C9C55}" uniqueName="3" name="item_group" queryTableFieldId="3" dataDxfId="32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F10:AM16" tableType="queryTable" totalsRowShown="0">
  <autoFilter ref="AF10:AM16" xr:uid="{135163EC-7A96-4037-8813-1B90362BA3B0}"/>
  <tableColumns count="8">
    <tableColumn id="1" xr3:uid="{94D554B7-9504-4730-878B-1EABFC473DFC}" uniqueName="1" name="Name" queryTableFieldId="1" dataDxfId="326"/>
    <tableColumn id="2" xr3:uid="{D580AB23-F803-4CFC-8952-9E11E724A112}" uniqueName="2" name="id" queryTableFieldId="2" dataDxfId="325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324"/>
    <tableColumn id="5" xr3:uid="{7F01206D-7116-4723-8377-F1B3ABE4B7ED}" uniqueName="5" name="gender" queryTableFieldId="5" dataDxfId="323"/>
    <tableColumn id="6" xr3:uid="{5058D606-4D46-46B0-BCC8-F19085D0CE80}" uniqueName="6" name="is_operator" queryTableFieldId="6" dataDxfId="322"/>
    <tableColumn id="7" xr3:uid="{5D50EC1A-43B1-470A-B482-BDB585D63FFE}" uniqueName="7" name="is_supervisor" queryTableFieldId="7" dataDxfId="321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Q10:AX11" tableType="queryTable" totalsRowShown="0">
  <autoFilter ref="AQ10:AX11" xr:uid="{F012DCFE-CEF7-4F67-9594-5362DBD6A813}"/>
  <tableColumns count="8">
    <tableColumn id="1" xr3:uid="{7A675932-A29D-48C1-9445-E2314DB95486}" uniqueName="1" name="Name" queryTableFieldId="1" dataDxfId="320"/>
    <tableColumn id="2" xr3:uid="{3DAC79CC-619A-4B18-9629-FFD021760EA8}" uniqueName="2" name="id" queryTableFieldId="2" dataDxfId="319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318"/>
    <tableColumn id="5" xr3:uid="{0504F220-FB9C-4BC0-B788-73628D6D94F6}" uniqueName="5" name="gender" queryTableFieldId="5" dataDxfId="317"/>
    <tableColumn id="6" xr3:uid="{118BE907-4F61-4DF7-B88E-3971EAD35358}" uniqueName="6" name="is_operator" queryTableFieldId="6" dataDxfId="316"/>
    <tableColumn id="7" xr3:uid="{0310AEB9-6709-4F2C-8E8E-77B535DBA852}" uniqueName="7" name="is_supervisor" queryTableFieldId="7" dataDxfId="315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A10:BJ34" tableType="queryTable" totalsRowShown="0">
  <autoFilter ref="BA10:BJ34" xr:uid="{83445ADA-9FC7-415A-A252-EEF118942FB7}"/>
  <tableColumns count="10">
    <tableColumn id="1" xr3:uid="{D4545531-06EE-4C96-A912-50719B1317D3}" uniqueName="1" name="id" queryTableFieldId="1" dataDxfId="314"/>
    <tableColumn id="2" xr3:uid="{1C5FB653-6A39-4A9D-9D4B-54AE39EBB145}" uniqueName="2" name="entity_id" queryTableFieldId="2" dataDxfId="313"/>
    <tableColumn id="3" xr3:uid="{5AD8F9FD-8500-4333-BBA9-1508D5BB4FFD}" uniqueName="3" name="business_area_code" queryTableFieldId="3" dataDxfId="312"/>
    <tableColumn id="4" xr3:uid="{75AAD1E5-9CA8-4D74-93C3-B0F3A9C1A816}" uniqueName="4" name="business_area_name" queryTableFieldId="4" dataDxfId="311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310"/>
    <tableColumn id="7" xr3:uid="{3C1783B4-4F3F-46D0-90B7-46D749823858}" uniqueName="7" name="organization_name" queryTableFieldId="7" dataDxfId="309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M10:BW39" tableType="queryTable" totalsRowShown="0">
  <autoFilter ref="BM10:BW39" xr:uid="{E88A56CB-1A6A-44E2-A0BC-F85116A2C38F}"/>
  <tableColumns count="11">
    <tableColumn id="1" xr3:uid="{B02642B6-DCD3-446F-AB49-83DF42E2DD4A}" uniqueName="1" name="id" queryTableFieldId="1" dataDxfId="308"/>
    <tableColumn id="2" xr3:uid="{5591CCB2-FF3F-4AA7-BE4F-CA445274C5C3}" uniqueName="2" name="is_active" queryTableFieldId="2" dataDxfId="307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306"/>
    <tableColumn id="6" xr3:uid="{FC31E5A2-1767-4A06-9CC4-8A671CA16309}" uniqueName="6" name="equipment_type_name" queryTableFieldId="6" dataDxfId="305"/>
    <tableColumn id="7" xr3:uid="{4F9EE390-6DFF-40AA-8207-C3867747DD8C}" uniqueName="7" name="equipment_name" queryTableFieldId="7" dataDxfId="304"/>
    <tableColumn id="8" xr3:uid="{926319AF-F782-44E6-AC90-159AC1F5A167}" uniqueName="8" name="capacity" queryTableFieldId="8" dataDxfId="303"/>
    <tableColumn id="9" xr3:uid="{83EDA71A-B1E5-4C85-908C-898359BB6FD4}" uniqueName="9" name="capacity_uom_name" queryTableFieldId="9" dataDxfId="302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Z10:CD26" tableType="queryTable" totalsRowShown="0">
  <autoFilter ref="BZ10:CD26" xr:uid="{619BA6F1-4904-4388-AAF7-4095EE02C5ED}"/>
  <tableColumns count="5">
    <tableColumn id="1" xr3:uid="{2E294A8F-4616-4B12-9164-CD2B4B8C489A}" uniqueName="1" name="id" queryTableFieldId="1" dataDxfId="301"/>
    <tableColumn id="2" xr3:uid="{A6AF7579-32AC-481B-B7B4-A46F076F0CB6}" uniqueName="2" name="is_active" queryTableFieldId="2" dataDxfId="300"/>
    <tableColumn id="3" xr3:uid="{061A54DD-89D2-4BAA-BBEE-0F6A5F2487B4}" uniqueName="3" name="stock_location_name" queryTableFieldId="3" dataDxfId="299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G10:CH19" tableType="queryTable" totalsRowShown="0">
  <autoFilter ref="CG10:CH19" xr:uid="{491FB41B-039A-4618-B305-3DA90E55EB70}"/>
  <tableColumns count="2">
    <tableColumn id="1" xr3:uid="{DF3EB158-AA4F-4201-8D58-0A1374FEE7C3}" uniqueName="1" name="value" queryTableFieldId="1" dataDxfId="298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K10:CL18" tableType="queryTable" totalsRowShown="0">
  <autoFilter ref="CK10:CL18" xr:uid="{2A534427-00B1-49D1-9539-C59C242751B6}"/>
  <tableColumns count="2">
    <tableColumn id="1" xr3:uid="{4BF06B64-A405-4B24-BC4B-B91B49A66234}" uniqueName="1" name="value" queryTableFieldId="1" dataDxfId="297"/>
    <tableColumn id="2" xr3:uid="{B44975E3-99D5-4440-AFAC-5E348DD229F2}" uniqueName="2" name="text" queryTableFieldId="2" dataDxfId="29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T10:DC19" tableType="queryTable" totalsRowShown="0">
  <autoFilter ref="CT10:DC19" xr:uid="{4DA6CC26-BE63-4C61-AC84-81178260D93D}"/>
  <tableColumns count="10">
    <tableColumn id="1" xr3:uid="{D3564CDC-1493-42F1-9278-9234B41D75F2}" uniqueName="1" name="id" queryTableFieldId="1" dataDxfId="295"/>
    <tableColumn id="2" xr3:uid="{BFBC533C-3A84-4802-8ECE-8C9A8C24B6FC}" uniqueName="2" name="is_active" queryTableFieldId="2" dataDxfId="294"/>
    <tableColumn id="3" xr3:uid="{864EF024-F746-4BAD-B31B-A7C3C612DE1E}" uniqueName="3" name="event_definition_category_name" queryTableFieldId="3" dataDxfId="293"/>
    <tableColumn id="4" xr3:uid="{D192F766-596C-4C1B-BE28-387C743223A3}" uniqueName="4" name="event_definition_category_code" queryTableFieldId="4" dataDxfId="292"/>
    <tableColumn id="5" xr3:uid="{3C4DE94D-D3BB-42F4-AB74-E520E037180C}" uniqueName="5" name="is_problem_productivity" queryTableFieldId="5" dataDxfId="291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290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F10:DK81" tableType="queryTable" totalsRowShown="0">
  <autoFilter ref="DF10:DK81" xr:uid="{C8AAD902-E3EB-4F0D-9BC1-DA7123F15A46}"/>
  <tableColumns count="6">
    <tableColumn id="1" xr3:uid="{A056D995-DAAB-42B7-A80A-6756CC93D98C}" uniqueName="1" name="id" queryTableFieldId="1" dataDxfId="289"/>
    <tableColumn id="2" xr3:uid="{416E5030-BB01-4F54-9ED3-B9ECB8F085FC}" uniqueName="2" name="event_category_name" queryTableFieldId="2" dataDxfId="288"/>
    <tableColumn id="3" xr3:uid="{C5302B7E-457E-420A-893E-B7A1207B0FBE}" uniqueName="3" name="event_definition_category_name" queryTableFieldId="3" dataDxfId="287"/>
    <tableColumn id="4" xr3:uid="{3AAD7036-ACFA-41D4-8D52-919437D95568}" uniqueName="4" name="value" queryTableFieldId="4"/>
    <tableColumn id="5" xr3:uid="{D3E810B7-9197-40CF-9AF1-3CF5F0C56863}" uniqueName="5" name="text" queryTableFieldId="5"/>
    <tableColumn id="6" xr3:uid="{F21ABF70-7160-4EE3-85F2-3EC1C20F22E6}" uniqueName="6" name="EventCatNa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O10:DU19" tableType="queryTable" totalsRowShown="0">
  <autoFilter ref="DO10:DU19" xr:uid="{1838256A-2807-407D-B931-1B0FBC3394A2}"/>
  <tableColumns count="7">
    <tableColumn id="1" xr3:uid="{1DEFBD32-6CEB-4861-9AFD-69DC9543ED9C}" uniqueName="1" name="id" queryTableFieldId="1" dataDxfId="286"/>
    <tableColumn id="2" xr3:uid="{350037C8-B184-4640-A97D-10B7C10E536F}" uniqueName="2" name="event_definition_category_name" queryTableFieldId="2" dataDxfId="285"/>
    <tableColumn id="3" xr3:uid="{A2DA865B-92B1-4293-B1DE-17678A4B94EC}" uniqueName="3" name="is_problem_productivity" queryTableFieldId="3" dataDxfId="284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Y10:EE81" tableType="queryTable" totalsRowShown="0">
  <autoFilter ref="DY10:EE81" xr:uid="{9904017C-C1F7-48CE-BD19-8D44F48513DD}"/>
  <tableColumns count="7">
    <tableColumn id="1" xr3:uid="{101282D3-0F07-4802-9977-C52D844104EF}" uniqueName="1" name="id" queryTableFieldId="1" dataDxfId="283"/>
    <tableColumn id="2" xr3:uid="{E8304CB9-4E89-4F12-94CE-643698B320AE}" uniqueName="2" name="event_category_name" queryTableFieldId="2" dataDxfId="282"/>
    <tableColumn id="3" xr3:uid="{A1BA3397-FF1B-442E-94BA-6D3A68AAE737}" uniqueName="3" name="event_definition_category_name" queryTableFieldId="3" dataDxfId="281"/>
    <tableColumn id="4" xr3:uid="{D9356811-BDE6-4D2C-BEC7-716B2F293B14}" uniqueName="4" name="organization_name" queryTableFieldId="4" dataDxfId="280"/>
    <tableColumn id="5" xr3:uid="{7E5A83DD-BF82-492D-A575-D9E6227823A2}" uniqueName="5" name="value" queryTableFieldId="5"/>
    <tableColumn id="6" xr3:uid="{EA086228-368B-492F-914A-14FC99189C8D}" uniqueName="6" name="text" queryTableFieldId="6"/>
    <tableColumn id="7" xr3:uid="{4AAA8A91-2B20-454B-AE17-1C00DF626EA1}" uniqueName="7" name="EventCatName" queryTableFieldId="7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B63:C69" totalsRowShown="0">
  <autoFilter ref="B63:C69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G45" totalsRowShown="0" headerRowDxfId="279" headerRowBorderDxfId="278" tableBorderDxfId="277">
  <autoFilter ref="B29:G45" xr:uid="{9E7FD938-638C-4AE5-8D22-DC37195D81F7}"/>
  <tableColumns count="6">
    <tableColumn id="1" xr3:uid="{8EA04D2F-D095-485D-A45B-4B3F3BEF969D}" name="Column header" dataDxfId="276"/>
    <tableColumn id="2" xr3:uid="{466CDC9F-04B0-471F-9967-DC7E4549DEC9}" name="API URL" dataDxfId="275"/>
    <tableColumn id="3" xr3:uid="{66AA326C-B1AC-4727-B231-EBEC0DA31F77}" name="Table Name" dataDxfId="274">
      <calculatedColumnFormula>"Web_"&amp;ListAPILink[[#This Row],[Column header]]</calculatedColumnFormula>
    </tableColumn>
    <tableColumn id="4" xr3:uid="{C9EEFECF-2890-49CC-A831-CE15D975B3E2}" name="Jumlah Kolom" dataDxfId="273"/>
    <tableColumn id="5" xr3:uid="{25DFC411-AAFC-4331-B28B-7E051ED6B465}" name="List Kolom" dataDxfId="272"/>
    <tableColumn id="6" xr3:uid="{DA11A798-47D4-4F25-8102-274016C9C2FB}" name="Response"/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T10:W76" tableType="queryTable" totalsRowShown="0">
  <autoFilter ref="T10:W76" xr:uid="{73676514-35A7-40A6-A970-FEB97313C43A}"/>
  <tableColumns count="4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528BDBC-0E39-418D-A9EE-A198FDE9EBD5}" name="API_AccountingPeriod" displayName="API_AccountingPeriod" ref="EH10:EJ12" tableType="queryTable" totalsRowShown="0" dataDxfId="271">
  <autoFilter ref="EH10:EJ12" xr:uid="{7528BDBC-0E39-418D-A9EE-A198FDE9EBD5}"/>
  <tableColumns count="3">
    <tableColumn id="1" xr3:uid="{DBF6EBAC-6018-4E6F-A6A9-23F85E5A1952}" uniqueName="1" name="value" queryTableFieldId="1" dataDxfId="270"/>
    <tableColumn id="2" xr3:uid="{F32C1BE3-787E-482C-9855-84EBFC8F0B93}" uniqueName="2" name="text" queryTableFieldId="2" dataDxfId="269"/>
    <tableColumn id="3" xr3:uid="{F09F0424-3C75-44A8-A719-8D9B7F2EA538}" uniqueName="3" name="Month" queryTableFieldId="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02736D7-41DF-474E-9AAC-5F0488AF20A2}" name="AlllowedRole" displayName="AlllowedRole" ref="B15:B17" totalsRowShown="0">
  <autoFilter ref="B15:B17" xr:uid="{E02736D7-41DF-474E-9AAC-5F0488AF20A2}"/>
  <tableColumns count="1">
    <tableColumn id="1" xr3:uid="{785F35A9-3D9D-4F21-A221-63AAF76824AB}" name="Allowed Rol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4" totalsRowShown="0">
  <autoFilter ref="B2:H4" xr:uid="{E2056BCF-128A-43A0-8C94-64D4026CE11D}"/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68" totalsRowShown="0"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3" totalsRowShown="0">
  <autoFilter ref="P2:R3" xr:uid="{AD233BA6-7635-4FE7-8FDD-137F40EA8240}"/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8" totalsRowShown="0">
  <autoFilter ref="U2:AA8" xr:uid="{840A9454-9448-409F-8D2E-871C4A41CA94}"/>
  <tableColumns count="7">
    <tableColumn id="1" xr3:uid="{F2DDF578-7518-4531-9476-59F93703D975}" name="Name" dataDxfId="268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8" totalsRowShown="0">
  <tableColumns count="7">
    <tableColumn id="1" xr3:uid="{E440189A-E0AC-4CB6-8218-31CD50E3CEAE}" name="Name" dataDxfId="267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54" totalsRowShown="0">
  <autoFilter ref="AN2:AV54" xr:uid="{BB2B1FE5-4962-4955-A079-B6E0A78A888C}"/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62" totalsRowShown="0">
  <autoFilter ref="AY2:BI62" xr:uid="{FC23C61B-8006-45B5-B389-82E91BE4CCF4}"/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18" totalsRowShown="0"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11" totalsRowShown="0"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10" totalsRowShown="0"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1" totalsRowShown="0">
  <autoFilter ref="CF2:CO11" xr:uid="{8BA87551-16E2-43D3-BED5-65A840B62868}"/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266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V73" totalsRowShown="0">
  <tableColumns count="5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1" totalsRowShown="0"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73" totalsRowShown="0"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68" totalsRowShown="0" headerRowDxfId="265" headerRowBorderDxfId="264" tableBorderDxfId="263" totalsRowBorderDxfId="262">
  <autoFilter ref="DT2:DU68" xr:uid="{C721A1E0-433C-4CFA-8323-FDC555CC6CD5}"/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BED24BD-D074-4C66-A0C4-871DB3162684}" name="Web_AccountingPeriod" displayName="Web_AccountingPeriod" ref="DY2:DZ4" totalsRowShown="0">
  <autoFilter ref="DY2:DZ4" xr:uid="{BBED24BD-D074-4C66-A0C4-871DB3162684}"/>
  <sortState xmlns:xlrd2="http://schemas.microsoft.com/office/spreadsheetml/2017/richdata2" ref="DY3:DZ3">
    <sortCondition ref="DZ2:DZ3"/>
  </sortState>
  <tableColumns count="2">
    <tableColumn id="1" xr3:uid="{FEFCAFCD-8B7D-4C8B-8FDE-465E7A53E7D4}" name="value" dataDxfId="261"/>
    <tableColumn id="2" xr3:uid="{298B4663-77CF-475C-8698-EAE9F05CB120}" name="text" dataDxfId="26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CBF6BB8-A632-4365-AEEB-9ED065DDC129}" name="Web_ApplicationUser" displayName="Web_ApplicationUser" ref="EC2:EO4" totalsRowShown="0" headerRowDxfId="259">
  <autoFilter ref="EC2:EO4" xr:uid="{2CBF6BB8-A632-4365-AEEB-9ED065DDC129}"/>
  <tableColumns count="13">
    <tableColumn id="1" xr3:uid="{54784C5D-C491-43DA-9E48-EC861E3CD557}" name="id" dataDxfId="258"/>
    <tableColumn id="2" xr3:uid="{413A9489-124D-4339-8C02-47C2A19A1A43}" name="is_active"/>
    <tableColumn id="3" xr3:uid="{A86E20D9-E6B1-42A2-B005-6823951B511C}" name="is_locked"/>
    <tableColumn id="4" xr3:uid="{F727E4E4-E57B-4823-B585-5A5CC6452690}" name="application_username" dataDxfId="257"/>
    <tableColumn id="5" xr3:uid="{7DCB0C64-C428-4454-82CD-54435F2ED29B}" name="fullname" dataDxfId="256"/>
    <tableColumn id="6" xr3:uid="{8C3E378B-6657-4B95-8862-9388F81ADFEE}" name="email"/>
    <tableColumn id="7" xr3:uid="{AAFAEA6B-B00D-4075-83E0-A925565B53B4}" name="is_sysadmin"/>
    <tableColumn id="8" xr3:uid="{845C49F4-BD95-44A9-B929-986052AF2AA6}" name="api_key"/>
    <tableColumn id="9" xr3:uid="{555DE75D-895B-475F-A491-9C167A15ADEB}" name="expired_date"/>
    <tableColumn id="10" xr3:uid="{60BDEEB0-EADF-40BD-8FBA-0C783A765177}" name="organization_name"/>
    <tableColumn id="11" xr3:uid="{F4F45A68-D941-4408-A3DE-330BE7B67E16}" name="primary_team_name"/>
    <tableColumn id="12" xr3:uid="{873BE06F-CC50-47E3-BA69-2D5973D968C6}" name="business_unit_id"/>
    <tableColumn id="13" xr3:uid="{B0060C18-16C3-4C8D-B0FE-7637AE59D996}" name="business_unit_name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D427ABE-3C0A-485C-BE82-920F9EAD531C}" name="Web_ApplicationRole" displayName="Web_ApplicationRole" ref="ER2:ES4" totalsRowShown="0" headerRowDxfId="255" headerRowBorderDxfId="254" tableBorderDxfId="253" totalsRowBorderDxfId="252">
  <tableColumns count="2">
    <tableColumn id="1" xr3:uid="{99C6E013-6C03-4EB3-8D26-1DD98BD1C157}" name="id"/>
    <tableColumn id="2" xr3:uid="{9A285891-A501-4F82-B9C6-8B7085A86C22}" name="role_name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F33" totalsRowShown="0" headerRowDxfId="251" dataDxfId="250">
  <autoFilter ref="C13:EF33" xr:uid="{00000000-0009-0000-0100-000002000000}"/>
  <tableColumns count="134">
    <tableColumn id="1" xr3:uid="{00000000-0010-0000-1400-000001000000}" name="Accounting Period" dataDxfId="249">
      <calculatedColumnFormula>IFERROR(VLOOKUP(TEXT(InputData[[#This Row],[Date]],"yyyy-mm"),API_AccountingPeriod[text]:API_AccountingPeriod[Month],2,0),"Please Input Accounting Period")</calculatedColumnFormula>
    </tableColumn>
    <tableColumn id="2" xr3:uid="{00000000-0010-0000-1400-000002000000}" name="Weekly" dataDxfId="248">
      <calculatedColumnFormula>"Week_" &amp;WEEKNUM(InputData[[#This Row],[Date]])</calculatedColumnFormula>
    </tableColumn>
    <tableColumn id="3" xr3:uid="{00000000-0010-0000-1400-000003000000}" name="Date" dataDxfId="247"/>
    <tableColumn id="4" xr3:uid="{00000000-0010-0000-1400-000004000000}" name="Code Number" dataDxfId="246"/>
    <tableColumn id="5" xr3:uid="{00000000-0010-0000-1400-000005000000}" name="Type Unit" dataDxfId="245">
      <calculatedColumnFormula>IFERROR(VLOOKUP(InputData[[#This Row],[Code Number]],API_CNUnit[text]:API_CNUnit[type],3,0),0)</calculatedColumnFormula>
    </tableColumn>
    <tableColumn id="6" xr3:uid="{00000000-0010-0000-1400-000006000000}" name="Shift" dataDxfId="244"/>
    <tableColumn id="7" xr3:uid="{00000000-0010-0000-1400-000007000000}" name="Code" dataDxfId="243"/>
    <tableColumn id="136" xr3:uid="{00000000-0010-0000-1400-000088000000}" name="Hour" dataDxfId="242">
      <calculatedColumnFormula>IFERROR(VLOOKUP(InputData[[#This Row],[Code]],Classhours[[Column1]:[Code]],2,0),"")</calculatedColumnFormula>
    </tableColumn>
    <tableColumn id="33" xr3:uid="{00000000-0010-0000-1400-000021000000}" name="OB" dataDxfId="241" dataCellStyle="Comma">
      <calculatedColumnFormula>+InputData[[#This Row],[OB Activity]]</calculatedColumnFormula>
    </tableColumn>
    <tableColumn id="37" xr3:uid="{00000000-0010-0000-1400-000025000000}" name="WCO" dataDxfId="240" dataCellStyle="Comma">
      <calculatedColumnFormula>+InputData[[#This Row],[Coal Activity]]</calculatedColumnFormula>
    </tableColumn>
    <tableColumn id="38" xr3:uid="{00000000-0010-0000-1400-000026000000}" name="WNP" dataDxfId="239" dataCellStyle="Comma">
      <calculatedColumnFormula>SUM(InputData[[#This Row],[Travel Unit (Exca)]:[General Support]])</calculatedColumnFormula>
    </tableColumn>
    <tableColumn id="34" xr3:uid="{00000000-0010-0000-1400-000022000000}" name="SD" dataDxfId="238" dataCellStyle="Comma">
      <calculatedColumnFormula>SUM(InputData[[#This Row],[P2H]:[LAINNYA]])</calculatedColumnFormula>
    </tableColumn>
    <tableColumn id="36" xr3:uid="{00000000-0010-0000-1400-000024000000}" name="SI" dataDxfId="237" dataCellStyle="Comma">
      <calculatedColumnFormula>SUM(InputData[[#This Row],[HUJAN]:[PROBLEM COSTUMER]])</calculatedColumnFormula>
    </tableColumn>
    <tableColumn id="35" xr3:uid="{00000000-0010-0000-1400-000023000000}" name="BD" dataDxfId="236" dataCellStyle="Comma">
      <calculatedColumnFormula>SUM(InputData[[#This Row],[SCHEDULE SERVICE]:[ACCIDENT BREAKDOWN]])</calculatedColumnFormula>
    </tableColumn>
    <tableColumn id="132" xr3:uid="{00000000-0010-0000-1400-000084000000}" name="Column5" dataDxfId="235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34" dataCellStyle="Comma"/>
    <tableColumn id="104" xr3:uid="{00000000-0010-0000-1400-000068000000}" name="Column2" dataDxfId="233" dataCellStyle="Comma">
      <calculatedColumnFormula>+InputData[[#This Row],[Vol OB]]</calculatedColumnFormula>
    </tableColumn>
    <tableColumn id="121" xr3:uid="{00000000-0010-0000-1400-000079000000}" name="Column22" dataDxfId="232" dataCellStyle="Comma">
      <calculatedColumnFormula>+InputData[[#This Row],[Distance]]</calculatedColumnFormula>
    </tableColumn>
    <tableColumn id="122" xr3:uid="{00000000-0010-0000-1400-00007A000000}" name="DPOB" dataDxfId="231" dataCellStyle="Comma"/>
    <tableColumn id="105" xr3:uid="{00000000-0010-0000-1400-000069000000}" name="Column3" dataDxfId="230" dataCellStyle="Comma">
      <calculatedColumnFormula>+InputData[[#This Row],[Ton.Co.V]]</calculatedColumnFormula>
    </tableColumn>
    <tableColumn id="106" xr3:uid="{00000000-0010-0000-1400-00006A000000}" name="Column4" dataDxfId="229" dataCellStyle="Comma">
      <calculatedColumnFormula>+InputData[[#This Row],[Distance]]</calculatedColumnFormula>
    </tableColumn>
    <tableColumn id="109" xr3:uid="{00000000-0010-0000-1400-00006D000000}" name="DPCO" dataDxfId="228" dataCellStyle="Comma"/>
    <tableColumn id="110" xr3:uid="{00000000-0010-0000-1400-00006E000000}" name="Column53" dataDxfId="227" dataCellStyle="Comma">
      <calculatedColumnFormula>+SUM(InputData[[#This Row],[HARD DIGGING ]:[DOUBLE BENCH ]])</calculatedColumnFormula>
    </tableColumn>
    <tableColumn id="111" xr3:uid="{00000000-0010-0000-1400-00006F000000}" name="Column54" dataDxfId="226" dataCellStyle="Comma">
      <calculatedColumnFormula>SUM(InputData[[#This Row],[FATIGUE CHECK ]:[DAMAGED ROAD ]])</calculatedColumnFormula>
    </tableColumn>
    <tableColumn id="112" xr3:uid="{00000000-0010-0000-1400-000070000000}" name="Column55" dataDxfId="225" dataCellStyle="Comma">
      <calculatedColumnFormula>SUM(InputData[[#This Row],[NARROW ACCESS ]:[WAITING SUPPORT DISPOSAL ]])</calculatedColumnFormula>
    </tableColumn>
    <tableColumn id="113" xr3:uid="{00000000-0010-0000-1400-000071000000}" name="DPPP" dataDxfId="224" dataCellStyle="Comma"/>
    <tableColumn id="123" xr3:uid="{00000000-0010-0000-1400-00007B000000}" name="NIK" dataDxfId="223" dataCellStyle="Comma"/>
    <tableColumn id="124" xr3:uid="{00000000-0010-0000-1400-00007C000000}" name="EN" dataDxfId="222" dataCellStyle="Comma">
      <calculatedColumnFormula>IFERROR(_xlfn.XLOOKUP(InputData[[#This Row],[NIK]],API_OperatorNIK[NIK+Name],API_OperatorNIK[employee_name]),"")</calculatedColumnFormula>
    </tableColumn>
    <tableColumn id="125" xr3:uid="{00000000-0010-0000-1400-00007D000000}" name="HMST" dataDxfId="221" dataCellStyle="Comma"/>
    <tableColumn id="126" xr3:uid="{00000000-0010-0000-1400-00007E000000}" name="HMSP" dataDxfId="220" dataCellStyle="Comma"/>
    <tableColumn id="127" xr3:uid="{00000000-0010-0000-1400-00007F000000}" name="D.HM" dataDxfId="219" dataCellStyle="Comma">
      <calculatedColumnFormula>+InputData[[#This Row],[HMSP]]-InputData[[#This Row],[HMST]]</calculatedColumnFormula>
    </tableColumn>
    <tableColumn id="10" xr3:uid="{00000000-0010-0000-1400-00000A000000}" name="Column1" dataDxfId="218" dataCellStyle="Comma">
      <calculatedColumnFormula>+InputData[[#This Row],[D.HM]]*60</calculatedColumnFormula>
    </tableColumn>
    <tableColumn id="131" xr3:uid="{00000000-0010-0000-1400-000083000000}" name="nikpengawas" dataDxfId="217" dataCellStyle="Comma"/>
    <tableColumn id="129" xr3:uid="{00000000-0010-0000-1400-000081000000}" name="NamaPengawas" dataDxfId="216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15" dataCellStyle="Comma"/>
    <tableColumn id="8" xr3:uid="{00000000-0010-0000-1400-000008000000}" name="OB Activity" dataDxfId="214" dataCellStyle="Comma"/>
    <tableColumn id="9" xr3:uid="{00000000-0010-0000-1400-000009000000}" name="Coal Activity" dataDxfId="213" dataCellStyle="Comma"/>
    <tableColumn id="12" xr3:uid="{00000000-0010-0000-1400-00000C000000}" name="Travel Unit (Exca)" dataDxfId="212" dataCellStyle="Comma"/>
    <tableColumn id="13" xr3:uid="{00000000-0010-0000-1400-00000D000000}" name="Travel Unit Exc Exca" dataDxfId="211" dataCellStyle="Comma"/>
    <tableColumn id="14" xr3:uid="{00000000-0010-0000-1400-00000E000000}" name="Preparing Front" dataDxfId="210" dataCellStyle="Comma"/>
    <tableColumn id="15" xr3:uid="{00000000-0010-0000-1400-00000F000000}" name="Preparing Disposal" dataDxfId="209" dataCellStyle="Comma"/>
    <tableColumn id="16" xr3:uid="{00000000-0010-0000-1400-000010000000}" name="Road Maintenance" dataDxfId="208" dataCellStyle="Comma"/>
    <tableColumn id="17" xr3:uid="{00000000-0010-0000-1400-000011000000}" name="Dozing" dataDxfId="207" dataCellStyle="Comma"/>
    <tableColumn id="18" xr3:uid="{00000000-0010-0000-1400-000012000000}" name="Spreading" dataDxfId="206" dataCellStyle="Comma"/>
    <tableColumn id="19" xr3:uid="{00000000-0010-0000-1400-000013000000}" name="Land Clearing dan Grubbing" dataDxfId="205" dataCellStyle="Comma"/>
    <tableColumn id="20" xr3:uid="{00000000-0010-0000-1400-000014000000}" name="Instalasi Pump" dataDxfId="204" dataCellStyle="Comma"/>
    <tableColumn id="21" xr3:uid="{00000000-0010-0000-1400-000015000000}" name="Pemindahan Lighting Plant" dataDxfId="203" dataCellStyle="Comma"/>
    <tableColumn id="22" xr3:uid="{00000000-0010-0000-1400-000016000000}" name="Pembuatan Parit" dataDxfId="202" dataCellStyle="Comma"/>
    <tableColumn id="23" xr3:uid="{00000000-0010-0000-1400-000017000000}" name="Pembuatan Tanggul" dataDxfId="201" dataCellStyle="Comma"/>
    <tableColumn id="24" xr3:uid="{00000000-0010-0000-1400-000018000000}" name="Scrab Setelah Hujan" dataDxfId="200" dataCellStyle="Comma"/>
    <tableColumn id="25" xr3:uid="{00000000-0010-0000-1400-000019000000}" name="General Expose" dataDxfId="199" dataCellStyle="Comma"/>
    <tableColumn id="26" xr3:uid="{00000000-0010-0000-1400-00001A000000}" name="Cleaning Coal" dataDxfId="198" dataCellStyle="Comma"/>
    <tableColumn id="28" xr3:uid="{00000000-0010-0000-1400-00001C000000}" name="General Support" dataDxfId="197" dataCellStyle="Comma"/>
    <tableColumn id="32" xr3:uid="{00000000-0010-0000-1400-000020000000}" name="P2H" dataDxfId="196" dataCellStyle="Comma"/>
    <tableColumn id="39" xr3:uid="{00000000-0010-0000-1400-000027000000}" name="REFUELLING DAN DAILY CHECK DT" dataDxfId="195" dataCellStyle="Comma"/>
    <tableColumn id="40" xr3:uid="{00000000-0010-0000-1400-000028000000}" name="TRAVEL UNIT" dataDxfId="194" dataCellStyle="Comma"/>
    <tableColumn id="41" xr3:uid="{00000000-0010-0000-1400-000029000000}" name="TUNGGU UNIT" dataDxfId="193" dataCellStyle="Comma"/>
    <tableColumn id="42" xr3:uid="{00000000-0010-0000-1400-00002A000000}" name="TUNGGU ENGINEERING" dataDxfId="192" dataCellStyle="Comma"/>
    <tableColumn id="43" xr3:uid="{00000000-0010-0000-1400-00002B000000}" name="TUNGGU BLASTING" dataDxfId="191" dataCellStyle="Comma"/>
    <tableColumn id="44" xr3:uid="{00000000-0010-0000-1400-00002C000000}" name="PEMBERSIHAN UNIT" dataDxfId="190" dataCellStyle="Comma"/>
    <tableColumn id="45" xr3:uid="{00000000-0010-0000-1400-00002D000000}" name="ISTIRAHAT" dataDxfId="189" dataCellStyle="Comma"/>
    <tableColumn id="46" xr3:uid="{00000000-0010-0000-1400-00002E000000}" name="CEK SAFETY" dataDxfId="188" dataCellStyle="Comma"/>
    <tableColumn id="47" xr3:uid="{00000000-0010-0000-1400-00002F000000}" name="REQUEST STANDBY" dataDxfId="187" dataCellStyle="Comma"/>
    <tableColumn id="48" xr3:uid="{00000000-0010-0000-1400-000030000000}" name="TUNGGU OPERATOR" dataDxfId="186" dataCellStyle="Comma"/>
    <tableColumn id="49" xr3:uid="{00000000-0010-0000-1400-000031000000}" name="GANTI SHIFT" dataDxfId="185" dataCellStyle="Comma"/>
    <tableColumn id="50" xr3:uid="{00000000-0010-0000-1400-000032000000}" name="DEBU" dataDxfId="184" dataCellStyle="Comma"/>
    <tableColumn id="51" xr3:uid="{00000000-0010-0000-1400-000033000000}" name="SHOLAT" dataDxfId="183" dataCellStyle="Comma"/>
    <tableColumn id="52" xr3:uid="{00000000-0010-0000-1400-000034000000}" name="CEK EXCA HARIAN" dataDxfId="182" dataCellStyle="Comma"/>
    <tableColumn id="53" xr3:uid="{00000000-0010-0000-1400-000035000000}" name="SLIPPERY" dataDxfId="181" dataCellStyle="Comma"/>
    <tableColumn id="31" xr3:uid="{00000000-0010-0000-1400-00001F000000}" name="OPERASI 1 SHIFT" dataDxfId="180" dataCellStyle="Comma"/>
    <tableColumn id="55" xr3:uid="{00000000-0010-0000-1400-000037000000}" name="PROBLEM TRANSPORTASI" dataDxfId="179" dataCellStyle="Comma"/>
    <tableColumn id="56" xr3:uid="{00000000-0010-0000-1400-000038000000}" name="TUNGGU REFUELLING" dataDxfId="178" dataCellStyle="Comma"/>
    <tableColumn id="54" xr3:uid="{00000000-0010-0000-1400-000036000000}" name="LAINNYA" dataDxfId="177" dataCellStyle="Comma"/>
    <tableColumn id="58" xr3:uid="{00000000-0010-0000-1400-00003A000000}" name="HUJAN" dataDxfId="176" dataCellStyle="Comma"/>
    <tableColumn id="59" xr3:uid="{00000000-0010-0000-1400-00003B000000}" name="KABUT" dataDxfId="175" dataCellStyle="Comma"/>
    <tableColumn id="60" xr3:uid="{00000000-0010-0000-1400-00003C000000}" name="KEADAAN KAHAR" dataDxfId="174" dataCellStyle="Comma"/>
    <tableColumn id="61" xr3:uid="{00000000-0010-0000-1400-00003D000000}" name="PROBLEM KOMUNITAS" dataDxfId="173" dataCellStyle="Comma"/>
    <tableColumn id="62" xr3:uid="{00000000-0010-0000-1400-00003E000000}" name="PROBLEM COSTUMER" dataDxfId="172" dataCellStyle="Comma"/>
    <tableColumn id="63" xr3:uid="{00000000-0010-0000-1400-00003F000000}" name="SCHEDULE SERVICE" dataDxfId="171" dataCellStyle="Comma"/>
    <tableColumn id="64" xr3:uid="{00000000-0010-0000-1400-000040000000}" name="UNSCHEDULE BREAKDOWN" dataDxfId="170" dataCellStyle="Comma"/>
    <tableColumn id="65" xr3:uid="{00000000-0010-0000-1400-000041000000}" name="TYRE BREAKDOWN" dataDxfId="169" dataCellStyle="Comma"/>
    <tableColumn id="66" xr3:uid="{00000000-0010-0000-1400-000042000000}" name="INSTRUMEN BREAKDOWN" dataDxfId="168" dataCellStyle="Comma"/>
    <tableColumn id="67" xr3:uid="{00000000-0010-0000-1400-000043000000}" name="ACCIDENT BREAKDOWN" dataDxfId="167" dataCellStyle="Comma"/>
    <tableColumn id="116" xr3:uid="{00000000-0010-0000-1400-000074000000}" name="Working Hours" dataDxfId="166" dataCellStyle="Comma"/>
    <tableColumn id="69" xr3:uid="{00000000-0010-0000-1400-000045000000}" name="SP" dataDxfId="165" dataCellStyle="Comma"/>
    <tableColumn id="70" xr3:uid="{00000000-0010-0000-1400-000046000000}" name="DS" dataDxfId="164" dataCellStyle="Comma"/>
    <tableColumn id="71" xr3:uid="{00000000-0010-0000-1400-000047000000}" name="DOB" dataDxfId="163" dataCellStyle="Comma"/>
    <tableColumn id="72" xr3:uid="{00000000-0010-0000-1400-000048000000}" name="Mat.OB" dataDxfId="162" dataCellStyle="Comma"/>
    <tableColumn id="73" xr3:uid="{00000000-0010-0000-1400-000049000000}" name="Rit OB" dataDxfId="161" dataCellStyle="Comma"/>
    <tableColumn id="30" xr3:uid="{00000000-0010-0000-1400-00001E000000}" name="Rit Rehandling" dataDxfId="160" dataCellStyle="Comma"/>
    <tableColumn id="74" xr3:uid="{00000000-0010-0000-1400-00004A000000}" name="Vol OB" dataDxfId="159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158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157" dataCellStyle="Comma"/>
    <tableColumn id="76" xr3:uid="{00000000-0010-0000-1400-00004C000000}" name="Prod'ty OB" dataDxfId="156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155" dataCellStyle="Comma">
      <calculatedColumnFormula>InputData[[#This Row],[Vol OB]]*InputData[[#This Row],[Distance]]</calculatedColumnFormula>
    </tableColumn>
    <tableColumn id="120" xr3:uid="{00000000-0010-0000-1400-000078000000}" name="Production OB" dataDxfId="154" dataCellStyle="Comma"/>
    <tableColumn id="118" xr3:uid="{00000000-0010-0000-1400-000076000000}" name="SP2" dataDxfId="153" dataCellStyle="Comma"/>
    <tableColumn id="119" xr3:uid="{00000000-0010-0000-1400-000077000000}" name="DS3" dataDxfId="152" dataCellStyle="Comma"/>
    <tableColumn id="137" xr3:uid="{00000000-0010-0000-1400-000089000000}" name="DiggerCoal" dataDxfId="151" dataCellStyle="Comma"/>
    <tableColumn id="114" xr3:uid="{34A49723-1E75-4720-9911-3E70A532D029}" name="Mat.Coal" dataDxfId="150" dataCellStyle="Comma"/>
    <tableColumn id="78" xr3:uid="{00000000-0010-0000-1400-00004E000000}" name="Rit.Co.V" dataDxfId="149" dataCellStyle="Comma"/>
    <tableColumn id="79" xr3:uid="{00000000-0010-0000-1400-00004F000000}" name="Seam" dataDxfId="148" dataCellStyle="Comma"/>
    <tableColumn id="80" xr3:uid="{00000000-0010-0000-1400-000050000000}" name="Ton.Co.V" dataDxfId="147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146" dataCellStyle="Comma"/>
    <tableColumn id="82" xr3:uid="{00000000-0010-0000-1400-000052000000}" name="Prod.ty.V" dataDxfId="145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144" dataCellStyle="Comma">
      <calculatedColumnFormula>+InputData[[#This Row],[Ton.Co.V]]*InputData[[#This Row],[Dist.Co.V]]</calculatedColumnFormula>
    </tableColumn>
    <tableColumn id="29" xr3:uid="{00000000-0010-0000-1400-00001D000000}" name="Volume Coal" dataDxfId="143" dataCellStyle="Comma">
      <calculatedColumnFormula>IFERROR(InputData[[#This Row],[Ton.Co.V]]/1.3,0)</calculatedColumnFormula>
    </tableColumn>
    <tableColumn id="117" xr3:uid="{00000000-0010-0000-1400-000075000000}" name="Production Coal" dataDxfId="142" dataCellStyle="Comma"/>
    <tableColumn id="84" xr3:uid="{00000000-0010-0000-1400-000054000000}" name="HARD DIGGING " dataDxfId="141" dataCellStyle="Comma"/>
    <tableColumn id="85" xr3:uid="{00000000-0010-0000-1400-000055000000}" name="HARD DIGGING BLASTED " dataDxfId="140" dataCellStyle="Comma"/>
    <tableColumn id="86" xr3:uid="{00000000-0010-0000-1400-000056000000}" name="BOULDER " dataDxfId="139" dataCellStyle="Comma"/>
    <tableColumn id="87" xr3:uid="{00000000-0010-0000-1400-000057000000}" name="WAITING SURVEY " dataDxfId="138" dataCellStyle="Comma"/>
    <tableColumn id="88" xr3:uid="{00000000-0010-0000-1400-000058000000}" name="PREPARE FRONT " dataDxfId="137" dataCellStyle="Comma"/>
    <tableColumn id="89" xr3:uid="{00000000-0010-0000-1400-000059000000}" name="SOFT LOADING POINT " dataDxfId="136" dataCellStyle="Comma"/>
    <tableColumn id="90" xr3:uid="{00000000-0010-0000-1400-00005A000000}" name="WAITING SUPPORT FRONT " dataDxfId="135" dataCellStyle="Comma"/>
    <tableColumn id="91" xr3:uid="{00000000-0010-0000-1400-00005B000000}" name="TOP LOADING " dataDxfId="134" dataCellStyle="Comma"/>
    <tableColumn id="92" xr3:uid="{00000000-0010-0000-1400-00005C000000}" name="BACKLOADING" dataDxfId="133" dataCellStyle="Comma"/>
    <tableColumn id="93" xr3:uid="{00000000-0010-0000-1400-00005D000000}" name="DOUBLE BENCH " dataDxfId="132" dataCellStyle="Comma"/>
    <tableColumn id="94" xr3:uid="{00000000-0010-0000-1400-00005E000000}" name="FATIGUE CHECK " dataDxfId="131" dataCellStyle="Comma"/>
    <tableColumn id="95" xr3:uid="{00000000-0010-0000-1400-00005F000000}" name="NARROW  LOADING POINT" dataDxfId="130" dataCellStyle="Comma"/>
    <tableColumn id="96" xr3:uid="{00000000-0010-0000-1400-000060000000}" name="CROWDED ROAD " dataDxfId="129" dataCellStyle="Comma"/>
    <tableColumn id="97" xr3:uid="{00000000-0010-0000-1400-000061000000}" name="OVERGRADE ROAD" dataDxfId="128" dataCellStyle="Comma"/>
    <tableColumn id="98" xr3:uid="{00000000-0010-0000-1400-000062000000}" name="DAMAGED ROAD " dataDxfId="127" dataCellStyle="Comma"/>
    <tableColumn id="99" xr3:uid="{00000000-0010-0000-1400-000063000000}" name="NARROW ACCESS " dataDxfId="126" dataCellStyle="Comma"/>
    <tableColumn id="100" xr3:uid="{00000000-0010-0000-1400-000064000000}" name="DUSTY ROAD" dataDxfId="125" dataCellStyle="Comma"/>
    <tableColumn id="101" xr3:uid="{00000000-0010-0000-1400-000065000000}" name="SOFT DUMPING POINT " dataDxfId="124" dataCellStyle="Comma"/>
    <tableColumn id="102" xr3:uid="{00000000-0010-0000-1400-000066000000}" name="WAITING SUPPORT DISPOSAL " dataDxfId="123" dataCellStyle="Comma"/>
    <tableColumn id="134" xr3:uid="{00000000-0010-0000-1400-000086000000}" name="LIGHTING PROBLEM " dataDxfId="122" dataCellStyle="Comma"/>
    <tableColumn id="133" xr3:uid="{00000000-0010-0000-1400-000085000000}" name="NARROW DUMPING POINT " dataDxfId="121" dataCellStyle="Comma"/>
    <tableColumn id="68" xr3:uid="{00000000-0010-0000-1400-000044000000}" name="LESS HAULER" dataDxfId="120" dataCellStyle="Comma"/>
    <tableColumn id="57" xr3:uid="{00000000-0010-0000-1400-000039000000}" name="LESS SUPPORT" dataDxfId="119" dataCellStyle="Comma"/>
    <tableColumn id="103" xr3:uid="{00000000-0010-0000-1400-000067000000}" name="Problem Prod'ty" dataDxfId="118" dataCellStyle="Comma"/>
    <tableColumn id="11" xr3:uid="{00000000-0010-0000-1400-00000B000000}" name="Jumlah Pengisian" dataDxfId="117" dataCellStyle="Comma"/>
    <tableColumn id="27" xr3:uid="{00000000-0010-0000-1400-00001B000000}" name="Fuel" dataDxfId="116" dataCellStyle="Comma"/>
  </tableColumns>
  <tableStyleInfo name="TableStyleMedium2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A21" totalsRowShown="0" headerRowDxfId="115" dataDxfId="114">
  <autoFilter ref="A13:BA21" xr:uid="{00000000-0009-0000-0100-000017000000}"/>
  <tableColumns count="53">
    <tableColumn id="1" xr3:uid="{00000000-0010-0000-1500-000001000000}" name="Accounting Period" dataDxfId="113">
      <calculatedColumnFormula>IFERROR(VLOOKUP(TEXT(Inputplan[[#This Row],[Date]],"yyyy-mm"),API_AccountingPeriod[text]:API_AccountingPeriod[Month],2,0),"Please Input Accounting Period")</calculatedColumnFormula>
    </tableColumn>
    <tableColumn id="2" xr3:uid="{00000000-0010-0000-1500-000002000000}" name="Weekly" dataDxfId="112">
      <calculatedColumnFormula>"Week_" &amp;WEEKNUM(Inputplan[[#This Row],[Date]])</calculatedColumnFormula>
    </tableColumn>
    <tableColumn id="3" xr3:uid="{00000000-0010-0000-1500-000003000000}" name="Date" dataDxfId="111"/>
    <tableColumn id="4" xr3:uid="{00000000-0010-0000-1500-000004000000}" name="Code Number" dataDxfId="110"/>
    <tableColumn id="5" xr3:uid="{00000000-0010-0000-1500-000005000000}" name="Type Unit" dataDxfId="109">
      <calculatedColumnFormula>IFERROR(VLOOKUP(Inputplan[[#This Row],[Code Number]],API_CNUnit[text]:API_CNUnit[type],3,0),0)</calculatedColumnFormula>
    </tableColumn>
    <tableColumn id="6" xr3:uid="{00000000-0010-0000-1500-000006000000}" name="Shift" dataDxfId="108"/>
    <tableColumn id="175" xr3:uid="{00000000-0010-0000-1500-0000AF000000}" name="Code" dataDxfId="107"/>
    <tableColumn id="12" xr3:uid="{00000000-0010-0000-1500-00000C000000}" name="Hour" dataDxfId="106">
      <calculatedColumnFormula>IFERROR(VLOOKUP(Inputplan[[#This Row],[Code]],Classhours[[Column1]:[Code]],2,0),"")</calculatedColumnFormula>
    </tableColumn>
    <tableColumn id="185" xr3:uid="{00000000-0010-0000-1500-0000B9000000}" name="Location Pit" dataDxfId="105" dataCellStyle="Comma"/>
    <tableColumn id="177" xr3:uid="{00000000-0010-0000-1500-0000B1000000}" name="Overburden" dataDxfId="104"/>
    <tableColumn id="174" xr3:uid="{00000000-0010-0000-1500-0000AE000000}" name="Coal" dataDxfId="103"/>
    <tableColumn id="7" xr3:uid="{00000000-0010-0000-1500-000007000000}" name="Distance OB" dataDxfId="102"/>
    <tableColumn id="8" xr3:uid="{00000000-0010-0000-1500-000008000000}" name="Distance Coal" dataDxfId="101"/>
    <tableColumn id="184" xr3:uid="{00000000-0010-0000-1500-0000B8000000}" name="Prod'ty OB" dataDxfId="100">
      <calculatedColumnFormula>IFERROR(Inputplan[[#This Row],[Overburden]]/(Inputplan[[#This Row],[WH]]),0)</calculatedColumnFormula>
    </tableColumn>
    <tableColumn id="178" xr3:uid="{00000000-0010-0000-1500-0000B2000000}" name="Prod'ty Coal" dataDxfId="99" dataCellStyle="Comma">
      <calculatedColumnFormula>IFERROR(Inputplan[[#This Row],[Coal]]/(Inputplan[[#This Row],[WH]]/60),0)</calculatedColumnFormula>
    </tableColumn>
    <tableColumn id="138" xr3:uid="{00000000-0010-0000-1500-00008A000000}" name="MOHH" dataDxfId="98" dataCellStyle="Comma">
      <calculatedColumnFormula>+IF(Inputplan[[#This Row],[Code Number]]="","",12)</calculatedColumnFormula>
    </tableColumn>
    <tableColumn id="168" xr3:uid="{00000000-0010-0000-1500-0000A8000000}" name="Delay" dataDxfId="97" dataCellStyle="Comma">
      <calculatedColumnFormula>SUM(Inputplan[[#This Row],[P2H]:[LAINNYA]])/60</calculatedColumnFormula>
    </tableColumn>
    <tableColumn id="169" xr3:uid="{00000000-0010-0000-1500-0000A9000000}" name="Idle" dataDxfId="96" dataCellStyle="Comma">
      <calculatedColumnFormula>SUM(Inputplan[[#This Row],[HUJAN]:[PROBLEM COSTUMER]])/60</calculatedColumnFormula>
    </tableColumn>
    <tableColumn id="170" xr3:uid="{00000000-0010-0000-1500-0000AA000000}" name="B/D" dataDxfId="95" dataCellStyle="Comma">
      <calculatedColumnFormula>SUM(Inputplan[[#This Row],[SCHEDULE SERVICE]:[ACCIDENT BREAKDOWN]])/60</calculatedColumnFormula>
    </tableColumn>
    <tableColumn id="171" xr3:uid="{00000000-0010-0000-1500-0000AB000000}" name="WH" dataDxfId="94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93"/>
    <tableColumn id="141" xr3:uid="{00000000-0010-0000-1500-00008D000000}" name="REFUELLING DAN DAILY CHECK DT" dataDxfId="92"/>
    <tableColumn id="142" xr3:uid="{00000000-0010-0000-1500-00008E000000}" name="TRAVEL UNIT" dataDxfId="91"/>
    <tableColumn id="143" xr3:uid="{00000000-0010-0000-1500-00008F000000}" name="TUNGGU UNIT" dataDxfId="90"/>
    <tableColumn id="144" xr3:uid="{00000000-0010-0000-1500-000090000000}" name="TUNGGU ENGINEERING" dataDxfId="89"/>
    <tableColumn id="145" xr3:uid="{00000000-0010-0000-1500-000091000000}" name="TUNGGU BLASTING" dataDxfId="88"/>
    <tableColumn id="146" xr3:uid="{00000000-0010-0000-1500-000092000000}" name="PEMBERSIHAN UNIT" dataDxfId="87"/>
    <tableColumn id="147" xr3:uid="{00000000-0010-0000-1500-000093000000}" name="ISTIRAHAT" dataDxfId="86"/>
    <tableColumn id="148" xr3:uid="{00000000-0010-0000-1500-000094000000}" name="CEK SAFETY" dataDxfId="85"/>
    <tableColumn id="149" xr3:uid="{00000000-0010-0000-1500-000095000000}" name="REQUEST STANDBY" dataDxfId="84"/>
    <tableColumn id="150" xr3:uid="{00000000-0010-0000-1500-000096000000}" name="TUNGGU OPERATOR" dataDxfId="83"/>
    <tableColumn id="151" xr3:uid="{00000000-0010-0000-1500-000097000000}" name="GANTI SHIFT" dataDxfId="82"/>
    <tableColumn id="152" xr3:uid="{00000000-0010-0000-1500-000098000000}" name="DEBU" dataDxfId="81"/>
    <tableColumn id="153" xr3:uid="{00000000-0010-0000-1500-000099000000}" name="SHOLAT" dataDxfId="80"/>
    <tableColumn id="154" xr3:uid="{00000000-0010-0000-1500-00009A000000}" name="CEK EXCA HARIAN" dataDxfId="79"/>
    <tableColumn id="155" xr3:uid="{00000000-0010-0000-1500-00009B000000}" name="SLIPPERY" dataDxfId="78"/>
    <tableColumn id="13" xr3:uid="{00000000-0010-0000-1500-00000D000000}" name="OPERASI 1 SHIFT" dataDxfId="77"/>
    <tableColumn id="14" xr3:uid="{00000000-0010-0000-1500-00000E000000}" name="PROBLEM TRANSPORTASI" dataDxfId="76"/>
    <tableColumn id="16" xr3:uid="{00000000-0010-0000-1500-000010000000}" name="TUNGGU REFUELLING" dataDxfId="75"/>
    <tableColumn id="15" xr3:uid="{00000000-0010-0000-1500-00000F000000}" name="LAINNYA" dataDxfId="74"/>
    <tableColumn id="156" xr3:uid="{00000000-0010-0000-1500-00009C000000}" name="HUJAN" dataDxfId="73"/>
    <tableColumn id="157" xr3:uid="{00000000-0010-0000-1500-00009D000000}" name="KABUT" dataDxfId="72"/>
    <tableColumn id="158" xr3:uid="{00000000-0010-0000-1500-00009E000000}" name="KEADAAN KAHAR" dataDxfId="71"/>
    <tableColumn id="159" xr3:uid="{00000000-0010-0000-1500-00009F000000}" name="PROBLEM KOMUNITAS" dataDxfId="70"/>
    <tableColumn id="160" xr3:uid="{00000000-0010-0000-1500-0000A0000000}" name="PROBLEM COSTUMER" dataDxfId="69"/>
    <tableColumn id="179" xr3:uid="{00000000-0010-0000-1500-0000B3000000}" name="SCHEDULE SERVICE" dataDxfId="68"/>
    <tableColumn id="180" xr3:uid="{00000000-0010-0000-1500-0000B4000000}" name="UNSCHEDULE BREAKDOWN" dataDxfId="67"/>
    <tableColumn id="181" xr3:uid="{00000000-0010-0000-1500-0000B5000000}" name="TYRE BREAKDOWN" dataDxfId="66"/>
    <tableColumn id="182" xr3:uid="{00000000-0010-0000-1500-0000B6000000}" name="INSTRUMEN BREAKDOWN" dataDxfId="65"/>
    <tableColumn id="183" xr3:uid="{00000000-0010-0000-1500-0000B7000000}" name="ACCIDENT BREAKDOWN" dataDxfId="64"/>
    <tableColumn id="9" xr3:uid="{00000000-0010-0000-1500-000009000000}" name="R06" dataDxfId="63"/>
    <tableColumn id="10" xr3:uid="{00000000-0010-0000-1500-00000A000000}" name="DVOB" dataDxfId="62">
      <calculatedColumnFormula>+Inputplan[[#This Row],[Overburden]]*Inputplan[[#This Row],[Distance OB]]</calculatedColumnFormula>
    </tableColumn>
    <tableColumn id="11" xr3:uid="{00000000-0010-0000-1500-00000B000000}" name="DVTC" dataDxfId="61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60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59">
  <autoFilter ref="A1:D2" xr:uid="{D0DE56FE-7F12-49D9-8504-2888E907E8B0}"/>
  <tableColumns count="4">
    <tableColumn id="1" xr3:uid="{2A750D7A-6515-4F27-8EC2-44DD7DF76693}" uniqueName="1" name="DATE" queryTableFieldId="1" dataDxfId="58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57"/>
    <tableColumn id="3" xr3:uid="{3B0EA1E2-63C3-4B15-B46E-B90E46F1097B}" uniqueName="3" name="Data.2" queryTableFieldId="3" dataDxfId="56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Z21" tableType="queryTable" totalsRowShown="0">
  <autoFilter ref="A1:Z21" xr:uid="{CCC1D291-F55B-4387-BB98-B526982ED734}"/>
  <tableColumns count="26">
    <tableColumn id="1" xr3:uid="{B5336365-EDF4-47CA-B39F-0E73E369F9D6}" uniqueName="1" name="timesheet_date" queryTableFieldId="1" dataDxfId="55"/>
    <tableColumn id="2" xr3:uid="{6B540490-6825-49A2-A9B8-427EB2D1CEC8}" uniqueName="2" name="shift_id" queryTableFieldId="2" dataDxfId="54"/>
    <tableColumn id="3" xr3:uid="{BAD3E190-5262-4FCD-BB5E-12E42841369C}" uniqueName="3" name="activity_id" queryTableFieldId="3" dataDxfId="53"/>
    <tableColumn id="4" xr3:uid="{4D61FD24-58E1-4770-B7A0-81A1CB8F969B}" uniqueName="4" name="cn_unit_id" queryTableFieldId="4"/>
    <tableColumn id="5" xr3:uid="{B3C38600-CF72-4E82-913E-89C32AB44629}" uniqueName="5" name="operator_id" queryTableFieldId="5" dataDxfId="52"/>
    <tableColumn id="6" xr3:uid="{422C15B3-4B40-490A-A5CA-5D0811923FD0}" uniqueName="6" name="supervisor_id" queryTableFieldId="6" dataDxfId="51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50"/>
    <tableColumn id="11" xr3:uid="{6496BB77-F6EC-464B-BE74-FD5B3224C989}" uniqueName="11" name="source_id" queryTableFieldId="11" dataDxfId="49"/>
    <tableColumn id="12" xr3:uid="{9F95EA9D-6318-40E4-8503-ED1BAEC56C3B}" uniqueName="12" name="destination_id" queryTableFieldId="12" dataDxfId="48"/>
    <tableColumn id="10" xr3:uid="{D6B4B9D8-38EC-4902-A0B0-73C7691754A1}" uniqueName="10" name="loader_id" queryTableFieldId="10"/>
    <tableColumn id="13" xr3:uid="{0BF35221-4BD2-4511-A47E-0AE496F23A89}" uniqueName="13" name="material_id" queryTableFieldId="13" dataDxfId="47"/>
    <tableColumn id="14" xr3:uid="{4059B39C-1C9D-44EC-9C0E-9A9EB8A54057}" uniqueName="14" name="distance" queryTableFieldId="14" dataDxfId="46"/>
    <tableColumn id="15" xr3:uid="{8F5EBAFD-6851-49C7-879D-FF2C72DCB564}" uniqueName="15" name="ritase" queryTableFieldId="15" dataDxfId="45"/>
    <tableColumn id="16" xr3:uid="{C5A723D3-BF6E-435B-AF30-4DBCA36E0B1D}" uniqueName="16" name="volume" queryTableFieldId="16" dataDxfId="44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43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42"/>
    <tableColumn id="20" xr3:uid="{81BE4AA3-99D4-451C-BBF4-4FFC26E8A623}" uniqueName="20" name="Event" queryTableFieldId="20" dataDxfId="41"/>
    <tableColumn id="21" xr3:uid="{B1E6BBBB-3E93-4835-80FB-6D5B284F9787}" uniqueName="21" name="ProductivityProblem" queryTableFieldId="21" dataDxfId="40"/>
    <tableColumn id="26" xr3:uid="{821806F7-8309-4199-A277-9CC3C7811D38}" uniqueName="26" name="Web_AccountingPeriod.value" queryTableFieldId="53"/>
  </tableColumns>
  <tableStyleInfo name="TableStyleMedium6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I9" tableType="queryTable" totalsRowShown="0">
  <autoFilter ref="A1:I9" xr:uid="{4BE45C07-AB34-411F-8486-9C501AB0847D}"/>
  <tableColumns count="9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 dataDxfId="39"/>
    <tableColumn id="4" xr3:uid="{4A20C046-4470-4F64-B0FC-FEA9F140396E}" uniqueName="4" name="pit_id" queryTableFieldId="4" dataDxfId="38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37"/>
    <tableColumn id="3" xr3:uid="{0DDE5EEB-C2C8-41B5-B87A-867A85AB3BD6}" uniqueName="3" name="Web_AccountingPeriod.value" queryTableFieldId="16"/>
    <tableColumn id="5" xr3:uid="{FA19D61D-FE43-449E-8E1B-4C3466953480}" uniqueName="5" name="Activity_HardCode" queryTableFieldId="18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36"/>
    <tableColumn id="2" xr3:uid="{00000000-0010-0000-2100-000002000000}" name="Weekly" dataDxfId="35"/>
    <tableColumn id="3" xr3:uid="{00000000-0010-0000-2100-000003000000}" name="Date" dataDxfId="34"/>
    <tableColumn id="4" xr3:uid="{00000000-0010-0000-2100-000004000000}" name="Code Number" dataDxfId="33"/>
    <tableColumn id="5" xr3:uid="{00000000-0010-0000-2100-000005000000}" name="Type Unit" dataDxfId="32"/>
    <tableColumn id="6" xr3:uid="{00000000-0010-0000-2100-000006000000}" name="Spek Unit" dataDxfId="31"/>
    <tableColumn id="7" xr3:uid="{00000000-0010-0000-2100-000007000000}" name="Shift" dataDxfId="30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29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28"/>
    <tableColumn id="2" xr3:uid="{00000000-0010-0000-2200-000002000000}" name="Weekly" dataDxfId="27"/>
    <tableColumn id="3" xr3:uid="{00000000-0010-0000-2200-000003000000}" name="Date" dataDxfId="26"/>
    <tableColumn id="4" xr3:uid="{00000000-0010-0000-2200-000004000000}" name="Code Number" dataDxfId="25"/>
    <tableColumn id="5" xr3:uid="{00000000-0010-0000-2200-000005000000}" name="Type Unit" dataDxfId="24"/>
    <tableColumn id="6" xr3:uid="{00000000-0010-0000-2200-000006000000}" name="Shift" dataDxfId="23"/>
    <tableColumn id="7" xr3:uid="{00000000-0010-0000-2200-000007000000}" name="Code" dataDxfId="22"/>
    <tableColumn id="8" xr3:uid="{00000000-0010-0000-2200-000008000000}" name="Hour" dataDxfId="21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20"/>
    <tableColumn id="81" xr3:uid="{00000000-0010-0000-2200-000051000000}" name="DS" dataDxfId="19"/>
    <tableColumn id="82" xr3:uid="{00000000-0010-0000-2200-000052000000}" name="DOB" dataDxfId="18"/>
    <tableColumn id="83" xr3:uid="{00000000-0010-0000-2200-000053000000}" name="Mat.OB" dataDxfId="17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16"/>
    <tableColumn id="93" xr3:uid="{00000000-0010-0000-2200-00005D000000}" name="Rit.Co.V"/>
    <tableColumn id="94" xr3:uid="{00000000-0010-0000-2200-00005E000000}" name="Seam" dataDxfId="15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14"/>
    <tableColumn id="2" xr3:uid="{00000000-0010-0000-2300-000002000000}" name="Weekly" dataDxfId="13"/>
    <tableColumn id="3" xr3:uid="{00000000-0010-0000-2300-000003000000}" name="Date" dataDxfId="12"/>
    <tableColumn id="4" xr3:uid="{00000000-0010-0000-2300-000004000000}" name="Code Number" dataDxfId="11"/>
    <tableColumn id="5" xr3:uid="{00000000-0010-0000-2300-000005000000}" name="Type Unit" dataDxfId="10"/>
    <tableColumn id="6" xr3:uid="{00000000-0010-0000-2300-000006000000}" name="Shift" dataDxfId="9"/>
    <tableColumn id="7" xr3:uid="{00000000-0010-0000-2300-000007000000}" name="Code" dataDxfId="8"/>
    <tableColumn id="8" xr3:uid="{00000000-0010-0000-2300-000008000000}" name="Hour" dataDxfId="7"/>
    <tableColumn id="9" xr3:uid="{00000000-0010-0000-2300-000009000000}" name="Location Pit" dataDxfId="6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13" Type="http://schemas.openxmlformats.org/officeDocument/2006/relationships/table" Target="../tables/table54.xml"/><Relationship Id="rId18" Type="http://schemas.openxmlformats.org/officeDocument/2006/relationships/table" Target="../tables/table5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12" Type="http://schemas.openxmlformats.org/officeDocument/2006/relationships/table" Target="../tables/table53.xml"/><Relationship Id="rId17" Type="http://schemas.openxmlformats.org/officeDocument/2006/relationships/table" Target="../tables/table58.xml"/><Relationship Id="rId2" Type="http://schemas.openxmlformats.org/officeDocument/2006/relationships/table" Target="../tables/table43.xml"/><Relationship Id="rId16" Type="http://schemas.openxmlformats.org/officeDocument/2006/relationships/table" Target="../tables/table57.xml"/><Relationship Id="rId1" Type="http://schemas.openxmlformats.org/officeDocument/2006/relationships/table" Target="../tables/table42.xml"/><Relationship Id="rId6" Type="http://schemas.openxmlformats.org/officeDocument/2006/relationships/table" Target="../tables/table47.xml"/><Relationship Id="rId11" Type="http://schemas.openxmlformats.org/officeDocument/2006/relationships/table" Target="../tables/table52.xml"/><Relationship Id="rId5" Type="http://schemas.openxmlformats.org/officeDocument/2006/relationships/table" Target="../tables/table46.xml"/><Relationship Id="rId15" Type="http://schemas.openxmlformats.org/officeDocument/2006/relationships/table" Target="../tables/table5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Relationship Id="rId14" Type="http://schemas.openxmlformats.org/officeDocument/2006/relationships/table" Target="../tables/table5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BD7" zoomScaleNormal="100" workbookViewId="0">
      <selection activeCell="CT19" sqref="CT19"/>
    </sheetView>
  </sheetViews>
  <sheetFormatPr defaultColWidth="8.88671875" defaultRowHeight="10.199999999999999" x14ac:dyDescent="0.2"/>
  <cols>
    <col min="1" max="1" width="0.33203125" style="13" customWidth="1"/>
    <col min="2" max="2" width="11" style="13" bestFit="1" customWidth="1"/>
    <col min="3" max="3" width="9.109375" style="13" customWidth="1"/>
    <col min="4" max="4" width="10.44140625" style="13" bestFit="1" customWidth="1"/>
    <col min="5" max="7" width="9.109375" style="13" customWidth="1"/>
    <col min="8" max="8" width="11.33203125" style="13" bestFit="1" customWidth="1"/>
    <col min="9" max="9" width="11.88671875" style="14" bestFit="1" customWidth="1"/>
    <col min="10" max="10" width="11.88671875" style="14" customWidth="1"/>
    <col min="11" max="12" width="9.88671875" style="15" customWidth="1"/>
    <col min="13" max="16" width="9.88671875" style="13" customWidth="1"/>
    <col min="17" max="17" width="9.88671875" style="15" customWidth="1"/>
    <col min="18" max="18" width="10.6640625" style="15" bestFit="1" customWidth="1"/>
    <col min="19" max="19" width="10.6640625" style="15" customWidth="1"/>
    <col min="20" max="20" width="0.33203125" style="13" customWidth="1"/>
    <col min="21" max="21" width="6.88671875" style="15" bestFit="1" customWidth="1"/>
    <col min="22" max="22" width="15.6640625" style="16" bestFit="1" customWidth="1"/>
    <col min="23" max="23" width="13" style="15" bestFit="1" customWidth="1"/>
    <col min="24" max="24" width="12.88671875" style="15" bestFit="1" customWidth="1"/>
    <col min="25" max="25" width="0.33203125" style="13" customWidth="1"/>
    <col min="26" max="26" width="11" style="15" bestFit="1" customWidth="1"/>
    <col min="27" max="27" width="11" style="17" customWidth="1"/>
    <col min="28" max="28" width="0.33203125" style="13" customWidth="1"/>
    <col min="29" max="29" width="7.44140625" style="13" bestFit="1" customWidth="1"/>
    <col min="30" max="30" width="12.6640625" style="15" bestFit="1" customWidth="1"/>
    <col min="31" max="31" width="0.33203125" style="13" customWidth="1"/>
    <col min="32" max="33" width="4.6640625" style="15" customWidth="1"/>
    <col min="34" max="35" width="8.88671875" style="15"/>
    <col min="36" max="36" width="6.33203125" style="13" customWidth="1"/>
    <col min="37" max="37" width="6.109375" style="13" customWidth="1"/>
    <col min="38" max="38" width="0.33203125" style="13" customWidth="1"/>
    <col min="39" max="39" width="10.109375" style="13" customWidth="1"/>
    <col min="40" max="40" width="10.88671875" style="18" bestFit="1" customWidth="1"/>
    <col min="41" max="41" width="12.88671875" style="18" bestFit="1" customWidth="1"/>
    <col min="42" max="42" width="8.88671875" style="18"/>
    <col min="43" max="43" width="9.6640625" style="18" customWidth="1"/>
    <col min="44" max="44" width="11" style="18" customWidth="1"/>
    <col min="45" max="45" width="10.88671875" style="18" customWidth="1"/>
    <col min="46" max="51" width="7.33203125" style="18" customWidth="1"/>
    <col min="52" max="52" width="0.33203125" style="13" customWidth="1"/>
    <col min="53" max="53" width="10.33203125" style="18" customWidth="1"/>
    <col min="54" max="54" width="23" style="18" bestFit="1" customWidth="1"/>
    <col min="55" max="55" width="31.33203125" style="18" bestFit="1" customWidth="1"/>
    <col min="56" max="56" width="12.6640625" style="18" bestFit="1" customWidth="1"/>
    <col min="57" max="57" width="0.6640625" style="13" customWidth="1"/>
    <col min="58" max="58" width="13.109375" style="15" customWidth="1"/>
    <col min="59" max="59" width="0.6640625" style="13" customWidth="1"/>
    <col min="60" max="60" width="11" style="15" customWidth="1"/>
    <col min="61" max="61" width="0.6640625" style="13" customWidth="1"/>
    <col min="62" max="62" width="12.44140625" style="15" bestFit="1" customWidth="1"/>
    <col min="63" max="63" width="11.44140625" style="15" customWidth="1"/>
    <col min="64" max="64" width="12" style="15" customWidth="1"/>
    <col min="65" max="65" width="11.33203125" style="15" customWidth="1"/>
    <col min="66" max="66" width="0.6640625" style="13" customWidth="1"/>
    <col min="67" max="68" width="8.88671875" style="13"/>
    <col min="69" max="69" width="11.44140625" style="13" customWidth="1"/>
    <col min="70" max="70" width="1.6640625" style="13" customWidth="1"/>
    <col min="71" max="71" width="21.6640625" style="13" bestFit="1" customWidth="1"/>
    <col min="72" max="72" width="10.44140625" style="13" bestFit="1" customWidth="1"/>
    <col min="73" max="73" width="24.88671875" style="13" bestFit="1" customWidth="1"/>
    <col min="74" max="74" width="11.6640625" style="13" bestFit="1" customWidth="1"/>
    <col min="75" max="75" width="1.6640625" style="13" customWidth="1"/>
    <col min="76" max="76" width="20.6640625" style="13" bestFit="1" customWidth="1"/>
    <col min="77" max="77" width="2" style="13" customWidth="1"/>
    <col min="78" max="78" width="9.6640625" style="13" bestFit="1" customWidth="1"/>
    <col min="79" max="79" width="8.88671875" style="13"/>
    <col min="80" max="80" width="3.6640625" style="13" customWidth="1"/>
    <col min="81" max="81" width="14.109375" style="15" customWidth="1"/>
    <col min="82" max="82" width="19.88671875" style="15" bestFit="1" customWidth="1"/>
    <col min="83" max="83" width="27.5546875" style="15" bestFit="1" customWidth="1"/>
    <col min="84" max="84" width="16" style="13" bestFit="1" customWidth="1"/>
    <col min="85" max="85" width="1.33203125" style="13" customWidth="1"/>
    <col min="86" max="86" width="11.6640625" style="13" customWidth="1"/>
    <col min="87" max="87" width="19.33203125" style="13" bestFit="1" customWidth="1"/>
    <col min="88" max="88" width="1.6640625" style="13" customWidth="1"/>
    <col min="89" max="89" width="6.44140625" style="13" customWidth="1"/>
    <col min="90" max="90" width="25.6640625" style="13" bestFit="1" customWidth="1"/>
    <col min="91" max="91" width="1.6640625" style="13" customWidth="1"/>
    <col min="92" max="92" width="6.88671875" style="15" customWidth="1"/>
    <col min="93" max="93" width="22.5546875" style="15" bestFit="1" customWidth="1"/>
    <col min="94" max="94" width="21" style="15" customWidth="1"/>
    <col min="95" max="95" width="1.6640625" style="13" customWidth="1"/>
    <col min="96" max="96" width="6.5546875" style="13" customWidth="1"/>
    <col min="97" max="97" width="20.6640625" style="13" bestFit="1" customWidth="1"/>
    <col min="98" max="104" width="8.88671875" style="13"/>
    <col min="105" max="105" width="15.33203125" style="13" bestFit="1" customWidth="1"/>
    <col min="106" max="106" width="13.88671875" style="13" bestFit="1" customWidth="1"/>
    <col min="107" max="108" width="8.88671875" style="13"/>
    <col min="109" max="109" width="15.33203125" style="13" bestFit="1" customWidth="1"/>
    <col min="110" max="110" width="13.88671875" style="13" bestFit="1" customWidth="1"/>
    <col min="111" max="16384" width="8.8867187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x14ac:dyDescent="0.2">
      <c r="B3" s="19" t="s">
        <v>210</v>
      </c>
      <c r="C3" s="19" t="s">
        <v>211</v>
      </c>
      <c r="G3" s="13" t="s">
        <v>212</v>
      </c>
      <c r="Z3" s="19"/>
      <c r="AA3" s="20"/>
    </row>
    <row r="4" spans="2:110" x14ac:dyDescent="0.2">
      <c r="B4" s="19"/>
      <c r="C4" s="19"/>
      <c r="Z4" s="19"/>
      <c r="AA4" s="20"/>
      <c r="AH4" s="15" t="s">
        <v>536</v>
      </c>
    </row>
    <row r="5" spans="2:110" x14ac:dyDescent="0.2">
      <c r="B5" s="205" t="s">
        <v>213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7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8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4" x14ac:dyDescent="0.3">
      <c r="B7" s="208" t="s">
        <v>2</v>
      </c>
      <c r="C7" s="208"/>
      <c r="D7" s="208"/>
      <c r="E7" s="208"/>
      <c r="F7" s="208"/>
      <c r="G7" s="22" t="s">
        <v>214</v>
      </c>
      <c r="H7" s="208" t="s">
        <v>215</v>
      </c>
      <c r="I7" s="208" t="s">
        <v>216</v>
      </c>
      <c r="J7" s="208" t="s">
        <v>2</v>
      </c>
      <c r="K7" s="209" t="s">
        <v>217</v>
      </c>
      <c r="L7" s="209"/>
      <c r="M7" s="209"/>
      <c r="N7" s="209"/>
      <c r="O7" s="209"/>
      <c r="P7" s="209"/>
      <c r="Q7" s="209" t="s">
        <v>0</v>
      </c>
      <c r="R7" s="209"/>
      <c r="S7" s="209"/>
      <c r="U7" s="215" t="s">
        <v>214</v>
      </c>
      <c r="V7" s="215"/>
      <c r="W7" s="215"/>
      <c r="X7" s="215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210" t="s">
        <v>218</v>
      </c>
      <c r="AN7" s="210" t="s">
        <v>0</v>
      </c>
      <c r="AO7" s="210"/>
      <c r="AP7" s="210"/>
      <c r="AQ7" s="210"/>
      <c r="AR7" s="210"/>
      <c r="AS7" s="210"/>
      <c r="AT7" s="212" t="s">
        <v>219</v>
      </c>
      <c r="AU7" s="212"/>
      <c r="AV7" s="212"/>
      <c r="AW7" s="212"/>
      <c r="AX7" s="212"/>
      <c r="AY7" s="212"/>
      <c r="BA7" s="213" t="s">
        <v>220</v>
      </c>
      <c r="BB7" s="213"/>
      <c r="BC7" s="213"/>
      <c r="BD7" s="213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1123</v>
      </c>
      <c r="DB7" s="145">
        <v>12</v>
      </c>
    </row>
    <row r="8" spans="2:110" ht="10.8" thickBot="1" x14ac:dyDescent="0.25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208"/>
      <c r="I8" s="208"/>
      <c r="J8" s="208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209" t="s">
        <v>228</v>
      </c>
      <c r="R8" s="209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214" t="str">
        <f>+'Data Input Progress'!G9</f>
        <v>August 2021</v>
      </c>
      <c r="AD8" s="214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211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213"/>
      <c r="BB8" s="213"/>
      <c r="BC8" s="213"/>
      <c r="BD8" s="213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4" x14ac:dyDescent="0.3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1124</v>
      </c>
      <c r="DB9" t="s">
        <v>1125</v>
      </c>
      <c r="DC9"/>
      <c r="DD9"/>
      <c r="DE9" t="s">
        <v>1124</v>
      </c>
      <c r="DF9" t="s">
        <v>1125</v>
      </c>
    </row>
    <row r="10" spans="2:110" ht="14.4" x14ac:dyDescent="0.3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44409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877</v>
      </c>
      <c r="CD10" s="15" t="s">
        <v>878</v>
      </c>
      <c r="CE10" s="15" t="str">
        <f>+CC10&amp;"-"&amp;CD10</f>
        <v>50721059-Hotman Sinaga</v>
      </c>
      <c r="CF10" s="15" t="s">
        <v>878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1126</v>
      </c>
      <c r="DC10"/>
      <c r="DD10"/>
      <c r="DE10" t="s">
        <v>0</v>
      </c>
      <c r="DF10" t="s">
        <v>1126</v>
      </c>
    </row>
    <row r="11" spans="2:110" ht="14.4" x14ac:dyDescent="0.3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44410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879</v>
      </c>
      <c r="CD11" s="15" t="s">
        <v>880</v>
      </c>
      <c r="CE11" s="15" t="str">
        <f t="shared" ref="CE11:CE19" si="29">+CC11&amp;"-"&amp;CD11</f>
        <v>50721060-Andi Amiluddin</v>
      </c>
      <c r="CF11" s="15" t="s">
        <v>880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1126</v>
      </c>
      <c r="DC11"/>
      <c r="DD11"/>
      <c r="DE11" t="s">
        <v>1</v>
      </c>
      <c r="DF11" t="s">
        <v>1126</v>
      </c>
    </row>
    <row r="12" spans="2:110" ht="14.4" x14ac:dyDescent="0.3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44411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881</v>
      </c>
      <c r="CD12" s="15" t="s">
        <v>882</v>
      </c>
      <c r="CE12" s="15" t="str">
        <f t="shared" si="29"/>
        <v>50721061-Jefrianus Yoseph Budu</v>
      </c>
      <c r="CF12" s="15" t="s">
        <v>882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1127</v>
      </c>
      <c r="DC12"/>
      <c r="DD12"/>
      <c r="DE12" t="s">
        <v>7</v>
      </c>
      <c r="DF12" t="s">
        <v>1127</v>
      </c>
    </row>
    <row r="13" spans="2:110" ht="14.4" x14ac:dyDescent="0.3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44412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883</v>
      </c>
      <c r="CD13" s="15" t="s">
        <v>884</v>
      </c>
      <c r="CE13" s="15" t="str">
        <f t="shared" si="29"/>
        <v xml:space="preserve">50721062-Aslan </v>
      </c>
      <c r="CF13" s="15" t="s">
        <v>884</v>
      </c>
      <c r="CH13" s="106" t="s">
        <v>873</v>
      </c>
      <c r="CI13" s="106" t="s">
        <v>873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1126</v>
      </c>
      <c r="DC13"/>
      <c r="DD13"/>
      <c r="DE13" t="s">
        <v>8</v>
      </c>
      <c r="DF13" t="s">
        <v>1126</v>
      </c>
    </row>
    <row r="14" spans="2:110" ht="14.4" x14ac:dyDescent="0.3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44413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885</v>
      </c>
      <c r="CD14" s="15" t="s">
        <v>886</v>
      </c>
      <c r="CE14" s="15" t="str">
        <f t="shared" si="29"/>
        <v>50721063-Murdani</v>
      </c>
      <c r="CF14" s="15" t="s">
        <v>886</v>
      </c>
      <c r="CH14" s="15" t="s">
        <v>876</v>
      </c>
      <c r="CI14" s="15" t="s">
        <v>876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1127</v>
      </c>
      <c r="DC14"/>
      <c r="DD14"/>
      <c r="DE14" t="s">
        <v>103</v>
      </c>
      <c r="DF14" t="s">
        <v>1127</v>
      </c>
    </row>
    <row r="15" spans="2:110" ht="14.4" x14ac:dyDescent="0.3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44414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887</v>
      </c>
      <c r="CD15" s="15" t="s">
        <v>888</v>
      </c>
      <c r="CE15" s="15" t="str">
        <f t="shared" si="29"/>
        <v>50721064-Sahroni</v>
      </c>
      <c r="CF15" s="15" t="s">
        <v>888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1127</v>
      </c>
      <c r="DC15"/>
      <c r="DD15"/>
      <c r="DE15" t="s">
        <v>232</v>
      </c>
      <c r="DF15" t="s">
        <v>1127</v>
      </c>
    </row>
    <row r="16" spans="2:110" ht="14.4" x14ac:dyDescent="0.3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44415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889</v>
      </c>
      <c r="CD16" s="15" t="s">
        <v>871</v>
      </c>
      <c r="CE16" s="15" t="str">
        <f t="shared" si="29"/>
        <v>50721065-Ali Usman</v>
      </c>
      <c r="CF16" s="15" t="s">
        <v>871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1127</v>
      </c>
      <c r="DC16"/>
      <c r="DD16"/>
      <c r="DE16" t="s">
        <v>550</v>
      </c>
      <c r="DF16" t="s">
        <v>1127</v>
      </c>
    </row>
    <row r="17" spans="2:110" ht="14.4" x14ac:dyDescent="0.3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44416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890</v>
      </c>
      <c r="CD17" s="15" t="s">
        <v>891</v>
      </c>
      <c r="CE17" s="15" t="str">
        <f t="shared" si="29"/>
        <v>50721066-Theopilus Yansen</v>
      </c>
      <c r="CF17" s="15" t="s">
        <v>891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1126</v>
      </c>
      <c r="DC17"/>
      <c r="DD17"/>
      <c r="DE17" t="s">
        <v>531</v>
      </c>
      <c r="DF17" t="s">
        <v>1126</v>
      </c>
    </row>
    <row r="18" spans="2:110" ht="14.4" x14ac:dyDescent="0.3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44417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892</v>
      </c>
      <c r="CD18" s="15" t="s">
        <v>893</v>
      </c>
      <c r="CE18" s="15" t="str">
        <f t="shared" si="29"/>
        <v>50721067-Musliadi</v>
      </c>
      <c r="CF18" s="15" t="s">
        <v>893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1126</v>
      </c>
      <c r="DC18"/>
      <c r="DD18"/>
      <c r="DE18" t="s">
        <v>38</v>
      </c>
      <c r="DF18" t="s">
        <v>1126</v>
      </c>
    </row>
    <row r="19" spans="2:110" ht="14.4" x14ac:dyDescent="0.3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44418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894</v>
      </c>
      <c r="CD19" s="15" t="s">
        <v>895</v>
      </c>
      <c r="CE19" s="15" t="str">
        <f t="shared" si="29"/>
        <v>50721068-M. Dariyus</v>
      </c>
      <c r="CF19" s="15" t="s">
        <v>895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1126</v>
      </c>
      <c r="DC19"/>
      <c r="DD19"/>
      <c r="DE19" t="s">
        <v>549</v>
      </c>
      <c r="DF19" t="s">
        <v>1126</v>
      </c>
    </row>
    <row r="20" spans="2:110" ht="14.4" x14ac:dyDescent="0.3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44419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896</v>
      </c>
      <c r="CE20" s="15" t="str">
        <f t="shared" ref="CE20:CE27" si="30">+CC20&amp;"-"&amp;CD20</f>
        <v>50721069-Suwoko</v>
      </c>
      <c r="CF20" s="15" t="s">
        <v>896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1126</v>
      </c>
      <c r="DC20"/>
      <c r="DD20"/>
      <c r="DE20" t="s">
        <v>542</v>
      </c>
      <c r="DF20" t="s">
        <v>1126</v>
      </c>
    </row>
    <row r="21" spans="2:110" ht="14.4" x14ac:dyDescent="0.3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44420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897</v>
      </c>
      <c r="CD21" s="15" t="s">
        <v>898</v>
      </c>
      <c r="CE21" s="15" t="str">
        <f t="shared" si="30"/>
        <v>50721070-Bayu Yuwono</v>
      </c>
      <c r="CF21" s="15" t="s">
        <v>898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1126</v>
      </c>
      <c r="DC21"/>
      <c r="DD21"/>
      <c r="DE21" t="s">
        <v>17</v>
      </c>
      <c r="DF21" t="s">
        <v>1126</v>
      </c>
    </row>
    <row r="22" spans="2:110" ht="14.4" x14ac:dyDescent="0.3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44421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899</v>
      </c>
      <c r="CD22" s="15" t="s">
        <v>900</v>
      </c>
      <c r="CE22" s="15" t="str">
        <f t="shared" si="30"/>
        <v>50721071-Ignasius Longginus</v>
      </c>
      <c r="CF22" s="15" t="s">
        <v>900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1126</v>
      </c>
      <c r="DC22"/>
      <c r="DD22"/>
      <c r="DE22" t="s">
        <v>18</v>
      </c>
      <c r="DF22" t="s">
        <v>1126</v>
      </c>
    </row>
    <row r="23" spans="2:110" ht="14.4" x14ac:dyDescent="0.3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44422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901</v>
      </c>
      <c r="CD23" s="15" t="s">
        <v>902</v>
      </c>
      <c r="CE23" s="15" t="str">
        <f t="shared" si="30"/>
        <v>50721072-Sali</v>
      </c>
      <c r="CF23" s="15" t="s">
        <v>902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1126</v>
      </c>
      <c r="DC23"/>
      <c r="DD23"/>
      <c r="DE23" t="s">
        <v>541</v>
      </c>
      <c r="DF23" t="s">
        <v>1126</v>
      </c>
    </row>
    <row r="24" spans="2:110" ht="14.4" x14ac:dyDescent="0.3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44423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903</v>
      </c>
      <c r="CD24" s="15" t="s">
        <v>904</v>
      </c>
      <c r="CE24" s="15" t="str">
        <f t="shared" si="30"/>
        <v>50721073-Matius Taruk Allo</v>
      </c>
      <c r="CF24" s="15" t="s">
        <v>904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1126</v>
      </c>
      <c r="DC24"/>
      <c r="DD24"/>
      <c r="DE24" t="s">
        <v>540</v>
      </c>
      <c r="DF24" t="s">
        <v>1126</v>
      </c>
    </row>
    <row r="25" spans="2:110" ht="14.4" x14ac:dyDescent="0.3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44424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905</v>
      </c>
      <c r="CD25" s="15" t="s">
        <v>906</v>
      </c>
      <c r="CE25" s="15" t="str">
        <f t="shared" si="30"/>
        <v>50721074-Imam Safi'i</v>
      </c>
      <c r="CF25" s="15" t="s">
        <v>906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1126</v>
      </c>
      <c r="DC25"/>
      <c r="DD25"/>
      <c r="DE25" t="s">
        <v>555</v>
      </c>
      <c r="DF25" t="s">
        <v>1126</v>
      </c>
    </row>
    <row r="26" spans="2:110" ht="14.4" x14ac:dyDescent="0.3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44425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907</v>
      </c>
      <c r="CD26" s="15" t="s">
        <v>908</v>
      </c>
      <c r="CE26" s="15" t="str">
        <f t="shared" si="30"/>
        <v>50621042-Saiful</v>
      </c>
      <c r="CF26" s="15" t="s">
        <v>908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1126</v>
      </c>
      <c r="DC26"/>
      <c r="DD26"/>
      <c r="DE26" t="s">
        <v>556</v>
      </c>
      <c r="DF26" t="s">
        <v>1126</v>
      </c>
    </row>
    <row r="27" spans="2:110" ht="14.4" x14ac:dyDescent="0.3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44426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909</v>
      </c>
      <c r="CE27" s="15" t="str">
        <f t="shared" si="30"/>
        <v>50121015-M.Erik Hidayatul Arifin</v>
      </c>
      <c r="CF27" s="15" t="s">
        <v>909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1126</v>
      </c>
      <c r="DC27"/>
      <c r="DD27"/>
    </row>
    <row r="28" spans="2:110" ht="14.4" x14ac:dyDescent="0.3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44427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910</v>
      </c>
      <c r="CD28" s="106" t="s">
        <v>911</v>
      </c>
      <c r="CE28" s="106" t="str">
        <f t="shared" ref="CE28:CE33" si="31">+CC28&amp;"-"&amp;CD28</f>
        <v>50621045-Jumri</v>
      </c>
      <c r="CF28" s="106" t="s">
        <v>911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1126</v>
      </c>
      <c r="DC28"/>
      <c r="DD28"/>
      <c r="DE28"/>
      <c r="DF28"/>
    </row>
    <row r="29" spans="2:110" ht="14.4" x14ac:dyDescent="0.3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44428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912</v>
      </c>
      <c r="CD29" s="106" t="s">
        <v>913</v>
      </c>
      <c r="CE29" s="106" t="str">
        <f t="shared" si="31"/>
        <v>50721082-Dwiki Darmawan Saputro</v>
      </c>
      <c r="CF29" s="106" t="s">
        <v>913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1126</v>
      </c>
      <c r="DC29"/>
      <c r="DD29"/>
      <c r="DE29"/>
      <c r="DF29"/>
    </row>
    <row r="30" spans="2:110" ht="14.4" x14ac:dyDescent="0.3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44429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980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914</v>
      </c>
      <c r="CD30" s="106" t="s">
        <v>915</v>
      </c>
      <c r="CE30" s="106" t="str">
        <f t="shared" si="31"/>
        <v>50721083-Yohanis Vinsensius Pati</v>
      </c>
      <c r="CF30" s="106" t="s">
        <v>915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1126</v>
      </c>
      <c r="DC30"/>
      <c r="DD30"/>
      <c r="DE30"/>
      <c r="DF30"/>
    </row>
    <row r="31" spans="2:110" ht="14.4" x14ac:dyDescent="0.3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44430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981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916</v>
      </c>
      <c r="CD31" s="106" t="s">
        <v>917</v>
      </c>
      <c r="CE31" s="106" t="str">
        <f t="shared" si="31"/>
        <v>50721084-M. Abdul Solik</v>
      </c>
      <c r="CF31" s="106" t="s">
        <v>917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1126</v>
      </c>
      <c r="DC31"/>
      <c r="DD31"/>
      <c r="DE31"/>
      <c r="DF31"/>
    </row>
    <row r="32" spans="2:110" ht="14.4" x14ac:dyDescent="0.3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44431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918</v>
      </c>
      <c r="CD32" s="106" t="s">
        <v>919</v>
      </c>
      <c r="CE32" s="106" t="str">
        <f t="shared" si="31"/>
        <v>50721085-Mursyidin Nur</v>
      </c>
      <c r="CF32" s="106" t="s">
        <v>919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1126</v>
      </c>
      <c r="DC32"/>
      <c r="DD32"/>
      <c r="DE32"/>
      <c r="DF32"/>
    </row>
    <row r="33" spans="2:110" ht="14.4" x14ac:dyDescent="0.3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44432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979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920</v>
      </c>
      <c r="CD33" s="106" t="s">
        <v>921</v>
      </c>
      <c r="CE33" s="106" t="str">
        <f t="shared" si="31"/>
        <v>50721086-Marselinus Rudi Pasangka</v>
      </c>
      <c r="CF33" s="106" t="s">
        <v>921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1126</v>
      </c>
      <c r="DC33"/>
      <c r="DD33"/>
      <c r="DE33"/>
      <c r="DF33"/>
    </row>
    <row r="34" spans="2:110" ht="14.4" x14ac:dyDescent="0.3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44433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922</v>
      </c>
      <c r="CD34" s="15" t="s">
        <v>923</v>
      </c>
      <c r="CE34" s="15" t="str">
        <f t="shared" ref="CE34:CE40" si="32">+CC34&amp;"-"&amp;CD34</f>
        <v>50721087-Inra Sanjaya</v>
      </c>
      <c r="CF34" s="15" t="s">
        <v>923</v>
      </c>
      <c r="CO34" s="18"/>
      <c r="CW34"/>
      <c r="CX34"/>
      <c r="CY34"/>
      <c r="CZ34"/>
      <c r="DA34" t="s">
        <v>105</v>
      </c>
      <c r="DB34" t="s">
        <v>1126</v>
      </c>
      <c r="DC34"/>
      <c r="DD34"/>
      <c r="DE34"/>
      <c r="DF34"/>
    </row>
    <row r="35" spans="2:110" ht="14.4" x14ac:dyDescent="0.3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44434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924</v>
      </c>
      <c r="CD35" s="15" t="s">
        <v>925</v>
      </c>
      <c r="CE35" s="15" t="str">
        <f t="shared" si="32"/>
        <v>50721088-Thomas Rianto Tandi Soma</v>
      </c>
      <c r="CF35" s="15" t="s">
        <v>925</v>
      </c>
      <c r="CW35"/>
      <c r="CX35"/>
      <c r="CY35"/>
      <c r="CZ35"/>
      <c r="DA35" t="s">
        <v>108</v>
      </c>
      <c r="DB35" t="s">
        <v>1126</v>
      </c>
      <c r="DC35"/>
      <c r="DD35"/>
      <c r="DE35"/>
      <c r="DF35"/>
    </row>
    <row r="36" spans="2:110" ht="14.4" x14ac:dyDescent="0.3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44435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926</v>
      </c>
      <c r="CD36" s="15" t="s">
        <v>927</v>
      </c>
      <c r="CE36" s="15" t="str">
        <f t="shared" si="32"/>
        <v>50721089-Ali Said</v>
      </c>
      <c r="CF36" s="15" t="s">
        <v>927</v>
      </c>
      <c r="CW36"/>
      <c r="CX36"/>
      <c r="CY36"/>
      <c r="CZ36"/>
      <c r="DA36" t="s">
        <v>12</v>
      </c>
      <c r="DB36" t="s">
        <v>1126</v>
      </c>
      <c r="DC36"/>
      <c r="DD36"/>
      <c r="DE36"/>
      <c r="DF36"/>
    </row>
    <row r="37" spans="2:110" ht="14.4" x14ac:dyDescent="0.3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44436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928</v>
      </c>
      <c r="CD37" s="15" t="s">
        <v>929</v>
      </c>
      <c r="CE37" s="15" t="str">
        <f t="shared" si="32"/>
        <v>50721090-Tri Wijaya Subekti</v>
      </c>
      <c r="CF37" s="15" t="s">
        <v>929</v>
      </c>
      <c r="CO37" s="13"/>
      <c r="CP37" s="13"/>
      <c r="CW37"/>
      <c r="CX37"/>
      <c r="CY37"/>
      <c r="CZ37"/>
      <c r="DA37" t="s">
        <v>534</v>
      </c>
      <c r="DB37" t="s">
        <v>1127</v>
      </c>
      <c r="DC37"/>
      <c r="DD37"/>
      <c r="DE37"/>
      <c r="DF37"/>
    </row>
    <row r="38" spans="2:110" ht="14.4" x14ac:dyDescent="0.3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44437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930</v>
      </c>
      <c r="CD38" s="15" t="s">
        <v>931</v>
      </c>
      <c r="CE38" s="15" t="str">
        <f t="shared" si="32"/>
        <v>50721091-Germanus Juprianto Dara</v>
      </c>
      <c r="CF38" s="15" t="s">
        <v>931</v>
      </c>
      <c r="CW38"/>
      <c r="CX38"/>
      <c r="CY38"/>
      <c r="CZ38"/>
      <c r="DA38" t="s">
        <v>535</v>
      </c>
      <c r="DB38" t="s">
        <v>1126</v>
      </c>
      <c r="DC38"/>
      <c r="DD38"/>
      <c r="DE38"/>
      <c r="DF38"/>
    </row>
    <row r="39" spans="2:110" ht="14.4" x14ac:dyDescent="0.3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44438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932</v>
      </c>
      <c r="CD39" s="15" t="s">
        <v>933</v>
      </c>
      <c r="CE39" s="15" t="str">
        <f t="shared" si="32"/>
        <v>50721092-Petrus Ringgi</v>
      </c>
      <c r="CF39" s="15" t="s">
        <v>933</v>
      </c>
      <c r="CW39"/>
      <c r="CX39"/>
      <c r="CY39"/>
      <c r="CZ39"/>
      <c r="DA39" t="s">
        <v>1060</v>
      </c>
      <c r="DB39" t="s">
        <v>1127</v>
      </c>
      <c r="DC39"/>
      <c r="DD39"/>
      <c r="DE39"/>
      <c r="DF39"/>
    </row>
    <row r="40" spans="2:110" ht="14.4" x14ac:dyDescent="0.3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44439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934</v>
      </c>
      <c r="CD40" s="15" t="s">
        <v>935</v>
      </c>
      <c r="CE40" s="15" t="str">
        <f t="shared" si="32"/>
        <v>50721093-Usman Kao</v>
      </c>
      <c r="CF40" s="15" t="s">
        <v>935</v>
      </c>
      <c r="CW40"/>
      <c r="CX40"/>
      <c r="CY40"/>
      <c r="CZ40"/>
      <c r="DA40" t="s">
        <v>264</v>
      </c>
      <c r="DB40" t="s">
        <v>1127</v>
      </c>
      <c r="DC40"/>
      <c r="DD40"/>
      <c r="DE40"/>
      <c r="DF40"/>
    </row>
    <row r="41" spans="2:110" ht="14.4" x14ac:dyDescent="0.3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Week_31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936</v>
      </c>
      <c r="CD41" s="15" t="s">
        <v>937</v>
      </c>
      <c r="CE41" s="15" t="str">
        <f t="shared" ref="CE41:CE47" si="33">+CC41&amp;"-"&amp;CD41</f>
        <v>50721075-Mohammad Fendik</v>
      </c>
      <c r="CF41" s="15" t="s">
        <v>937</v>
      </c>
      <c r="CW41"/>
      <c r="CX41"/>
      <c r="CY41"/>
      <c r="CZ41"/>
      <c r="DA41" t="s">
        <v>1061</v>
      </c>
      <c r="DB41" t="s">
        <v>1127</v>
      </c>
      <c r="DC41"/>
      <c r="DE41"/>
      <c r="DF41"/>
    </row>
    <row r="42" spans="2:110" ht="14.4" x14ac:dyDescent="0.3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Week_32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938</v>
      </c>
      <c r="CD42" s="15" t="s">
        <v>939</v>
      </c>
      <c r="CE42" s="15" t="str">
        <f t="shared" si="33"/>
        <v>50721076-Dhirar San</v>
      </c>
      <c r="CF42" s="15" t="s">
        <v>939</v>
      </c>
      <c r="CW42"/>
      <c r="CX42"/>
      <c r="CY42"/>
      <c r="CZ42"/>
      <c r="DA42" t="s">
        <v>1062</v>
      </c>
      <c r="DB42" t="s">
        <v>1127</v>
      </c>
      <c r="DC42"/>
      <c r="DE42"/>
      <c r="DF42"/>
    </row>
    <row r="43" spans="2:110" ht="14.4" x14ac:dyDescent="0.3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Week_33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940</v>
      </c>
      <c r="CD43" s="15" t="s">
        <v>941</v>
      </c>
      <c r="CE43" s="15" t="str">
        <f t="shared" si="33"/>
        <v>50721077-Sande David Blt</v>
      </c>
      <c r="CF43" s="15" t="s">
        <v>941</v>
      </c>
      <c r="CW43"/>
      <c r="CX43"/>
      <c r="CY43"/>
      <c r="CZ43"/>
      <c r="DA43" t="s">
        <v>71</v>
      </c>
      <c r="DB43" t="s">
        <v>1127</v>
      </c>
      <c r="DC43"/>
      <c r="DD43"/>
      <c r="DE43"/>
      <c r="DF43"/>
    </row>
    <row r="44" spans="2:110" ht="14.4" x14ac:dyDescent="0.3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Week_34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942</v>
      </c>
      <c r="CD44" s="15" t="s">
        <v>943</v>
      </c>
      <c r="CE44" s="15" t="str">
        <f t="shared" si="33"/>
        <v>50721078-Ayub Ibrahim Dandan</v>
      </c>
      <c r="CF44" s="15" t="s">
        <v>943</v>
      </c>
      <c r="CW44"/>
      <c r="CX44"/>
      <c r="CY44"/>
      <c r="CZ44"/>
      <c r="DA44" t="s">
        <v>72</v>
      </c>
      <c r="DB44" t="s">
        <v>1127</v>
      </c>
      <c r="DC44"/>
      <c r="DD44"/>
      <c r="DE44"/>
      <c r="DF44"/>
    </row>
    <row r="45" spans="2:110" ht="14.4" x14ac:dyDescent="0.3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 t="str">
        <f>IFERROR(VLOOKUP($AD$47,dbmonthly[[Monthy]:[7]],AC45,0),"")</f>
        <v>Week_35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944</v>
      </c>
      <c r="CD45" s="15" t="s">
        <v>945</v>
      </c>
      <c r="CE45" s="15" t="str">
        <f t="shared" si="33"/>
        <v>50721079-Harpan</v>
      </c>
      <c r="CF45" s="15" t="s">
        <v>945</v>
      </c>
      <c r="CW45"/>
      <c r="CX45"/>
      <c r="CY45"/>
      <c r="CZ45"/>
      <c r="DA45" t="s">
        <v>73</v>
      </c>
      <c r="DB45" t="s">
        <v>1127</v>
      </c>
      <c r="DC45"/>
      <c r="DD45"/>
      <c r="DE45"/>
      <c r="DF45"/>
    </row>
    <row r="46" spans="2:110" ht="14.4" x14ac:dyDescent="0.3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 t="str">
        <f>IFERROR(VLOOKUP($AD$47,dbmonthly[[Monthy]:[7]],AC46,0),"")</f>
        <v>Week_36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946</v>
      </c>
      <c r="CD46" s="15" t="s">
        <v>947</v>
      </c>
      <c r="CE46" s="15" t="str">
        <f t="shared" si="33"/>
        <v>50721080-Lukman</v>
      </c>
      <c r="CF46" s="15" t="s">
        <v>947</v>
      </c>
      <c r="CW46"/>
      <c r="CX46"/>
      <c r="CY46"/>
      <c r="CZ46"/>
      <c r="DA46" t="s">
        <v>74</v>
      </c>
      <c r="DB46" t="s">
        <v>1127</v>
      </c>
      <c r="DC46"/>
      <c r="DD46"/>
      <c r="DE46"/>
      <c r="DF46"/>
    </row>
    <row r="47" spans="2:110" ht="14.4" x14ac:dyDescent="0.3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August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948</v>
      </c>
      <c r="CD47" s="15" t="s">
        <v>949</v>
      </c>
      <c r="CE47" s="15" t="str">
        <f t="shared" si="33"/>
        <v>50721081-Adi Wardana</v>
      </c>
      <c r="CF47" s="15" t="s">
        <v>949</v>
      </c>
      <c r="CW47"/>
      <c r="CX47"/>
      <c r="CY47"/>
      <c r="CZ47"/>
      <c r="DA47" t="s">
        <v>34</v>
      </c>
      <c r="DB47" t="s">
        <v>1127</v>
      </c>
      <c r="DC47"/>
      <c r="DD47"/>
      <c r="DE47"/>
      <c r="DF47"/>
    </row>
    <row r="48" spans="2:110" ht="14.4" x14ac:dyDescent="0.3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950</v>
      </c>
      <c r="CE48" s="15" t="str">
        <f t="shared" ref="CE48:CE60" si="34">+CC48&amp;"-"&amp;CD48</f>
        <v>50121016-Akhmad Rizaldi</v>
      </c>
      <c r="CF48" s="15" t="s">
        <v>950</v>
      </c>
      <c r="CW48"/>
      <c r="CX48"/>
      <c r="CY48"/>
      <c r="CZ48"/>
      <c r="DA48" t="s">
        <v>36</v>
      </c>
      <c r="DB48" t="s">
        <v>1126</v>
      </c>
      <c r="DC48"/>
      <c r="DD48"/>
      <c r="DE48"/>
      <c r="DF48"/>
    </row>
    <row r="49" spans="2:110" ht="14.4" x14ac:dyDescent="0.3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951</v>
      </c>
      <c r="CE49" s="15" t="str">
        <f t="shared" si="34"/>
        <v xml:space="preserve">50121017-Erfiandi Bakhtiar </v>
      </c>
      <c r="CF49" s="15" t="s">
        <v>951</v>
      </c>
      <c r="CW49"/>
      <c r="CX49"/>
      <c r="CY49"/>
      <c r="CZ49"/>
      <c r="DA49" t="s">
        <v>978</v>
      </c>
      <c r="DB49" t="s">
        <v>1126</v>
      </c>
      <c r="DC49"/>
      <c r="DD49"/>
      <c r="DE49"/>
      <c r="DF49"/>
    </row>
    <row r="50" spans="2:110" ht="14.4" x14ac:dyDescent="0.3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952</v>
      </c>
      <c r="CE50" s="15" t="str">
        <f t="shared" si="34"/>
        <v>50121018-Sowan Saputra</v>
      </c>
      <c r="CF50" s="15" t="s">
        <v>952</v>
      </c>
      <c r="CW50"/>
      <c r="CX50"/>
      <c r="CY50"/>
      <c r="CZ50"/>
      <c r="DA50" t="s">
        <v>38</v>
      </c>
      <c r="DB50" t="s">
        <v>1126</v>
      </c>
      <c r="DC50"/>
      <c r="DD50"/>
      <c r="DE50"/>
      <c r="DF50"/>
    </row>
    <row r="51" spans="2:110" ht="14.4" x14ac:dyDescent="0.3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953</v>
      </c>
      <c r="CE51" s="15" t="str">
        <f t="shared" si="34"/>
        <v>50121019-Muhamad Zensupriayanto</v>
      </c>
      <c r="CF51" s="15" t="s">
        <v>953</v>
      </c>
      <c r="CW51"/>
      <c r="CX51"/>
      <c r="CY51"/>
      <c r="CZ51"/>
      <c r="DA51" t="s">
        <v>39</v>
      </c>
      <c r="DB51" t="s">
        <v>1126</v>
      </c>
      <c r="DC51"/>
      <c r="DD51"/>
      <c r="DE51"/>
      <c r="DF51"/>
    </row>
    <row r="52" spans="2:110" ht="14.4" x14ac:dyDescent="0.3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866</v>
      </c>
      <c r="BB52" s="112" t="s">
        <v>867</v>
      </c>
      <c r="BC52" s="112" t="s">
        <v>868</v>
      </c>
      <c r="BD52" s="112" t="s">
        <v>868</v>
      </c>
      <c r="CC52" s="15" t="s">
        <v>377</v>
      </c>
      <c r="CD52" s="15" t="s">
        <v>954</v>
      </c>
      <c r="CE52" s="15" t="str">
        <f t="shared" si="34"/>
        <v>50121020-Fajar Cahyono</v>
      </c>
      <c r="CF52" s="15" t="s">
        <v>954</v>
      </c>
      <c r="CW52"/>
      <c r="CX52"/>
      <c r="CY52"/>
      <c r="CZ52"/>
      <c r="DA52" t="s">
        <v>538</v>
      </c>
      <c r="DB52" t="s">
        <v>1127</v>
      </c>
      <c r="DC52"/>
      <c r="DD52"/>
      <c r="DE52"/>
      <c r="DF52"/>
    </row>
    <row r="53" spans="2:110" ht="14.4" x14ac:dyDescent="0.3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869</v>
      </c>
      <c r="BB53" s="112" t="s">
        <v>870</v>
      </c>
      <c r="BC53" s="112" t="s">
        <v>868</v>
      </c>
      <c r="BD53" s="112" t="s">
        <v>868</v>
      </c>
      <c r="CC53" s="15" t="s">
        <v>391</v>
      </c>
      <c r="CD53" s="15" t="s">
        <v>947</v>
      </c>
      <c r="CE53" s="15" t="str">
        <f t="shared" si="34"/>
        <v>50121021-Lukman</v>
      </c>
      <c r="CF53" s="15" t="s">
        <v>947</v>
      </c>
      <c r="CW53"/>
      <c r="CX53"/>
      <c r="CY53"/>
      <c r="CZ53"/>
      <c r="DA53" t="s">
        <v>539</v>
      </c>
      <c r="DB53" t="s">
        <v>1127</v>
      </c>
      <c r="DC53"/>
      <c r="DD53"/>
      <c r="DE53"/>
      <c r="DF53"/>
    </row>
    <row r="54" spans="2:110" ht="14.4" x14ac:dyDescent="0.3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874</v>
      </c>
      <c r="BB54" s="112" t="s">
        <v>875</v>
      </c>
      <c r="BC54" s="112" t="s">
        <v>868</v>
      </c>
      <c r="BD54" s="112" t="s">
        <v>868</v>
      </c>
      <c r="CC54" s="15" t="s">
        <v>401</v>
      </c>
      <c r="CD54" s="15" t="s">
        <v>955</v>
      </c>
      <c r="CE54" s="15" t="str">
        <f t="shared" si="34"/>
        <v>50121022-Tri Wibowo</v>
      </c>
      <c r="CF54" s="15" t="s">
        <v>955</v>
      </c>
      <c r="CW54"/>
      <c r="CX54"/>
      <c r="CY54"/>
      <c r="CZ54"/>
      <c r="DA54" t="s">
        <v>537</v>
      </c>
      <c r="DB54" t="s">
        <v>1127</v>
      </c>
      <c r="DC54"/>
      <c r="DD54"/>
      <c r="DE54"/>
      <c r="DF54"/>
    </row>
    <row r="55" spans="2:110" ht="14.4" x14ac:dyDescent="0.3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2" t="s">
        <v>982</v>
      </c>
      <c r="BB55" s="122"/>
      <c r="BC55" s="122"/>
      <c r="BD55" s="122"/>
      <c r="CC55" s="15" t="s">
        <v>411</v>
      </c>
      <c r="CD55" s="15" t="s">
        <v>956</v>
      </c>
      <c r="CE55" s="15" t="str">
        <f t="shared" si="34"/>
        <v>50121023-Asliadi</v>
      </c>
      <c r="CF55" s="15" t="s">
        <v>956</v>
      </c>
      <c r="DA55" t="s">
        <v>1195</v>
      </c>
      <c r="DB55" t="s">
        <v>1127</v>
      </c>
      <c r="DC55"/>
      <c r="DD55"/>
      <c r="DE55"/>
      <c r="DF55"/>
    </row>
    <row r="56" spans="2:110" ht="14.4" x14ac:dyDescent="0.3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957</v>
      </c>
      <c r="CE56" s="15" t="str">
        <f t="shared" si="34"/>
        <v>50121024-Tarmono</v>
      </c>
      <c r="CF56" s="15" t="s">
        <v>957</v>
      </c>
      <c r="DA56" s="13" t="s">
        <v>46</v>
      </c>
      <c r="DB56" t="s">
        <v>1127</v>
      </c>
    </row>
    <row r="57" spans="2:110" ht="14.4" x14ac:dyDescent="0.3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958</v>
      </c>
      <c r="CD57" s="15" t="s">
        <v>959</v>
      </c>
      <c r="CE57" s="15" t="str">
        <f t="shared" si="34"/>
        <v xml:space="preserve">50621039-Rangga Hario Kharisma </v>
      </c>
      <c r="CF57" s="15" t="s">
        <v>959</v>
      </c>
      <c r="DA57" t="s">
        <v>42</v>
      </c>
      <c r="DB57" t="s">
        <v>1126</v>
      </c>
    </row>
    <row r="58" spans="2:110" ht="14.4" x14ac:dyDescent="0.3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960</v>
      </c>
      <c r="CD58" s="15" t="s">
        <v>961</v>
      </c>
      <c r="CE58" s="15" t="str">
        <f t="shared" si="34"/>
        <v>50621040-Hasri</v>
      </c>
      <c r="CF58" s="15" t="s">
        <v>961</v>
      </c>
      <c r="DA58" t="s">
        <v>44</v>
      </c>
      <c r="DB58" t="s">
        <v>1126</v>
      </c>
    </row>
    <row r="59" spans="2:110" ht="14.4" x14ac:dyDescent="0.3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962</v>
      </c>
      <c r="CD59" s="15" t="s">
        <v>963</v>
      </c>
      <c r="CE59" s="15" t="str">
        <f t="shared" si="34"/>
        <v>50621041-Rinol Nurcahyo</v>
      </c>
      <c r="CF59" s="15" t="s">
        <v>963</v>
      </c>
      <c r="DA59" t="s">
        <v>45</v>
      </c>
      <c r="DB59" t="s">
        <v>1126</v>
      </c>
    </row>
    <row r="60" spans="2:110" ht="14.4" x14ac:dyDescent="0.3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964</v>
      </c>
      <c r="CD60" s="15" t="s">
        <v>965</v>
      </c>
      <c r="CE60" s="15" t="str">
        <f t="shared" si="34"/>
        <v>50621048-Arfawan</v>
      </c>
      <c r="CF60" s="15" t="s">
        <v>965</v>
      </c>
      <c r="DA60" t="s">
        <v>844</v>
      </c>
      <c r="DB60" t="s">
        <v>1126</v>
      </c>
    </row>
    <row r="61" spans="2:110" ht="14.4" x14ac:dyDescent="0.3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  <c r="DA61" t="s">
        <v>113</v>
      </c>
      <c r="DB61" t="s">
        <v>1126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AM7:AM8"/>
    <mergeCell ref="AN7:AS7"/>
    <mergeCell ref="AT7:AY7"/>
    <mergeCell ref="BA7:BD8"/>
    <mergeCell ref="Q8:R8"/>
    <mergeCell ref="AC8:AD8"/>
    <mergeCell ref="U7:X7"/>
    <mergeCell ref="B5:S5"/>
    <mergeCell ref="B7:F7"/>
    <mergeCell ref="H7:H8"/>
    <mergeCell ref="I7:I8"/>
    <mergeCell ref="J7:J8"/>
    <mergeCell ref="K7:P7"/>
    <mergeCell ref="Q7:S7"/>
  </mergeCells>
  <conditionalFormatting sqref="DA9">
    <cfRule type="duplicateValues" dxfId="5" priority="2"/>
  </conditionalFormatting>
  <conditionalFormatting sqref="DE9">
    <cfRule type="duplicateValues" dxfId="4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5:EJ81"/>
  <sheetViews>
    <sheetView showGridLines="0" topLeftCell="A42" zoomScale="85" zoomScaleNormal="85" workbookViewId="0">
      <selection activeCell="C55" sqref="C55"/>
    </sheetView>
  </sheetViews>
  <sheetFormatPr defaultRowHeight="14.4" x14ac:dyDescent="0.3"/>
  <cols>
    <col min="2" max="2" width="24" customWidth="1"/>
    <col min="3" max="3" width="75.88671875" bestFit="1" customWidth="1"/>
    <col min="4" max="4" width="21.6640625" bestFit="1" customWidth="1"/>
    <col min="5" max="5" width="26.6640625" bestFit="1" customWidth="1"/>
    <col min="6" max="6" width="110.21875" customWidth="1"/>
    <col min="7" max="7" width="21.109375" bestFit="1" customWidth="1"/>
    <col min="8" max="9" width="10.44140625" customWidth="1"/>
    <col min="10" max="10" width="34.5546875" bestFit="1" customWidth="1"/>
    <col min="11" max="11" width="22.5546875" bestFit="1" customWidth="1"/>
    <col min="12" max="12" width="13.44140625" bestFit="1" customWidth="1"/>
    <col min="13" max="13" width="12.77734375" bestFit="1" customWidth="1"/>
    <col min="14" max="14" width="11.33203125" bestFit="1" customWidth="1"/>
    <col min="15" max="15" width="12" bestFit="1" customWidth="1"/>
    <col min="16" max="16" width="21.88671875" bestFit="1" customWidth="1"/>
    <col min="17" max="17" width="15.77734375" bestFit="1" customWidth="1"/>
    <col min="20" max="20" width="13" bestFit="1" customWidth="1"/>
    <col min="21" max="21" width="35.21875" bestFit="1" customWidth="1"/>
    <col min="22" max="22" width="38.77734375" bestFit="1" customWidth="1"/>
    <col min="23" max="23" width="11.109375" bestFit="1" customWidth="1"/>
    <col min="24" max="24" width="12.88671875" customWidth="1"/>
    <col min="25" max="25" width="10.6640625" bestFit="1" customWidth="1"/>
    <col min="27" max="27" width="7" bestFit="1" customWidth="1"/>
    <col min="28" max="28" width="8.33203125" bestFit="1" customWidth="1"/>
    <col min="29" max="29" width="14" bestFit="1" customWidth="1"/>
    <col min="32" max="32" width="8.77734375" bestFit="1" customWidth="1"/>
    <col min="33" max="33" width="34.77734375" bestFit="1" customWidth="1"/>
    <col min="34" max="34" width="20.6640625" bestFit="1" customWidth="1"/>
    <col min="35" max="35" width="20.33203125" bestFit="1" customWidth="1"/>
    <col min="36" max="36" width="9.77734375" bestFit="1" customWidth="1"/>
    <col min="37" max="37" width="13.88671875" bestFit="1" customWidth="1"/>
    <col min="38" max="38" width="15.109375" bestFit="1" customWidth="1"/>
    <col min="39" max="39" width="29.6640625" bestFit="1" customWidth="1"/>
    <col min="43" max="43" width="8.77734375" bestFit="1" customWidth="1"/>
    <col min="44" max="44" width="34.33203125" bestFit="1" customWidth="1"/>
    <col min="45" max="45" width="20.6640625" bestFit="1" customWidth="1"/>
    <col min="46" max="46" width="18.44140625" bestFit="1" customWidth="1"/>
    <col min="47" max="47" width="9.77734375" bestFit="1" customWidth="1"/>
    <col min="48" max="48" width="13.88671875" bestFit="1" customWidth="1"/>
    <col min="49" max="49" width="15.109375" bestFit="1" customWidth="1"/>
    <col min="50" max="50" width="16.6640625" bestFit="1" customWidth="1"/>
    <col min="53" max="53" width="35" bestFit="1" customWidth="1"/>
    <col min="54" max="54" width="34.5546875" bestFit="1" customWidth="1"/>
    <col min="55" max="55" width="27.88671875" bestFit="1" customWidth="1"/>
    <col min="56" max="56" width="22.21875" bestFit="1" customWidth="1"/>
    <col min="57" max="57" width="35.21875" bestFit="1" customWidth="1"/>
    <col min="58" max="58" width="29.5546875" bestFit="1" customWidth="1"/>
    <col min="59" max="59" width="21.88671875" bestFit="1" customWidth="1"/>
    <col min="60" max="60" width="7" bestFit="1" customWidth="1"/>
    <col min="61" max="61" width="8.33203125" bestFit="1" customWidth="1"/>
    <col min="62" max="62" width="32.77734375" bestFit="1" customWidth="1"/>
    <col min="65" max="65" width="35.21875" bestFit="1" customWidth="1"/>
    <col min="66" max="66" width="11.21875" bestFit="1" customWidth="1"/>
    <col min="67" max="67" width="11.77734375" bestFit="1" customWidth="1"/>
    <col min="68" max="68" width="12.21875" bestFit="1" customWidth="1"/>
    <col min="69" max="69" width="34" bestFit="1" customWidth="1"/>
    <col min="70" max="70" width="24.77734375" bestFit="1" customWidth="1"/>
    <col min="71" max="71" width="38.77734375" bestFit="1" customWidth="1"/>
    <col min="72" max="72" width="11" bestFit="1" customWidth="1"/>
    <col min="73" max="73" width="22.33203125" bestFit="1" customWidth="1"/>
    <col min="74" max="74" width="7" bestFit="1" customWidth="1"/>
    <col min="75" max="75" width="8.33203125" bestFit="1" customWidth="1"/>
    <col min="78" max="78" width="35.21875" bestFit="1" customWidth="1"/>
    <col min="79" max="79" width="11.21875" bestFit="1" customWidth="1"/>
    <col min="80" max="80" width="22.88671875" bestFit="1" customWidth="1"/>
    <col min="81" max="81" width="7" bestFit="1" customWidth="1"/>
    <col min="82" max="82" width="8.33203125" bestFit="1" customWidth="1"/>
    <col min="85" max="85" width="35.109375" bestFit="1" customWidth="1"/>
    <col min="86" max="86" width="15.5546875" bestFit="1" customWidth="1"/>
    <col min="89" max="89" width="34.44140625" bestFit="1" customWidth="1"/>
    <col min="90" max="90" width="18.6640625" bestFit="1" customWidth="1"/>
    <col min="98" max="98" width="34.5546875" bestFit="1" customWidth="1"/>
    <col min="99" max="99" width="11.21875" bestFit="1" customWidth="1"/>
    <col min="100" max="100" width="34" bestFit="1" customWidth="1"/>
    <col min="101" max="101" width="33.21875" bestFit="1" customWidth="1"/>
    <col min="102" max="102" width="26" bestFit="1" customWidth="1"/>
    <col min="103" max="103" width="15.77734375" bestFit="1" customWidth="1"/>
    <col min="104" max="104" width="25.109375" bestFit="1" customWidth="1"/>
    <col min="105" max="105" width="40.109375" bestFit="1" customWidth="1"/>
    <col min="106" max="106" width="8.33203125" bestFit="1" customWidth="1"/>
    <col min="107" max="107" width="7" bestFit="1" customWidth="1"/>
    <col min="110" max="110" width="35.21875" bestFit="1" customWidth="1"/>
    <col min="111" max="111" width="31.109375" bestFit="1" customWidth="1"/>
    <col min="112" max="112" width="34" bestFit="1" customWidth="1"/>
    <col min="113" max="113" width="8.33203125" bestFit="1" customWidth="1"/>
    <col min="114" max="114" width="7" bestFit="1" customWidth="1"/>
    <col min="115" max="115" width="31.109375" bestFit="1" customWidth="1"/>
    <col min="119" max="119" width="34.5546875" bestFit="1" customWidth="1"/>
    <col min="120" max="120" width="34" bestFit="1" customWidth="1"/>
    <col min="121" max="121" width="26" bestFit="1" customWidth="1"/>
    <col min="122" max="122" width="25.109375" bestFit="1" customWidth="1"/>
    <col min="123" max="123" width="40.109375" bestFit="1" customWidth="1"/>
    <col min="124" max="124" width="8.33203125" bestFit="1" customWidth="1"/>
    <col min="125" max="125" width="7" bestFit="1" customWidth="1"/>
    <col min="129" max="129" width="35.21875" bestFit="1" customWidth="1"/>
    <col min="130" max="130" width="31.109375" bestFit="1" customWidth="1"/>
    <col min="131" max="131" width="34" bestFit="1" customWidth="1"/>
    <col min="132" max="132" width="21.88671875" bestFit="1" customWidth="1"/>
    <col min="133" max="133" width="8.33203125" bestFit="1" customWidth="1"/>
    <col min="134" max="134" width="7" bestFit="1" customWidth="1"/>
    <col min="135" max="135" width="31.109375" bestFit="1" customWidth="1"/>
    <col min="138" max="138" width="34.21875" bestFit="1" customWidth="1"/>
    <col min="139" max="139" width="7.77734375" bestFit="1" customWidth="1"/>
    <col min="140" max="140" width="14.77734375" bestFit="1" customWidth="1"/>
    <col min="143" max="143" width="17" bestFit="1" customWidth="1"/>
    <col min="144" max="144" width="9.44140625" bestFit="1" customWidth="1"/>
    <col min="147" max="147" width="26.44140625" bestFit="1" customWidth="1"/>
    <col min="148" max="148" width="13.88671875" bestFit="1" customWidth="1"/>
  </cols>
  <sheetData>
    <row r="5" spans="2:140" x14ac:dyDescent="0.3">
      <c r="K5" t="s">
        <v>1179</v>
      </c>
    </row>
    <row r="9" spans="2:140" x14ac:dyDescent="0.3">
      <c r="J9" s="113" t="s">
        <v>1110</v>
      </c>
      <c r="T9" s="113" t="s">
        <v>1111</v>
      </c>
      <c r="AA9" t="s">
        <v>1112</v>
      </c>
      <c r="AF9" s="113" t="s">
        <v>1113</v>
      </c>
      <c r="AQ9" s="113" t="s">
        <v>1114</v>
      </c>
      <c r="BA9" s="113" t="s">
        <v>1115</v>
      </c>
      <c r="BM9" s="113" t="s">
        <v>1116</v>
      </c>
      <c r="BZ9" s="113" t="s">
        <v>1117</v>
      </c>
      <c r="CG9" s="113" t="s">
        <v>1109</v>
      </c>
      <c r="CK9" s="113" t="s">
        <v>1108</v>
      </c>
      <c r="CT9" t="s">
        <v>1107</v>
      </c>
      <c r="DF9" s="113" t="s">
        <v>1105</v>
      </c>
      <c r="DO9" s="113" t="s">
        <v>1106</v>
      </c>
      <c r="DY9" s="113" t="s">
        <v>1104</v>
      </c>
      <c r="EH9" s="113" t="s">
        <v>1193</v>
      </c>
    </row>
    <row r="10" spans="2:140" x14ac:dyDescent="0.3">
      <c r="B10" s="45" t="s">
        <v>983</v>
      </c>
      <c r="J10" t="s">
        <v>984</v>
      </c>
      <c r="K10" t="s">
        <v>985</v>
      </c>
      <c r="L10" t="s">
        <v>986</v>
      </c>
      <c r="M10" t="s">
        <v>987</v>
      </c>
      <c r="N10" t="s">
        <v>988</v>
      </c>
      <c r="O10" t="s">
        <v>989</v>
      </c>
      <c r="P10" t="s">
        <v>990</v>
      </c>
      <c r="Q10" t="s">
        <v>991</v>
      </c>
      <c r="T10" t="s">
        <v>992</v>
      </c>
      <c r="U10" t="s">
        <v>993</v>
      </c>
      <c r="V10" t="s">
        <v>1059</v>
      </c>
      <c r="W10" t="s">
        <v>1181</v>
      </c>
      <c r="AA10" t="s">
        <v>992</v>
      </c>
      <c r="AB10" t="s">
        <v>993</v>
      </c>
      <c r="AC10" t="s">
        <v>996</v>
      </c>
      <c r="AF10" t="s">
        <v>997</v>
      </c>
      <c r="AG10" t="s">
        <v>984</v>
      </c>
      <c r="AH10" t="s">
        <v>998</v>
      </c>
      <c r="AI10" t="s">
        <v>999</v>
      </c>
      <c r="AJ10" t="s">
        <v>1000</v>
      </c>
      <c r="AK10" t="s">
        <v>1001</v>
      </c>
      <c r="AL10" t="s">
        <v>1002</v>
      </c>
      <c r="AM10" t="s">
        <v>1003</v>
      </c>
      <c r="AQ10" t="s">
        <v>997</v>
      </c>
      <c r="AR10" t="s">
        <v>984</v>
      </c>
      <c r="AS10" t="s">
        <v>998</v>
      </c>
      <c r="AT10" t="s">
        <v>999</v>
      </c>
      <c r="AU10" t="s">
        <v>1000</v>
      </c>
      <c r="AV10" t="s">
        <v>1001</v>
      </c>
      <c r="AW10" t="s">
        <v>1002</v>
      </c>
      <c r="AX10" t="s">
        <v>1003</v>
      </c>
      <c r="BA10" t="s">
        <v>984</v>
      </c>
      <c r="BB10" t="s">
        <v>1005</v>
      </c>
      <c r="BC10" t="s">
        <v>1006</v>
      </c>
      <c r="BD10" t="s">
        <v>1007</v>
      </c>
      <c r="BE10" t="s">
        <v>1008</v>
      </c>
      <c r="BF10" t="s">
        <v>1009</v>
      </c>
      <c r="BG10" t="s">
        <v>990</v>
      </c>
      <c r="BH10" t="s">
        <v>992</v>
      </c>
      <c r="BI10" t="s">
        <v>993</v>
      </c>
      <c r="BJ10" t="s">
        <v>1010</v>
      </c>
      <c r="BM10" t="s">
        <v>984</v>
      </c>
      <c r="BN10" t="s">
        <v>1050</v>
      </c>
      <c r="BO10" t="s">
        <v>1051</v>
      </c>
      <c r="BP10" t="s">
        <v>1052</v>
      </c>
      <c r="BQ10" t="s">
        <v>1005</v>
      </c>
      <c r="BR10" t="s">
        <v>1053</v>
      </c>
      <c r="BS10" t="s">
        <v>1054</v>
      </c>
      <c r="BT10" t="s">
        <v>1055</v>
      </c>
      <c r="BU10" t="s">
        <v>1056</v>
      </c>
      <c r="BV10" t="s">
        <v>992</v>
      </c>
      <c r="BW10" t="s">
        <v>993</v>
      </c>
      <c r="BZ10" t="s">
        <v>984</v>
      </c>
      <c r="CA10" t="s">
        <v>1050</v>
      </c>
      <c r="CB10" t="s">
        <v>1058</v>
      </c>
      <c r="CC10" t="s">
        <v>992</v>
      </c>
      <c r="CD10" t="s">
        <v>993</v>
      </c>
      <c r="CG10" t="s">
        <v>993</v>
      </c>
      <c r="CH10" t="s">
        <v>992</v>
      </c>
      <c r="CK10" t="s">
        <v>993</v>
      </c>
      <c r="CL10" t="s">
        <v>992</v>
      </c>
      <c r="CT10" t="s">
        <v>984</v>
      </c>
      <c r="CU10" t="s">
        <v>1050</v>
      </c>
      <c r="CV10" t="s">
        <v>1081</v>
      </c>
      <c r="CW10" t="s">
        <v>1082</v>
      </c>
      <c r="CX10" t="s">
        <v>1083</v>
      </c>
      <c r="CY10" t="s">
        <v>1084</v>
      </c>
      <c r="CZ10" t="s">
        <v>1085</v>
      </c>
      <c r="DA10" t="s">
        <v>1086</v>
      </c>
      <c r="DB10" t="s">
        <v>993</v>
      </c>
      <c r="DC10" t="s">
        <v>992</v>
      </c>
      <c r="DF10" t="s">
        <v>984</v>
      </c>
      <c r="DG10" t="s">
        <v>1102</v>
      </c>
      <c r="DH10" t="s">
        <v>1081</v>
      </c>
      <c r="DI10" t="s">
        <v>993</v>
      </c>
      <c r="DJ10" t="s">
        <v>992</v>
      </c>
      <c r="DK10" t="s">
        <v>1641</v>
      </c>
      <c r="DO10" t="s">
        <v>984</v>
      </c>
      <c r="DP10" t="s">
        <v>1081</v>
      </c>
      <c r="DQ10" t="s">
        <v>1083</v>
      </c>
      <c r="DR10" t="s">
        <v>1085</v>
      </c>
      <c r="DS10" t="s">
        <v>1086</v>
      </c>
      <c r="DT10" t="s">
        <v>993</v>
      </c>
      <c r="DU10" t="s">
        <v>992</v>
      </c>
      <c r="DY10" t="s">
        <v>984</v>
      </c>
      <c r="DZ10" t="s">
        <v>1102</v>
      </c>
      <c r="EA10" t="s">
        <v>1081</v>
      </c>
      <c r="EB10" t="s">
        <v>990</v>
      </c>
      <c r="EC10" t="s">
        <v>993</v>
      </c>
      <c r="ED10" t="s">
        <v>992</v>
      </c>
      <c r="EE10" t="s">
        <v>1641</v>
      </c>
      <c r="EH10" t="s">
        <v>993</v>
      </c>
      <c r="EI10" t="s">
        <v>992</v>
      </c>
      <c r="EJ10" t="s">
        <v>0</v>
      </c>
    </row>
    <row r="11" spans="2:140" x14ac:dyDescent="0.3">
      <c r="B11" s="174" t="s">
        <v>1309</v>
      </c>
      <c r="J11" s="103" t="s">
        <v>1312</v>
      </c>
      <c r="K11" s="103" t="s">
        <v>1311</v>
      </c>
      <c r="L11" s="103" t="s">
        <v>209</v>
      </c>
      <c r="M11" s="160">
        <v>0.25</v>
      </c>
      <c r="N11" s="161">
        <v>0.5</v>
      </c>
      <c r="O11" s="160">
        <v>0.75</v>
      </c>
      <c r="P11" s="103" t="s">
        <v>1223</v>
      </c>
      <c r="Q11" t="s">
        <v>1218</v>
      </c>
      <c r="T11" t="s">
        <v>503</v>
      </c>
      <c r="U11" t="s">
        <v>1360</v>
      </c>
      <c r="V11" t="s">
        <v>505</v>
      </c>
      <c r="W11">
        <v>0</v>
      </c>
      <c r="AA11" s="103"/>
      <c r="AB11" s="103"/>
      <c r="AC11" s="103"/>
      <c r="AF11" s="103"/>
      <c r="AG11" s="103" t="s">
        <v>1381</v>
      </c>
      <c r="AH11">
        <v>50721059</v>
      </c>
      <c r="AI11" s="103" t="s">
        <v>878</v>
      </c>
      <c r="AJ11" s="103"/>
      <c r="AK11" s="103" t="b">
        <v>1</v>
      </c>
      <c r="AL11" s="103"/>
      <c r="AM11" t="s">
        <v>1293</v>
      </c>
      <c r="AQ11" s="103"/>
      <c r="AR11" s="103" t="s">
        <v>1386</v>
      </c>
      <c r="AS11">
        <v>50721080</v>
      </c>
      <c r="AT11" s="103" t="s">
        <v>947</v>
      </c>
      <c r="AU11" s="103"/>
      <c r="AV11" s="103" t="b">
        <v>1</v>
      </c>
      <c r="AW11" s="103" t="b">
        <v>1</v>
      </c>
      <c r="AX11" t="s">
        <v>1296</v>
      </c>
      <c r="BA11" s="103" t="s">
        <v>1414</v>
      </c>
      <c r="BB11" s="103" t="s">
        <v>1256</v>
      </c>
      <c r="BC11" s="103" t="s">
        <v>1016</v>
      </c>
      <c r="BD11" s="103" t="s">
        <v>1017</v>
      </c>
      <c r="BE11" t="s">
        <v>1413</v>
      </c>
      <c r="BF11" s="103" t="s">
        <v>1012</v>
      </c>
      <c r="BG11" s="103" t="s">
        <v>1223</v>
      </c>
      <c r="BJ11" t="s">
        <v>1018</v>
      </c>
      <c r="BM11" s="103" t="s">
        <v>1323</v>
      </c>
      <c r="BN11" s="103" t="b">
        <v>1</v>
      </c>
      <c r="BQ11" s="103" t="s">
        <v>1257</v>
      </c>
      <c r="BR11" s="103" t="s">
        <v>875</v>
      </c>
      <c r="BS11" s="103" t="s">
        <v>1232</v>
      </c>
      <c r="BT11" s="103">
        <v>0</v>
      </c>
      <c r="BU11" s="103"/>
      <c r="BZ11" s="103" t="s">
        <v>1471</v>
      </c>
      <c r="CA11" s="103" t="b">
        <v>1</v>
      </c>
      <c r="CB11" s="103" t="s">
        <v>1270</v>
      </c>
      <c r="CG11" s="103" t="s">
        <v>1485</v>
      </c>
      <c r="CH11" t="s">
        <v>1284</v>
      </c>
      <c r="CK11" s="103" t="s">
        <v>1491</v>
      </c>
      <c r="CL11" s="103" t="s">
        <v>546</v>
      </c>
      <c r="CT11" s="103" t="s">
        <v>1500</v>
      </c>
      <c r="CU11" s="103" t="b">
        <v>1</v>
      </c>
      <c r="CV11" s="103" t="s">
        <v>1089</v>
      </c>
      <c r="CW11" s="103" t="s">
        <v>1090</v>
      </c>
      <c r="CX11" s="103" t="b">
        <v>0</v>
      </c>
      <c r="DA11" s="103"/>
      <c r="DF11" s="103" t="s">
        <v>1550</v>
      </c>
      <c r="DG11" s="103" t="s">
        <v>113</v>
      </c>
      <c r="DH11" s="103" t="s">
        <v>1094</v>
      </c>
      <c r="DK11" t="s">
        <v>1607</v>
      </c>
      <c r="DO11" s="103" t="s">
        <v>1500</v>
      </c>
      <c r="DP11" s="103" t="s">
        <v>1089</v>
      </c>
      <c r="DQ11" s="103" t="b">
        <v>0</v>
      </c>
      <c r="DY11" s="103" t="s">
        <v>1550</v>
      </c>
      <c r="DZ11" s="103" t="s">
        <v>113</v>
      </c>
      <c r="EA11" s="103" t="s">
        <v>1094</v>
      </c>
      <c r="EB11" s="103" t="s">
        <v>1223</v>
      </c>
      <c r="EE11" t="s">
        <v>1607</v>
      </c>
      <c r="EH11" s="171" t="s">
        <v>1576</v>
      </c>
      <c r="EI11" s="171" t="s">
        <v>1577</v>
      </c>
      <c r="EJ11" t="s">
        <v>1581</v>
      </c>
    </row>
    <row r="12" spans="2:140" x14ac:dyDescent="0.3">
      <c r="J12" s="103" t="s">
        <v>1310</v>
      </c>
      <c r="K12" s="103" t="s">
        <v>1311</v>
      </c>
      <c r="L12" s="103" t="s">
        <v>212</v>
      </c>
      <c r="M12" s="160">
        <v>0.75</v>
      </c>
      <c r="N12" s="161">
        <v>0.5</v>
      </c>
      <c r="O12" s="160">
        <v>0.25</v>
      </c>
      <c r="P12" s="103" t="s">
        <v>1223</v>
      </c>
      <c r="Q12" t="s">
        <v>1180</v>
      </c>
      <c r="T12" t="s">
        <v>506</v>
      </c>
      <c r="U12" t="s">
        <v>1365</v>
      </c>
      <c r="V12" t="s">
        <v>505</v>
      </c>
      <c r="W12">
        <v>0</v>
      </c>
      <c r="AF12" s="103"/>
      <c r="AG12" s="103" t="s">
        <v>1382</v>
      </c>
      <c r="AH12">
        <v>50721060</v>
      </c>
      <c r="AI12" s="103" t="s">
        <v>880</v>
      </c>
      <c r="AJ12" s="103"/>
      <c r="AK12" s="103" t="b">
        <v>1</v>
      </c>
      <c r="AL12" s="103"/>
      <c r="AM12" t="s">
        <v>1004</v>
      </c>
      <c r="BA12" s="103" t="s">
        <v>1412</v>
      </c>
      <c r="BB12" s="103" t="s">
        <v>1256</v>
      </c>
      <c r="BC12" s="103" t="s">
        <v>1019</v>
      </c>
      <c r="BD12" s="103" t="s">
        <v>1020</v>
      </c>
      <c r="BE12" t="s">
        <v>1413</v>
      </c>
      <c r="BF12" s="103" t="s">
        <v>1012</v>
      </c>
      <c r="BG12" s="103" t="s">
        <v>1223</v>
      </c>
      <c r="BJ12" t="s">
        <v>1021</v>
      </c>
      <c r="BM12" s="103" t="s">
        <v>1375</v>
      </c>
      <c r="BN12" s="103" t="b">
        <v>1</v>
      </c>
      <c r="BQ12" s="103" t="s">
        <v>1257</v>
      </c>
      <c r="BR12" s="103" t="s">
        <v>1259</v>
      </c>
      <c r="BS12" s="103" t="s">
        <v>578</v>
      </c>
      <c r="BT12" s="103">
        <v>0</v>
      </c>
      <c r="BU12" s="103"/>
      <c r="BZ12" s="103" t="s">
        <v>1472</v>
      </c>
      <c r="CA12" s="103" t="b">
        <v>1</v>
      </c>
      <c r="CB12" s="103" t="s">
        <v>1271</v>
      </c>
      <c r="CG12" s="103" t="s">
        <v>1478</v>
      </c>
      <c r="CH12" t="s">
        <v>1277</v>
      </c>
      <c r="CK12" s="103" t="s">
        <v>1488</v>
      </c>
      <c r="CL12" s="103" t="s">
        <v>1287</v>
      </c>
      <c r="CT12" s="103" t="s">
        <v>1499</v>
      </c>
      <c r="CU12" s="103" t="b">
        <v>1</v>
      </c>
      <c r="CV12" s="103" t="s">
        <v>24</v>
      </c>
      <c r="CW12" s="103" t="s">
        <v>1091</v>
      </c>
      <c r="CX12" s="103" t="b">
        <v>0</v>
      </c>
      <c r="DA12" s="103"/>
      <c r="DF12" s="103" t="s">
        <v>1551</v>
      </c>
      <c r="DG12" s="103" t="s">
        <v>114</v>
      </c>
      <c r="DH12" s="103" t="s">
        <v>1094</v>
      </c>
      <c r="DK12" t="s">
        <v>1608</v>
      </c>
      <c r="DO12" s="103" t="s">
        <v>1499</v>
      </c>
      <c r="DP12" s="103" t="s">
        <v>24</v>
      </c>
      <c r="DQ12" s="103" t="b">
        <v>0</v>
      </c>
      <c r="DY12" s="103" t="s">
        <v>1551</v>
      </c>
      <c r="DZ12" s="103" t="s">
        <v>114</v>
      </c>
      <c r="EA12" s="103" t="s">
        <v>1094</v>
      </c>
      <c r="EB12" s="103" t="s">
        <v>1223</v>
      </c>
      <c r="EE12" t="s">
        <v>1608</v>
      </c>
      <c r="EH12" s="171" t="s">
        <v>1574</v>
      </c>
      <c r="EI12" s="171" t="s">
        <v>1575</v>
      </c>
      <c r="EJ12" t="s">
        <v>967</v>
      </c>
    </row>
    <row r="13" spans="2:140" ht="15.6" x14ac:dyDescent="0.3">
      <c r="B13" s="175" t="s">
        <v>1154</v>
      </c>
      <c r="C13" s="164" t="s">
        <v>1648</v>
      </c>
      <c r="T13" t="s">
        <v>507</v>
      </c>
      <c r="U13" t="s">
        <v>1358</v>
      </c>
      <c r="V13" t="s">
        <v>505</v>
      </c>
      <c r="W13">
        <v>0</v>
      </c>
      <c r="AF13" s="103"/>
      <c r="AG13" s="103" t="s">
        <v>1383</v>
      </c>
      <c r="AH13">
        <v>50721061</v>
      </c>
      <c r="AI13" s="103" t="s">
        <v>882</v>
      </c>
      <c r="AJ13" s="103"/>
      <c r="AK13" s="103" t="b">
        <v>1</v>
      </c>
      <c r="AL13" s="103"/>
      <c r="AM13" t="s">
        <v>1294</v>
      </c>
      <c r="BA13" s="103" t="s">
        <v>1393</v>
      </c>
      <c r="BB13" s="103" t="s">
        <v>1256</v>
      </c>
      <c r="BC13" s="103" t="s">
        <v>1394</v>
      </c>
      <c r="BD13" s="103" t="s">
        <v>1395</v>
      </c>
      <c r="BE13" t="s">
        <v>1391</v>
      </c>
      <c r="BF13" s="103" t="s">
        <v>1023</v>
      </c>
      <c r="BG13" s="103" t="s">
        <v>1223</v>
      </c>
      <c r="BJ13" t="s">
        <v>1583</v>
      </c>
      <c r="BM13" s="103" t="s">
        <v>1362</v>
      </c>
      <c r="BN13" s="103" t="b">
        <v>1</v>
      </c>
      <c r="BQ13" s="103" t="s">
        <v>1257</v>
      </c>
      <c r="BR13" s="103" t="s">
        <v>297</v>
      </c>
      <c r="BS13" s="103" t="s">
        <v>356</v>
      </c>
      <c r="BT13" s="103">
        <v>0</v>
      </c>
      <c r="BU13" s="103"/>
      <c r="BZ13" s="103" t="s">
        <v>1469</v>
      </c>
      <c r="CA13" s="103" t="b">
        <v>1</v>
      </c>
      <c r="CB13" s="103" t="s">
        <v>1225</v>
      </c>
      <c r="CG13" s="103" t="s">
        <v>1484</v>
      </c>
      <c r="CH13" t="s">
        <v>1283</v>
      </c>
      <c r="CK13" s="103" t="s">
        <v>1490</v>
      </c>
      <c r="CL13" s="103" t="s">
        <v>1289</v>
      </c>
      <c r="CT13" s="103" t="s">
        <v>1502</v>
      </c>
      <c r="CU13" s="103" t="b">
        <v>1</v>
      </c>
      <c r="CV13" s="103" t="s">
        <v>1100</v>
      </c>
      <c r="CW13" s="103" t="s">
        <v>1101</v>
      </c>
      <c r="CX13" s="103" t="b">
        <v>1</v>
      </c>
      <c r="DA13" s="103"/>
      <c r="DF13" s="103" t="s">
        <v>1548</v>
      </c>
      <c r="DG13" s="103" t="s">
        <v>112</v>
      </c>
      <c r="DH13" s="103" t="s">
        <v>1094</v>
      </c>
      <c r="DK13" t="s">
        <v>1609</v>
      </c>
      <c r="DO13" s="103" t="s">
        <v>1502</v>
      </c>
      <c r="DP13" s="103" t="s">
        <v>1100</v>
      </c>
      <c r="DQ13" s="103" t="b">
        <v>1</v>
      </c>
      <c r="DY13" s="103" t="s">
        <v>1548</v>
      </c>
      <c r="DZ13" s="103" t="s">
        <v>112</v>
      </c>
      <c r="EA13" s="103" t="s">
        <v>1094</v>
      </c>
      <c r="EB13" s="103" t="s">
        <v>1223</v>
      </c>
      <c r="EE13" t="s">
        <v>1609</v>
      </c>
    </row>
    <row r="14" spans="2:140" x14ac:dyDescent="0.3">
      <c r="T14" t="s">
        <v>508</v>
      </c>
      <c r="U14" t="s">
        <v>1333</v>
      </c>
      <c r="V14" t="s">
        <v>505</v>
      </c>
      <c r="W14">
        <v>0</v>
      </c>
      <c r="AF14" s="103"/>
      <c r="AG14" s="103" t="s">
        <v>1384</v>
      </c>
      <c r="AH14">
        <v>50721062</v>
      </c>
      <c r="AI14" s="103" t="s">
        <v>884</v>
      </c>
      <c r="AJ14" s="103"/>
      <c r="AK14" s="103" t="b">
        <v>1</v>
      </c>
      <c r="AL14" s="103"/>
      <c r="AM14" t="s">
        <v>1582</v>
      </c>
      <c r="BA14" s="103" t="s">
        <v>1429</v>
      </c>
      <c r="BB14" s="103" t="s">
        <v>1256</v>
      </c>
      <c r="BC14" s="103" t="s">
        <v>1026</v>
      </c>
      <c r="BD14" s="103" t="s">
        <v>1026</v>
      </c>
      <c r="BE14" t="s">
        <v>1430</v>
      </c>
      <c r="BF14" s="103" t="s">
        <v>1025</v>
      </c>
      <c r="BG14" s="103" t="s">
        <v>1223</v>
      </c>
      <c r="BJ14" t="s">
        <v>1584</v>
      </c>
      <c r="BM14" s="103" t="s">
        <v>1337</v>
      </c>
      <c r="BN14" s="103" t="b">
        <v>1</v>
      </c>
      <c r="BQ14" s="103" t="s">
        <v>1257</v>
      </c>
      <c r="BR14" s="103" t="s">
        <v>1258</v>
      </c>
      <c r="BS14" s="103" t="s">
        <v>1229</v>
      </c>
      <c r="BT14" s="103">
        <v>0</v>
      </c>
      <c r="BU14" s="103"/>
      <c r="BZ14" s="103" t="s">
        <v>1470</v>
      </c>
      <c r="CA14" s="103" t="b">
        <v>1</v>
      </c>
      <c r="CB14" s="103" t="s">
        <v>1269</v>
      </c>
      <c r="CG14" s="103" t="s">
        <v>1479</v>
      </c>
      <c r="CH14" t="s">
        <v>1278</v>
      </c>
      <c r="CK14" s="103" t="s">
        <v>1489</v>
      </c>
      <c r="CL14" s="103" t="s">
        <v>1288</v>
      </c>
      <c r="CT14" s="103" t="s">
        <v>1501</v>
      </c>
      <c r="CU14" s="103" t="b">
        <v>1</v>
      </c>
      <c r="CV14" s="103" t="s">
        <v>1098</v>
      </c>
      <c r="CW14" s="103" t="s">
        <v>1099</v>
      </c>
      <c r="CX14" s="103" t="b">
        <v>1</v>
      </c>
      <c r="DA14" s="103"/>
      <c r="DF14" s="103" t="s">
        <v>1549</v>
      </c>
      <c r="DG14" s="103" t="s">
        <v>109</v>
      </c>
      <c r="DH14" s="103" t="s">
        <v>1094</v>
      </c>
      <c r="DK14" t="s">
        <v>1610</v>
      </c>
      <c r="DO14" s="103" t="s">
        <v>1501</v>
      </c>
      <c r="DP14" s="103" t="s">
        <v>1098</v>
      </c>
      <c r="DQ14" s="103" t="b">
        <v>1</v>
      </c>
      <c r="DY14" s="103" t="s">
        <v>1549</v>
      </c>
      <c r="DZ14" s="103" t="s">
        <v>109</v>
      </c>
      <c r="EA14" s="103" t="s">
        <v>1094</v>
      </c>
      <c r="EB14" s="103" t="s">
        <v>1223</v>
      </c>
      <c r="EE14" t="s">
        <v>1610</v>
      </c>
    </row>
    <row r="15" spans="2:140" x14ac:dyDescent="0.3">
      <c r="B15" t="s">
        <v>1209</v>
      </c>
      <c r="T15" t="s">
        <v>498</v>
      </c>
      <c r="U15" t="s">
        <v>1361</v>
      </c>
      <c r="V15" t="s">
        <v>500</v>
      </c>
      <c r="W15">
        <v>0</v>
      </c>
      <c r="AF15" s="103"/>
      <c r="AG15" s="103" t="s">
        <v>1385</v>
      </c>
      <c r="AH15">
        <v>50721072</v>
      </c>
      <c r="AI15" s="103" t="s">
        <v>902</v>
      </c>
      <c r="AJ15" s="103"/>
      <c r="AK15" s="103" t="b">
        <v>1</v>
      </c>
      <c r="AL15" s="103"/>
      <c r="AM15" t="s">
        <v>1295</v>
      </c>
      <c r="BA15" s="103" t="s">
        <v>1445</v>
      </c>
      <c r="BB15" s="103" t="s">
        <v>1256</v>
      </c>
      <c r="BC15" s="103" t="s">
        <v>310</v>
      </c>
      <c r="BD15" s="103" t="s">
        <v>1014</v>
      </c>
      <c r="BE15">
        <v>0</v>
      </c>
      <c r="BF15" s="103"/>
      <c r="BG15" s="103" t="s">
        <v>1223</v>
      </c>
      <c r="BJ15" t="s">
        <v>1014</v>
      </c>
      <c r="BM15" s="103" t="s">
        <v>1364</v>
      </c>
      <c r="BN15" s="103" t="b">
        <v>1</v>
      </c>
      <c r="BQ15" s="103" t="s">
        <v>1257</v>
      </c>
      <c r="BR15" s="103" t="s">
        <v>566</v>
      </c>
      <c r="BS15" s="103" t="s">
        <v>566</v>
      </c>
      <c r="BT15" s="103">
        <v>0</v>
      </c>
      <c r="BU15" s="103"/>
      <c r="BZ15" s="103" t="s">
        <v>1475</v>
      </c>
      <c r="CA15" s="103" t="b">
        <v>1</v>
      </c>
      <c r="CB15" s="103" t="s">
        <v>1274</v>
      </c>
      <c r="CG15" s="103" t="s">
        <v>1483</v>
      </c>
      <c r="CH15" t="s">
        <v>1282</v>
      </c>
      <c r="CK15" s="103" t="s">
        <v>1487</v>
      </c>
      <c r="CL15" s="103" t="s">
        <v>1286</v>
      </c>
      <c r="CT15" s="103" t="s">
        <v>1498</v>
      </c>
      <c r="CU15" s="103" t="b">
        <v>1</v>
      </c>
      <c r="CV15" s="103" t="s">
        <v>1094</v>
      </c>
      <c r="CW15" s="103" t="s">
        <v>1095</v>
      </c>
      <c r="CX15" s="103" t="b">
        <v>1</v>
      </c>
      <c r="DA15" s="103"/>
      <c r="DF15" s="103" t="s">
        <v>1554</v>
      </c>
      <c r="DG15" s="103" t="s">
        <v>117</v>
      </c>
      <c r="DH15" s="103" t="s">
        <v>1094</v>
      </c>
      <c r="DK15" t="s">
        <v>117</v>
      </c>
      <c r="DO15" s="103" t="s">
        <v>1498</v>
      </c>
      <c r="DP15" s="103" t="s">
        <v>1094</v>
      </c>
      <c r="DQ15" s="103" t="b">
        <v>1</v>
      </c>
      <c r="DY15" s="103" t="s">
        <v>1554</v>
      </c>
      <c r="DZ15" s="103" t="s">
        <v>117</v>
      </c>
      <c r="EA15" s="103" t="s">
        <v>1094</v>
      </c>
      <c r="EB15" s="103" t="s">
        <v>1223</v>
      </c>
      <c r="EE15" t="s">
        <v>117</v>
      </c>
    </row>
    <row r="16" spans="2:140" x14ac:dyDescent="0.3">
      <c r="B16" t="s">
        <v>1194</v>
      </c>
      <c r="T16" t="s">
        <v>869</v>
      </c>
      <c r="U16" t="s">
        <v>1331</v>
      </c>
      <c r="V16" t="s">
        <v>868</v>
      </c>
      <c r="W16">
        <v>0</v>
      </c>
      <c r="AF16" s="103"/>
      <c r="AG16" s="103" t="s">
        <v>1386</v>
      </c>
      <c r="AH16">
        <v>50721080</v>
      </c>
      <c r="AI16" s="103" t="s">
        <v>947</v>
      </c>
      <c r="AJ16" s="103"/>
      <c r="AK16" s="103" t="b">
        <v>1</v>
      </c>
      <c r="AL16" s="103" t="b">
        <v>1</v>
      </c>
      <c r="AM16" t="s">
        <v>1296</v>
      </c>
      <c r="BA16" s="103" t="s">
        <v>1410</v>
      </c>
      <c r="BB16" s="103" t="s">
        <v>1256</v>
      </c>
      <c r="BC16" s="103" t="s">
        <v>1013</v>
      </c>
      <c r="BD16" s="103" t="s">
        <v>1012</v>
      </c>
      <c r="BE16" t="s">
        <v>1411</v>
      </c>
      <c r="BF16" s="103" t="s">
        <v>1014</v>
      </c>
      <c r="BG16" s="103" t="s">
        <v>1223</v>
      </c>
      <c r="BJ16" t="s">
        <v>1015</v>
      </c>
      <c r="BM16" s="103" t="s">
        <v>1355</v>
      </c>
      <c r="BN16" s="103" t="b">
        <v>1</v>
      </c>
      <c r="BQ16" s="103" t="s">
        <v>1257</v>
      </c>
      <c r="BR16" s="103" t="s">
        <v>1220</v>
      </c>
      <c r="BS16" s="103" t="s">
        <v>1248</v>
      </c>
      <c r="BT16" s="103">
        <v>0</v>
      </c>
      <c r="BU16" s="103"/>
      <c r="BZ16" s="103" t="s">
        <v>1476</v>
      </c>
      <c r="CA16" s="103" t="b">
        <v>1</v>
      </c>
      <c r="CB16" s="103" t="s">
        <v>1275</v>
      </c>
      <c r="CG16" s="103" t="s">
        <v>1481</v>
      </c>
      <c r="CH16" t="s">
        <v>1280</v>
      </c>
      <c r="CK16" s="103" t="s">
        <v>1486</v>
      </c>
      <c r="CL16" s="103" t="s">
        <v>1285</v>
      </c>
      <c r="CT16" s="103" t="s">
        <v>1495</v>
      </c>
      <c r="CU16" s="103" t="b">
        <v>1</v>
      </c>
      <c r="CV16" s="103" t="s">
        <v>20</v>
      </c>
      <c r="CW16" s="103" t="s">
        <v>1093</v>
      </c>
      <c r="CX16" s="103" t="b">
        <v>0</v>
      </c>
      <c r="DA16" s="103"/>
      <c r="DF16" s="103" t="s">
        <v>1555</v>
      </c>
      <c r="DG16" s="103" t="s">
        <v>124</v>
      </c>
      <c r="DH16" s="103" t="s">
        <v>1096</v>
      </c>
      <c r="DK16" t="s">
        <v>1611</v>
      </c>
      <c r="DO16" s="103" t="s">
        <v>1495</v>
      </c>
      <c r="DP16" s="103" t="s">
        <v>20</v>
      </c>
      <c r="DQ16" s="103" t="b">
        <v>0</v>
      </c>
      <c r="DY16" s="103" t="s">
        <v>1555</v>
      </c>
      <c r="DZ16" s="103" t="s">
        <v>124</v>
      </c>
      <c r="EA16" s="103" t="s">
        <v>1096</v>
      </c>
      <c r="EB16" s="103" t="s">
        <v>1223</v>
      </c>
      <c r="EE16" t="s">
        <v>1611</v>
      </c>
    </row>
    <row r="17" spans="2:135" x14ac:dyDescent="0.3">
      <c r="B17" t="s">
        <v>1210</v>
      </c>
      <c r="T17" t="s">
        <v>488</v>
      </c>
      <c r="U17" t="s">
        <v>1335</v>
      </c>
      <c r="V17" t="s">
        <v>979</v>
      </c>
      <c r="W17">
        <v>0</v>
      </c>
      <c r="BA17" s="103" t="s">
        <v>1415</v>
      </c>
      <c r="BB17" s="103" t="s">
        <v>1256</v>
      </c>
      <c r="BC17" s="103" t="s">
        <v>1022</v>
      </c>
      <c r="BD17" s="103" t="s">
        <v>1023</v>
      </c>
      <c r="BE17" t="s">
        <v>1411</v>
      </c>
      <c r="BF17" s="103" t="s">
        <v>1014</v>
      </c>
      <c r="BG17" s="103" t="s">
        <v>1223</v>
      </c>
      <c r="BJ17" t="s">
        <v>1024</v>
      </c>
      <c r="BM17" s="103" t="s">
        <v>1342</v>
      </c>
      <c r="BN17" s="103" t="b">
        <v>1</v>
      </c>
      <c r="BQ17" s="103" t="s">
        <v>1257</v>
      </c>
      <c r="BR17" s="103" t="s">
        <v>1227</v>
      </c>
      <c r="BS17" s="103" t="s">
        <v>1227</v>
      </c>
      <c r="BT17" s="103">
        <v>0</v>
      </c>
      <c r="BU17" s="103"/>
      <c r="BZ17" s="103" t="s">
        <v>1473</v>
      </c>
      <c r="CA17" s="103" t="b">
        <v>1</v>
      </c>
      <c r="CB17" s="103" t="s">
        <v>1272</v>
      </c>
      <c r="CG17" s="103" t="s">
        <v>1477</v>
      </c>
      <c r="CH17" t="s">
        <v>1276</v>
      </c>
      <c r="CK17" s="103" t="s">
        <v>1492</v>
      </c>
      <c r="CL17" s="103" t="s">
        <v>1290</v>
      </c>
      <c r="CT17" s="103" t="s">
        <v>1494</v>
      </c>
      <c r="CU17" s="103" t="b">
        <v>1</v>
      </c>
      <c r="CV17" s="103" t="s">
        <v>1087</v>
      </c>
      <c r="CW17" s="103" t="s">
        <v>1088</v>
      </c>
      <c r="CX17" s="103" t="b">
        <v>0</v>
      </c>
      <c r="DA17" s="103"/>
      <c r="DF17" s="103" t="s">
        <v>1552</v>
      </c>
      <c r="DG17" s="103" t="s">
        <v>115</v>
      </c>
      <c r="DH17" s="103" t="s">
        <v>1094</v>
      </c>
      <c r="DK17" t="s">
        <v>1612</v>
      </c>
      <c r="DO17" s="103" t="s">
        <v>1494</v>
      </c>
      <c r="DP17" s="103" t="s">
        <v>1087</v>
      </c>
      <c r="DQ17" s="103" t="b">
        <v>0</v>
      </c>
      <c r="DY17" s="103" t="s">
        <v>1552</v>
      </c>
      <c r="DZ17" s="103" t="s">
        <v>115</v>
      </c>
      <c r="EA17" s="103" t="s">
        <v>1094</v>
      </c>
      <c r="EB17" s="103" t="s">
        <v>1223</v>
      </c>
      <c r="EE17" t="s">
        <v>1612</v>
      </c>
    </row>
    <row r="18" spans="2:135" x14ac:dyDescent="0.3">
      <c r="T18" t="s">
        <v>1645</v>
      </c>
      <c r="U18" t="s">
        <v>1644</v>
      </c>
      <c r="V18" t="s">
        <v>1646</v>
      </c>
      <c r="W18">
        <v>0</v>
      </c>
      <c r="BA18" s="103" t="s">
        <v>1416</v>
      </c>
      <c r="BB18" s="103" t="s">
        <v>1256</v>
      </c>
      <c r="BC18" s="103" t="s">
        <v>1028</v>
      </c>
      <c r="BD18" s="103" t="s">
        <v>1027</v>
      </c>
      <c r="BE18" t="s">
        <v>1411</v>
      </c>
      <c r="BF18" s="103" t="s">
        <v>1014</v>
      </c>
      <c r="BG18" s="103" t="s">
        <v>1223</v>
      </c>
      <c r="BJ18" t="s">
        <v>1029</v>
      </c>
      <c r="BM18" s="103" t="s">
        <v>1319</v>
      </c>
      <c r="BN18" s="103" t="b">
        <v>1</v>
      </c>
      <c r="BQ18" s="103" t="s">
        <v>1257</v>
      </c>
      <c r="BR18" s="103" t="s">
        <v>484</v>
      </c>
      <c r="BS18" s="103" t="s">
        <v>484</v>
      </c>
      <c r="BT18" s="103">
        <v>0</v>
      </c>
      <c r="BU18" s="103"/>
      <c r="BZ18" s="103" t="s">
        <v>1474</v>
      </c>
      <c r="CA18" s="103" t="b">
        <v>1</v>
      </c>
      <c r="CB18" s="103" t="s">
        <v>1273</v>
      </c>
      <c r="CG18" s="103" t="s">
        <v>1482</v>
      </c>
      <c r="CH18" t="s">
        <v>1281</v>
      </c>
      <c r="CK18" s="103" t="s">
        <v>1493</v>
      </c>
      <c r="CL18" s="103" t="s">
        <v>1291</v>
      </c>
      <c r="CT18" s="103" t="s">
        <v>1497</v>
      </c>
      <c r="CU18" s="103" t="b">
        <v>1</v>
      </c>
      <c r="CV18" s="103" t="s">
        <v>1096</v>
      </c>
      <c r="CW18" s="103" t="s">
        <v>1097</v>
      </c>
      <c r="CX18" s="103" t="b">
        <v>1</v>
      </c>
      <c r="DA18" s="103"/>
      <c r="DF18" s="103" t="s">
        <v>1553</v>
      </c>
      <c r="DG18" s="103" t="s">
        <v>116</v>
      </c>
      <c r="DH18" s="103" t="s">
        <v>1094</v>
      </c>
      <c r="DK18" t="s">
        <v>1613</v>
      </c>
      <c r="DO18" s="103" t="s">
        <v>1497</v>
      </c>
      <c r="DP18" s="103" t="s">
        <v>1096</v>
      </c>
      <c r="DQ18" s="103" t="b">
        <v>1</v>
      </c>
      <c r="DY18" s="103" t="s">
        <v>1553</v>
      </c>
      <c r="DZ18" s="103" t="s">
        <v>116</v>
      </c>
      <c r="EA18" s="103" t="s">
        <v>1094</v>
      </c>
      <c r="EB18" s="103" t="s">
        <v>1223</v>
      </c>
      <c r="EE18" t="s">
        <v>1613</v>
      </c>
    </row>
    <row r="19" spans="2:135" x14ac:dyDescent="0.3">
      <c r="T19" t="s">
        <v>431</v>
      </c>
      <c r="U19" t="s">
        <v>1377</v>
      </c>
      <c r="V19" t="s">
        <v>433</v>
      </c>
      <c r="W19">
        <v>0</v>
      </c>
      <c r="BA19" s="103" t="s">
        <v>1428</v>
      </c>
      <c r="BB19" s="103" t="s">
        <v>1256</v>
      </c>
      <c r="BC19" s="103" t="s">
        <v>1025</v>
      </c>
      <c r="BD19" s="103" t="s">
        <v>1011</v>
      </c>
      <c r="BE19" t="s">
        <v>1411</v>
      </c>
      <c r="BF19" s="103" t="s">
        <v>1014</v>
      </c>
      <c r="BG19" s="103" t="s">
        <v>1223</v>
      </c>
      <c r="BJ19" t="s">
        <v>1032</v>
      </c>
      <c r="BM19" s="103" t="s">
        <v>1347</v>
      </c>
      <c r="BN19" s="103" t="b">
        <v>1</v>
      </c>
      <c r="BQ19" s="103" t="s">
        <v>1257</v>
      </c>
      <c r="BR19" s="103" t="s">
        <v>1260</v>
      </c>
      <c r="BS19" s="103" t="s">
        <v>494</v>
      </c>
      <c r="BT19" s="103">
        <v>0</v>
      </c>
      <c r="BU19" s="103"/>
      <c r="BZ19" s="103" t="s">
        <v>1463</v>
      </c>
      <c r="CA19" s="103" t="b">
        <v>1</v>
      </c>
      <c r="CB19" s="103" t="s">
        <v>1263</v>
      </c>
      <c r="CG19" s="103" t="s">
        <v>1480</v>
      </c>
      <c r="CH19" t="s">
        <v>1279</v>
      </c>
      <c r="CT19" s="103" t="s">
        <v>1496</v>
      </c>
      <c r="CU19" s="103" t="b">
        <v>1</v>
      </c>
      <c r="CV19" s="103" t="s">
        <v>23</v>
      </c>
      <c r="CW19" s="103" t="s">
        <v>1092</v>
      </c>
      <c r="CX19" s="103" t="b">
        <v>0</v>
      </c>
      <c r="DA19" s="103"/>
      <c r="DF19" s="103" t="s">
        <v>1547</v>
      </c>
      <c r="DG19" s="103" t="s">
        <v>111</v>
      </c>
      <c r="DH19" s="103" t="s">
        <v>1094</v>
      </c>
      <c r="DK19" t="s">
        <v>1614</v>
      </c>
      <c r="DO19" s="103" t="s">
        <v>1496</v>
      </c>
      <c r="DP19" s="103" t="s">
        <v>23</v>
      </c>
      <c r="DQ19" s="103" t="b">
        <v>0</v>
      </c>
      <c r="DY19" s="103" t="s">
        <v>1547</v>
      </c>
      <c r="DZ19" s="103" t="s">
        <v>111</v>
      </c>
      <c r="EA19" s="103" t="s">
        <v>1094</v>
      </c>
      <c r="EB19" s="103" t="s">
        <v>1223</v>
      </c>
      <c r="EE19" t="s">
        <v>1614</v>
      </c>
    </row>
    <row r="20" spans="2:135" x14ac:dyDescent="0.3">
      <c r="T20" t="s">
        <v>418</v>
      </c>
      <c r="U20" t="s">
        <v>1313</v>
      </c>
      <c r="V20" t="s">
        <v>420</v>
      </c>
      <c r="W20">
        <v>0</v>
      </c>
      <c r="BA20" s="103" t="s">
        <v>1427</v>
      </c>
      <c r="BB20" s="103" t="s">
        <v>1256</v>
      </c>
      <c r="BC20" s="103" t="s">
        <v>1030</v>
      </c>
      <c r="BD20" s="103" t="s">
        <v>1030</v>
      </c>
      <c r="BE20" t="s">
        <v>1418</v>
      </c>
      <c r="BF20" s="103" t="s">
        <v>1027</v>
      </c>
      <c r="BG20" s="103" t="s">
        <v>1223</v>
      </c>
      <c r="BJ20" t="s">
        <v>1031</v>
      </c>
      <c r="BM20" s="103" t="s">
        <v>1356</v>
      </c>
      <c r="BN20" s="103" t="b">
        <v>1</v>
      </c>
      <c r="BQ20" s="103" t="s">
        <v>1257</v>
      </c>
      <c r="BR20" s="103" t="s">
        <v>450</v>
      </c>
      <c r="BS20" s="103" t="s">
        <v>459</v>
      </c>
      <c r="BT20" s="103">
        <v>0</v>
      </c>
      <c r="BU20" s="103"/>
      <c r="BZ20" s="103" t="s">
        <v>1464</v>
      </c>
      <c r="CA20" s="103" t="b">
        <v>1</v>
      </c>
      <c r="CB20" s="103" t="s">
        <v>1264</v>
      </c>
      <c r="DF20" s="103" t="s">
        <v>1541</v>
      </c>
      <c r="DG20" s="103" t="s">
        <v>163</v>
      </c>
      <c r="DH20" s="103" t="s">
        <v>23</v>
      </c>
      <c r="DK20" t="s">
        <v>163</v>
      </c>
      <c r="DY20" s="103" t="s">
        <v>1541</v>
      </c>
      <c r="DZ20" s="103" t="s">
        <v>163</v>
      </c>
      <c r="EA20" s="103" t="s">
        <v>23</v>
      </c>
      <c r="EB20" s="103" t="s">
        <v>1223</v>
      </c>
      <c r="EE20" t="s">
        <v>163</v>
      </c>
    </row>
    <row r="21" spans="2:135" x14ac:dyDescent="0.3">
      <c r="T21" t="s">
        <v>324</v>
      </c>
      <c r="U21" t="s">
        <v>1344</v>
      </c>
      <c r="V21" t="s">
        <v>326</v>
      </c>
      <c r="W21">
        <v>0</v>
      </c>
      <c r="BA21" s="103" t="s">
        <v>1417</v>
      </c>
      <c r="BB21" s="103" t="s">
        <v>1256</v>
      </c>
      <c r="BC21" s="103" t="s">
        <v>1033</v>
      </c>
      <c r="BD21" s="103" t="s">
        <v>1034</v>
      </c>
      <c r="BE21" t="s">
        <v>1418</v>
      </c>
      <c r="BF21" s="103" t="s">
        <v>1027</v>
      </c>
      <c r="BG21" s="103" t="s">
        <v>1223</v>
      </c>
      <c r="BJ21" t="s">
        <v>1035</v>
      </c>
      <c r="BM21" s="103" t="s">
        <v>1376</v>
      </c>
      <c r="BN21" s="103" t="b">
        <v>1</v>
      </c>
      <c r="BQ21" s="103" t="s">
        <v>1257</v>
      </c>
      <c r="BR21" s="103" t="s">
        <v>450</v>
      </c>
      <c r="BS21" s="103" t="s">
        <v>451</v>
      </c>
      <c r="BT21" s="103">
        <v>0</v>
      </c>
      <c r="BU21" s="103"/>
      <c r="BZ21" s="103" t="s">
        <v>1461</v>
      </c>
      <c r="CA21" s="103" t="b">
        <v>1</v>
      </c>
      <c r="CB21" s="103" t="s">
        <v>1261</v>
      </c>
      <c r="DF21" s="103" t="s">
        <v>1542</v>
      </c>
      <c r="DG21" s="103" t="s">
        <v>164</v>
      </c>
      <c r="DH21" s="103" t="s">
        <v>23</v>
      </c>
      <c r="DK21" t="s">
        <v>164</v>
      </c>
      <c r="DY21" s="103" t="s">
        <v>1542</v>
      </c>
      <c r="DZ21" s="103" t="s">
        <v>164</v>
      </c>
      <c r="EA21" s="103" t="s">
        <v>23</v>
      </c>
      <c r="EB21" s="103" t="s">
        <v>1223</v>
      </c>
      <c r="EE21" t="s">
        <v>164</v>
      </c>
    </row>
    <row r="22" spans="2:135" x14ac:dyDescent="0.3">
      <c r="T22" t="s">
        <v>340</v>
      </c>
      <c r="U22" t="s">
        <v>1370</v>
      </c>
      <c r="V22" t="s">
        <v>326</v>
      </c>
      <c r="W22">
        <v>0</v>
      </c>
      <c r="BA22" s="103" t="s">
        <v>1419</v>
      </c>
      <c r="BB22" s="103" t="s">
        <v>1256</v>
      </c>
      <c r="BC22" s="103" t="s">
        <v>1036</v>
      </c>
      <c r="BD22" s="103" t="s">
        <v>1037</v>
      </c>
      <c r="BE22" t="s">
        <v>1418</v>
      </c>
      <c r="BF22" s="103" t="s">
        <v>1027</v>
      </c>
      <c r="BG22" s="103" t="s">
        <v>1223</v>
      </c>
      <c r="BJ22" t="s">
        <v>1038</v>
      </c>
      <c r="BM22" s="103" t="s">
        <v>1371</v>
      </c>
      <c r="BN22" s="103" t="b">
        <v>1</v>
      </c>
      <c r="BQ22" s="103" t="s">
        <v>1257</v>
      </c>
      <c r="BR22" s="103" t="s">
        <v>569</v>
      </c>
      <c r="BS22" s="103" t="s">
        <v>569</v>
      </c>
      <c r="BT22" s="103">
        <v>0</v>
      </c>
      <c r="BU22" s="103"/>
      <c r="BZ22" s="103" t="s">
        <v>1462</v>
      </c>
      <c r="CA22" s="103" t="b">
        <v>1</v>
      </c>
      <c r="CB22" s="103" t="s">
        <v>1262</v>
      </c>
      <c r="DF22" s="103" t="s">
        <v>1539</v>
      </c>
      <c r="DG22" s="103" t="s">
        <v>161</v>
      </c>
      <c r="DH22" s="103" t="s">
        <v>23</v>
      </c>
      <c r="DK22" t="s">
        <v>161</v>
      </c>
      <c r="DY22" s="103" t="s">
        <v>1539</v>
      </c>
      <c r="DZ22" s="103" t="s">
        <v>161</v>
      </c>
      <c r="EA22" s="103" t="s">
        <v>23</v>
      </c>
      <c r="EB22" s="103" t="s">
        <v>1223</v>
      </c>
      <c r="EE22" t="s">
        <v>161</v>
      </c>
    </row>
    <row r="23" spans="2:135" x14ac:dyDescent="0.3">
      <c r="T23" t="s">
        <v>307</v>
      </c>
      <c r="U23" t="s">
        <v>1326</v>
      </c>
      <c r="V23" t="s">
        <v>309</v>
      </c>
      <c r="W23">
        <v>0</v>
      </c>
      <c r="BA23" s="103" t="s">
        <v>1423</v>
      </c>
      <c r="BB23" s="103" t="s">
        <v>1256</v>
      </c>
      <c r="BC23" s="103" t="s">
        <v>1120</v>
      </c>
      <c r="BD23" s="103" t="s">
        <v>1039</v>
      </c>
      <c r="BE23" t="s">
        <v>1418</v>
      </c>
      <c r="BF23" s="103" t="s">
        <v>1027</v>
      </c>
      <c r="BG23" s="103" t="s">
        <v>1223</v>
      </c>
      <c r="BJ23" t="s">
        <v>1040</v>
      </c>
      <c r="BM23" s="103" t="s">
        <v>1345</v>
      </c>
      <c r="BN23" s="103" t="b">
        <v>1</v>
      </c>
      <c r="BQ23" s="103" t="s">
        <v>1257</v>
      </c>
      <c r="BR23" s="103" t="s">
        <v>574</v>
      </c>
      <c r="BS23" s="103" t="s">
        <v>574</v>
      </c>
      <c r="BT23" s="103">
        <v>0</v>
      </c>
      <c r="BU23" s="103"/>
      <c r="BZ23" s="103" t="s">
        <v>1467</v>
      </c>
      <c r="CA23" s="103" t="b">
        <v>1</v>
      </c>
      <c r="CB23" s="103" t="s">
        <v>1267</v>
      </c>
      <c r="DF23" s="103" t="s">
        <v>1540</v>
      </c>
      <c r="DG23" s="103" t="s">
        <v>162</v>
      </c>
      <c r="DH23" s="103" t="s">
        <v>23</v>
      </c>
      <c r="DK23" t="s">
        <v>162</v>
      </c>
      <c r="DY23" s="103" t="s">
        <v>1540</v>
      </c>
      <c r="DZ23" s="103" t="s">
        <v>162</v>
      </c>
      <c r="EA23" s="103" t="s">
        <v>23</v>
      </c>
      <c r="EB23" s="103" t="s">
        <v>1223</v>
      </c>
      <c r="EE23" t="s">
        <v>162</v>
      </c>
    </row>
    <row r="24" spans="2:135" x14ac:dyDescent="0.3">
      <c r="T24" t="s">
        <v>287</v>
      </c>
      <c r="U24" t="s">
        <v>1321</v>
      </c>
      <c r="V24" t="s">
        <v>289</v>
      </c>
      <c r="W24">
        <v>0</v>
      </c>
      <c r="BA24" s="103" t="s">
        <v>1424</v>
      </c>
      <c r="BB24" s="103" t="s">
        <v>1256</v>
      </c>
      <c r="BC24" s="103" t="s">
        <v>1041</v>
      </c>
      <c r="BD24" s="103" t="s">
        <v>1042</v>
      </c>
      <c r="BE24" t="s">
        <v>1418</v>
      </c>
      <c r="BF24" s="103" t="s">
        <v>1027</v>
      </c>
      <c r="BG24" s="103" t="s">
        <v>1223</v>
      </c>
      <c r="BJ24" t="s">
        <v>1043</v>
      </c>
      <c r="BM24" s="103" t="s">
        <v>1350</v>
      </c>
      <c r="BN24" s="103" t="b">
        <v>1</v>
      </c>
      <c r="BQ24" s="103" t="s">
        <v>1257</v>
      </c>
      <c r="BR24" s="103" t="s">
        <v>576</v>
      </c>
      <c r="BS24" s="103" t="s">
        <v>576</v>
      </c>
      <c r="BT24" s="103">
        <v>0</v>
      </c>
      <c r="BU24" s="103"/>
      <c r="BZ24" s="103" t="s">
        <v>1468</v>
      </c>
      <c r="CA24" s="103" t="b">
        <v>1</v>
      </c>
      <c r="CB24" s="103" t="s">
        <v>1268</v>
      </c>
      <c r="DF24" s="103" t="s">
        <v>1545</v>
      </c>
      <c r="DG24" s="103" t="s">
        <v>167</v>
      </c>
      <c r="DH24" s="103" t="s">
        <v>23</v>
      </c>
      <c r="DK24" t="s">
        <v>167</v>
      </c>
      <c r="DY24" s="103" t="s">
        <v>1545</v>
      </c>
      <c r="DZ24" s="103" t="s">
        <v>167</v>
      </c>
      <c r="EA24" s="103" t="s">
        <v>23</v>
      </c>
      <c r="EB24" s="103" t="s">
        <v>1223</v>
      </c>
      <c r="EE24" t="s">
        <v>167</v>
      </c>
    </row>
    <row r="25" spans="2:135" x14ac:dyDescent="0.3">
      <c r="T25" t="s">
        <v>454</v>
      </c>
      <c r="U25" t="s">
        <v>1372</v>
      </c>
      <c r="V25" t="s">
        <v>455</v>
      </c>
      <c r="W25">
        <v>0</v>
      </c>
      <c r="BA25" s="103" t="s">
        <v>1425</v>
      </c>
      <c r="BB25" s="103" t="s">
        <v>1256</v>
      </c>
      <c r="BC25" s="103" t="s">
        <v>1044</v>
      </c>
      <c r="BD25" s="103" t="s">
        <v>1045</v>
      </c>
      <c r="BE25" t="s">
        <v>1418</v>
      </c>
      <c r="BF25" s="103" t="s">
        <v>1027</v>
      </c>
      <c r="BG25" s="103" t="s">
        <v>1223</v>
      </c>
      <c r="BJ25" t="s">
        <v>1046</v>
      </c>
      <c r="BM25" s="103" t="s">
        <v>1352</v>
      </c>
      <c r="BN25" s="103" t="b">
        <v>1</v>
      </c>
      <c r="BQ25" s="103" t="s">
        <v>1257</v>
      </c>
      <c r="BR25" s="103" t="s">
        <v>564</v>
      </c>
      <c r="BS25" s="103" t="s">
        <v>564</v>
      </c>
      <c r="BT25" s="103">
        <v>0</v>
      </c>
      <c r="BU25" s="103"/>
      <c r="BZ25" s="103" t="s">
        <v>1465</v>
      </c>
      <c r="CA25" s="103" t="b">
        <v>1</v>
      </c>
      <c r="CB25" s="103" t="s">
        <v>1265</v>
      </c>
      <c r="DF25" s="103" t="s">
        <v>1546</v>
      </c>
      <c r="DG25" s="103" t="s">
        <v>110</v>
      </c>
      <c r="DH25" s="103" t="s">
        <v>1094</v>
      </c>
      <c r="DK25" t="s">
        <v>1615</v>
      </c>
      <c r="DY25" s="103" t="s">
        <v>1546</v>
      </c>
      <c r="DZ25" s="103" t="s">
        <v>110</v>
      </c>
      <c r="EA25" s="103" t="s">
        <v>1094</v>
      </c>
      <c r="EB25" s="103" t="s">
        <v>1223</v>
      </c>
      <c r="EE25" t="s">
        <v>1615</v>
      </c>
    </row>
    <row r="26" spans="2:135" x14ac:dyDescent="0.3">
      <c r="T26" t="s">
        <v>874</v>
      </c>
      <c r="U26" t="s">
        <v>1349</v>
      </c>
      <c r="V26" t="s">
        <v>868</v>
      </c>
      <c r="W26">
        <v>0</v>
      </c>
      <c r="BA26" s="103" t="s">
        <v>1426</v>
      </c>
      <c r="BB26" s="103" t="s">
        <v>1256</v>
      </c>
      <c r="BC26" s="103" t="s">
        <v>1047</v>
      </c>
      <c r="BD26" s="103" t="s">
        <v>1048</v>
      </c>
      <c r="BE26" t="s">
        <v>1418</v>
      </c>
      <c r="BF26" s="103" t="s">
        <v>1027</v>
      </c>
      <c r="BG26" s="103" t="s">
        <v>1223</v>
      </c>
      <c r="BJ26" t="s">
        <v>1049</v>
      </c>
      <c r="BM26" s="103" t="s">
        <v>1377</v>
      </c>
      <c r="BN26" s="103" t="b">
        <v>1</v>
      </c>
      <c r="BQ26" s="103" t="s">
        <v>1257</v>
      </c>
      <c r="BR26" s="103" t="s">
        <v>432</v>
      </c>
      <c r="BS26" s="103" t="s">
        <v>433</v>
      </c>
      <c r="BT26" s="103">
        <v>0</v>
      </c>
      <c r="BU26" s="103"/>
      <c r="BZ26" s="103" t="s">
        <v>1466</v>
      </c>
      <c r="CA26" s="103" t="b">
        <v>1</v>
      </c>
      <c r="CB26" s="103" t="s">
        <v>1266</v>
      </c>
      <c r="DF26" s="103" t="s">
        <v>1543</v>
      </c>
      <c r="DG26" s="103" t="s">
        <v>165</v>
      </c>
      <c r="DH26" s="103" t="s">
        <v>23</v>
      </c>
      <c r="DK26" t="s">
        <v>165</v>
      </c>
      <c r="DY26" s="103" t="s">
        <v>1543</v>
      </c>
      <c r="DZ26" s="103" t="s">
        <v>165</v>
      </c>
      <c r="EA26" s="103" t="s">
        <v>23</v>
      </c>
      <c r="EB26" s="103" t="s">
        <v>1223</v>
      </c>
      <c r="EE26" t="s">
        <v>165</v>
      </c>
    </row>
    <row r="27" spans="2:135" x14ac:dyDescent="0.3">
      <c r="T27" t="s">
        <v>443</v>
      </c>
      <c r="U27" t="s">
        <v>1353</v>
      </c>
      <c r="V27" t="s">
        <v>445</v>
      </c>
      <c r="W27">
        <v>0</v>
      </c>
      <c r="BA27" s="103" t="s">
        <v>1420</v>
      </c>
      <c r="BB27" s="103" t="s">
        <v>1256</v>
      </c>
      <c r="BC27" s="103" t="s">
        <v>1421</v>
      </c>
      <c r="BD27" s="103" t="s">
        <v>292</v>
      </c>
      <c r="BE27" t="s">
        <v>1422</v>
      </c>
      <c r="BF27" s="103"/>
      <c r="BG27" s="103" t="s">
        <v>1223</v>
      </c>
      <c r="BJ27" t="s">
        <v>292</v>
      </c>
      <c r="BM27" s="103" t="s">
        <v>1313</v>
      </c>
      <c r="BN27" s="103" t="b">
        <v>1</v>
      </c>
      <c r="BQ27" s="103" t="s">
        <v>1257</v>
      </c>
      <c r="BR27" s="103" t="s">
        <v>419</v>
      </c>
      <c r="BS27" s="103" t="s">
        <v>420</v>
      </c>
      <c r="BT27" s="103">
        <v>0</v>
      </c>
      <c r="BU27" s="103"/>
      <c r="DF27" s="103" t="s">
        <v>1544</v>
      </c>
      <c r="DG27" s="103" t="s">
        <v>166</v>
      </c>
      <c r="DH27" s="103" t="s">
        <v>23</v>
      </c>
      <c r="DK27" t="s">
        <v>166</v>
      </c>
      <c r="DY27" s="103" t="s">
        <v>1544</v>
      </c>
      <c r="DZ27" s="103" t="s">
        <v>166</v>
      </c>
      <c r="EA27" s="103" t="s">
        <v>23</v>
      </c>
      <c r="EB27" s="103" t="s">
        <v>1223</v>
      </c>
      <c r="EE27" t="s">
        <v>166</v>
      </c>
    </row>
    <row r="28" spans="2:135" x14ac:dyDescent="0.3">
      <c r="B28" s="158">
        <v>1</v>
      </c>
      <c r="C28" s="158">
        <v>2</v>
      </c>
      <c r="D28" s="158">
        <v>3</v>
      </c>
      <c r="E28" s="158">
        <v>4</v>
      </c>
      <c r="F28" s="158">
        <v>5</v>
      </c>
      <c r="G28" s="158">
        <v>6</v>
      </c>
      <c r="T28" t="s">
        <v>980</v>
      </c>
      <c r="U28" t="s">
        <v>1357</v>
      </c>
      <c r="V28" t="s">
        <v>562</v>
      </c>
      <c r="W28">
        <v>0</v>
      </c>
      <c r="BA28" s="103" t="s">
        <v>1459</v>
      </c>
      <c r="BB28" s="103" t="s">
        <v>1256</v>
      </c>
      <c r="BC28" s="103" t="s">
        <v>1026</v>
      </c>
      <c r="BD28" s="103" t="s">
        <v>1026</v>
      </c>
      <c r="BE28" t="s">
        <v>1428</v>
      </c>
      <c r="BF28" s="103" t="s">
        <v>1011</v>
      </c>
      <c r="BG28" s="103" t="s">
        <v>1223</v>
      </c>
      <c r="BJ28" t="s">
        <v>1297</v>
      </c>
      <c r="BM28" s="103" t="s">
        <v>1344</v>
      </c>
      <c r="BN28" s="103" t="b">
        <v>1</v>
      </c>
      <c r="BQ28" s="103" t="s">
        <v>1257</v>
      </c>
      <c r="BR28" s="103" t="s">
        <v>325</v>
      </c>
      <c r="BS28" s="103" t="s">
        <v>326</v>
      </c>
      <c r="BT28" s="103">
        <v>0</v>
      </c>
      <c r="BU28" s="103"/>
      <c r="DF28" s="103" t="s">
        <v>1556</v>
      </c>
      <c r="DG28" s="103" t="s">
        <v>1616</v>
      </c>
      <c r="DH28" s="103" t="s">
        <v>1094</v>
      </c>
      <c r="DK28" t="s">
        <v>1616</v>
      </c>
      <c r="DY28" s="103" t="s">
        <v>1556</v>
      </c>
      <c r="DZ28" s="103" t="s">
        <v>1616</v>
      </c>
      <c r="EA28" s="103" t="s">
        <v>1094</v>
      </c>
      <c r="EB28" s="103" t="s">
        <v>1223</v>
      </c>
      <c r="EE28" t="s">
        <v>1616</v>
      </c>
    </row>
    <row r="29" spans="2:135" x14ac:dyDescent="0.3">
      <c r="B29" s="176" t="s">
        <v>1141</v>
      </c>
      <c r="C29" s="176" t="s">
        <v>1142</v>
      </c>
      <c r="D29" s="176" t="s">
        <v>1156</v>
      </c>
      <c r="E29" s="176" t="s">
        <v>1155</v>
      </c>
      <c r="F29" s="176" t="s">
        <v>1157</v>
      </c>
      <c r="G29" s="176" t="s">
        <v>1158</v>
      </c>
      <c r="T29" t="s">
        <v>981</v>
      </c>
      <c r="U29" t="s">
        <v>1374</v>
      </c>
      <c r="V29" t="s">
        <v>562</v>
      </c>
      <c r="W29">
        <v>0</v>
      </c>
      <c r="BA29" s="103" t="s">
        <v>1405</v>
      </c>
      <c r="BB29" s="103" t="s">
        <v>1256</v>
      </c>
      <c r="BC29" s="103" t="s">
        <v>1406</v>
      </c>
      <c r="BD29" s="103" t="s">
        <v>1407</v>
      </c>
      <c r="BE29" t="s">
        <v>1390</v>
      </c>
      <c r="BF29" s="103"/>
      <c r="BG29" s="103" t="s">
        <v>1223</v>
      </c>
      <c r="BJ29" t="s">
        <v>1407</v>
      </c>
      <c r="BM29" s="103" t="s">
        <v>1335</v>
      </c>
      <c r="BN29" s="103" t="b">
        <v>1</v>
      </c>
      <c r="BQ29" s="103" t="s">
        <v>1257</v>
      </c>
      <c r="BR29" s="103" t="s">
        <v>489</v>
      </c>
      <c r="BS29" s="103" t="s">
        <v>979</v>
      </c>
      <c r="BT29" s="103">
        <v>0</v>
      </c>
      <c r="BU29" s="103"/>
      <c r="DF29" s="103" t="s">
        <v>1568</v>
      </c>
      <c r="DG29" s="103" t="s">
        <v>971</v>
      </c>
      <c r="DH29" s="103" t="s">
        <v>23</v>
      </c>
      <c r="DK29" t="s">
        <v>971</v>
      </c>
      <c r="DY29" s="103" t="s">
        <v>1568</v>
      </c>
      <c r="DZ29" s="103" t="s">
        <v>971</v>
      </c>
      <c r="EA29" s="103" t="s">
        <v>23</v>
      </c>
      <c r="EB29" s="103" t="s">
        <v>1223</v>
      </c>
      <c r="EE29" t="s">
        <v>971</v>
      </c>
    </row>
    <row r="30" spans="2:135" x14ac:dyDescent="0.3">
      <c r="B30" s="198" t="s">
        <v>103</v>
      </c>
      <c r="C30" s="199" t="s">
        <v>1143</v>
      </c>
      <c r="D30" s="200" t="str">
        <f>"Web_"&amp;ListAPILink[[#This Row],[Column header]]</f>
        <v>Web_Shift</v>
      </c>
      <c r="E30" s="201">
        <v>7</v>
      </c>
      <c r="F30" s="200" t="s">
        <v>1167</v>
      </c>
      <c r="G30" t="s">
        <v>1217</v>
      </c>
      <c r="T30" t="s">
        <v>473</v>
      </c>
      <c r="U30" t="s">
        <v>1334</v>
      </c>
      <c r="V30" t="s">
        <v>475</v>
      </c>
      <c r="W30">
        <v>0</v>
      </c>
      <c r="BA30" s="103" t="s">
        <v>1408</v>
      </c>
      <c r="BB30" s="103" t="s">
        <v>1256</v>
      </c>
      <c r="BC30" s="103" t="s">
        <v>1409</v>
      </c>
      <c r="BD30" s="103" t="s">
        <v>1012</v>
      </c>
      <c r="BE30" t="s">
        <v>1405</v>
      </c>
      <c r="BF30" s="103" t="s">
        <v>1407</v>
      </c>
      <c r="BG30" s="103" t="s">
        <v>1223</v>
      </c>
      <c r="BJ30" t="s">
        <v>1585</v>
      </c>
      <c r="BM30" s="103" t="s">
        <v>1360</v>
      </c>
      <c r="BN30" s="103" t="b">
        <v>1</v>
      </c>
      <c r="BQ30" s="103" t="s">
        <v>1257</v>
      </c>
      <c r="BR30" s="103" t="s">
        <v>504</v>
      </c>
      <c r="BS30" s="103" t="s">
        <v>505</v>
      </c>
      <c r="BT30" s="103">
        <v>0</v>
      </c>
      <c r="BU30" s="103"/>
      <c r="DF30" s="103" t="s">
        <v>1569</v>
      </c>
      <c r="DG30" s="103" t="s">
        <v>129</v>
      </c>
      <c r="DH30" s="103" t="s">
        <v>1096</v>
      </c>
      <c r="DK30" t="s">
        <v>1617</v>
      </c>
      <c r="DY30" s="103" t="s">
        <v>1569</v>
      </c>
      <c r="DZ30" s="103" t="s">
        <v>129</v>
      </c>
      <c r="EA30" s="103" t="s">
        <v>1096</v>
      </c>
      <c r="EB30" s="103" t="s">
        <v>1223</v>
      </c>
      <c r="EE30" t="s">
        <v>1617</v>
      </c>
    </row>
    <row r="31" spans="2:135" x14ac:dyDescent="0.3">
      <c r="B31" s="198" t="s">
        <v>1162</v>
      </c>
      <c r="C31" s="199" t="s">
        <v>1144</v>
      </c>
      <c r="D31" s="200" t="str">
        <f>"Web_"&amp;ListAPILink[[#This Row],[Column header]]</f>
        <v>Web_CNUnit</v>
      </c>
      <c r="E31" s="201">
        <v>3</v>
      </c>
      <c r="F31" s="200" t="s">
        <v>1168</v>
      </c>
      <c r="G31" t="s">
        <v>1217</v>
      </c>
      <c r="T31" t="s">
        <v>479</v>
      </c>
      <c r="U31" t="s">
        <v>1316</v>
      </c>
      <c r="V31" t="s">
        <v>475</v>
      </c>
      <c r="W31">
        <v>0</v>
      </c>
      <c r="BA31" s="103" t="s">
        <v>1387</v>
      </c>
      <c r="BB31" s="103" t="s">
        <v>1256</v>
      </c>
      <c r="BC31" s="103" t="s">
        <v>1388</v>
      </c>
      <c r="BD31" s="103" t="s">
        <v>1389</v>
      </c>
      <c r="BE31" t="s">
        <v>1390</v>
      </c>
      <c r="BF31" s="103"/>
      <c r="BG31" s="103" t="s">
        <v>1223</v>
      </c>
      <c r="BJ31" t="s">
        <v>1389</v>
      </c>
      <c r="BM31" s="103" t="s">
        <v>1361</v>
      </c>
      <c r="BN31" s="103" t="b">
        <v>1</v>
      </c>
      <c r="BQ31" s="103" t="s">
        <v>1257</v>
      </c>
      <c r="BR31" s="103" t="s">
        <v>499</v>
      </c>
      <c r="BS31" s="103" t="s">
        <v>500</v>
      </c>
      <c r="BT31" s="103">
        <v>0</v>
      </c>
      <c r="BU31" s="103"/>
      <c r="DF31" s="103" t="s">
        <v>1566</v>
      </c>
      <c r="DG31" s="103" t="s">
        <v>970</v>
      </c>
      <c r="DH31" s="103" t="s">
        <v>23</v>
      </c>
      <c r="DK31" t="s">
        <v>970</v>
      </c>
      <c r="DY31" s="103" t="s">
        <v>1566</v>
      </c>
      <c r="DZ31" s="103" t="s">
        <v>970</v>
      </c>
      <c r="EA31" s="103" t="s">
        <v>23</v>
      </c>
      <c r="EB31" s="103" t="s">
        <v>1223</v>
      </c>
      <c r="EE31" t="s">
        <v>970</v>
      </c>
    </row>
    <row r="32" spans="2:135" x14ac:dyDescent="0.3">
      <c r="B32" s="198" t="s">
        <v>272</v>
      </c>
      <c r="C32" s="199" t="s">
        <v>1145</v>
      </c>
      <c r="D32" s="200" t="str">
        <f>"Web_"&amp;ListAPILink[[#This Row],[Column header]]</f>
        <v>Web_Activity</v>
      </c>
      <c r="E32" s="201">
        <v>3</v>
      </c>
      <c r="F32" s="200" t="s">
        <v>1169</v>
      </c>
      <c r="G32" t="s">
        <v>1217</v>
      </c>
      <c r="T32" t="s">
        <v>462</v>
      </c>
      <c r="U32" t="s">
        <v>1373</v>
      </c>
      <c r="V32" t="s">
        <v>464</v>
      </c>
      <c r="W32">
        <v>0</v>
      </c>
      <c r="BA32" s="103" t="s">
        <v>1391</v>
      </c>
      <c r="BB32" s="103" t="s">
        <v>1256</v>
      </c>
      <c r="BC32" s="103" t="s">
        <v>1392</v>
      </c>
      <c r="BD32" s="103" t="s">
        <v>1023</v>
      </c>
      <c r="BE32" t="s">
        <v>1387</v>
      </c>
      <c r="BF32" s="103" t="s">
        <v>1389</v>
      </c>
      <c r="BG32" s="103" t="s">
        <v>1223</v>
      </c>
      <c r="BJ32" t="s">
        <v>1586</v>
      </c>
      <c r="BM32" s="103" t="s">
        <v>1331</v>
      </c>
      <c r="BN32" s="103" t="b">
        <v>1</v>
      </c>
      <c r="BQ32" s="103" t="s">
        <v>1257</v>
      </c>
      <c r="BR32" s="103" t="s">
        <v>870</v>
      </c>
      <c r="BS32" s="103" t="s">
        <v>868</v>
      </c>
      <c r="BT32" s="103">
        <v>0</v>
      </c>
      <c r="BU32" s="103"/>
      <c r="DF32" s="103" t="s">
        <v>1567</v>
      </c>
      <c r="DG32" s="103" t="s">
        <v>972</v>
      </c>
      <c r="DH32" s="103" t="s">
        <v>23</v>
      </c>
      <c r="DK32" t="s">
        <v>972</v>
      </c>
      <c r="DY32" s="103" t="s">
        <v>1567</v>
      </c>
      <c r="DZ32" s="103" t="s">
        <v>972</v>
      </c>
      <c r="EA32" s="103" t="s">
        <v>23</v>
      </c>
      <c r="EB32" s="103" t="s">
        <v>1223</v>
      </c>
      <c r="EE32" t="s">
        <v>972</v>
      </c>
    </row>
    <row r="33" spans="2:135" x14ac:dyDescent="0.3">
      <c r="B33" s="198" t="s">
        <v>1163</v>
      </c>
      <c r="C33" s="199" t="s">
        <v>1146</v>
      </c>
      <c r="D33" s="200" t="str">
        <f>"Web_"&amp;ListAPILink[[#This Row],[Column header]]</f>
        <v>Web_OperatorNIK</v>
      </c>
      <c r="E33" s="201">
        <v>7</v>
      </c>
      <c r="F33" s="200" t="s">
        <v>1170</v>
      </c>
      <c r="G33" t="s">
        <v>1217</v>
      </c>
      <c r="T33" t="s">
        <v>467</v>
      </c>
      <c r="U33" t="s">
        <v>1320</v>
      </c>
      <c r="V33" t="s">
        <v>464</v>
      </c>
      <c r="W33">
        <v>0</v>
      </c>
      <c r="BA33" s="103" t="s">
        <v>1402</v>
      </c>
      <c r="BB33" s="103" t="s">
        <v>1256</v>
      </c>
      <c r="BC33" s="103" t="s">
        <v>1403</v>
      </c>
      <c r="BD33" s="103" t="s">
        <v>1404</v>
      </c>
      <c r="BE33" t="s">
        <v>1396</v>
      </c>
      <c r="BF33" s="103" t="s">
        <v>1389</v>
      </c>
      <c r="BG33" s="103" t="s">
        <v>1223</v>
      </c>
      <c r="BJ33" t="s">
        <v>1587</v>
      </c>
      <c r="BM33" s="103" t="s">
        <v>1357</v>
      </c>
      <c r="BN33" s="103" t="b">
        <v>1</v>
      </c>
      <c r="BQ33" s="103" t="s">
        <v>1257</v>
      </c>
      <c r="BR33" s="103" t="s">
        <v>474</v>
      </c>
      <c r="BS33" s="103" t="s">
        <v>562</v>
      </c>
      <c r="BT33" s="103">
        <v>0</v>
      </c>
      <c r="BU33" s="103"/>
      <c r="DF33" s="103" t="s">
        <v>1572</v>
      </c>
      <c r="DG33" s="103" t="s">
        <v>974</v>
      </c>
      <c r="DH33" s="103" t="s">
        <v>1100</v>
      </c>
      <c r="DK33" t="s">
        <v>974</v>
      </c>
      <c r="DY33" s="103" t="s">
        <v>1572</v>
      </c>
      <c r="DZ33" s="103" t="s">
        <v>974</v>
      </c>
      <c r="EA33" s="103" t="s">
        <v>1100</v>
      </c>
      <c r="EB33" s="103" t="s">
        <v>1223</v>
      </c>
      <c r="EE33" t="s">
        <v>974</v>
      </c>
    </row>
    <row r="34" spans="2:135" x14ac:dyDescent="0.3">
      <c r="B34" s="198" t="s">
        <v>1164</v>
      </c>
      <c r="C34" s="202" t="s">
        <v>1146</v>
      </c>
      <c r="D34" s="200" t="str">
        <f>"Web_"&amp;ListAPILink[[#This Row],[Column header]]</f>
        <v>Web_SupervisorNIK</v>
      </c>
      <c r="E34" s="201">
        <v>7</v>
      </c>
      <c r="F34" s="200" t="s">
        <v>1170</v>
      </c>
      <c r="G34" t="s">
        <v>1217</v>
      </c>
      <c r="T34" t="s">
        <v>470</v>
      </c>
      <c r="U34" t="s">
        <v>1363</v>
      </c>
      <c r="V34" t="s">
        <v>464</v>
      </c>
      <c r="W34">
        <v>0</v>
      </c>
      <c r="BA34" s="103" t="s">
        <v>1399</v>
      </c>
      <c r="BB34" s="103" t="s">
        <v>1256</v>
      </c>
      <c r="BC34" s="103" t="s">
        <v>1400</v>
      </c>
      <c r="BD34" s="103" t="s">
        <v>1401</v>
      </c>
      <c r="BE34" t="s">
        <v>1396</v>
      </c>
      <c r="BF34" s="103" t="s">
        <v>1389</v>
      </c>
      <c r="BG34" s="103" t="s">
        <v>1223</v>
      </c>
      <c r="BJ34" t="s">
        <v>1588</v>
      </c>
      <c r="BM34" s="103" t="s">
        <v>1334</v>
      </c>
      <c r="BN34" s="103" t="b">
        <v>1</v>
      </c>
      <c r="BQ34" s="103" t="s">
        <v>1257</v>
      </c>
      <c r="BR34" s="103" t="s">
        <v>474</v>
      </c>
      <c r="BS34" s="103" t="s">
        <v>475</v>
      </c>
      <c r="BT34" s="103">
        <v>0</v>
      </c>
      <c r="BU34" s="103"/>
      <c r="DF34" s="103" t="s">
        <v>1573</v>
      </c>
      <c r="DG34" s="103" t="s">
        <v>197</v>
      </c>
      <c r="DH34" s="103" t="s">
        <v>24</v>
      </c>
      <c r="DK34" t="s">
        <v>197</v>
      </c>
      <c r="DY34" s="103" t="s">
        <v>1573</v>
      </c>
      <c r="DZ34" s="103" t="s">
        <v>197</v>
      </c>
      <c r="EA34" s="103" t="s">
        <v>24</v>
      </c>
      <c r="EB34" s="103" t="s">
        <v>1223</v>
      </c>
      <c r="EE34" t="s">
        <v>197</v>
      </c>
    </row>
    <row r="35" spans="2:135" x14ac:dyDescent="0.3">
      <c r="B35" s="198" t="s">
        <v>1165</v>
      </c>
      <c r="C35" s="199" t="s">
        <v>1147</v>
      </c>
      <c r="D35" s="200" t="str">
        <f>"Web_"&amp;ListAPILink[[#This Row],[Column header]]</f>
        <v>Web_PITLocation</v>
      </c>
      <c r="E35" s="201">
        <v>9</v>
      </c>
      <c r="F35" s="200" t="s">
        <v>1171</v>
      </c>
      <c r="G35" t="s">
        <v>1217</v>
      </c>
      <c r="T35" t="s">
        <v>1245</v>
      </c>
      <c r="U35" t="s">
        <v>1352</v>
      </c>
      <c r="V35" t="s">
        <v>564</v>
      </c>
      <c r="W35">
        <v>0</v>
      </c>
      <c r="BM35" s="103" t="s">
        <v>1373</v>
      </c>
      <c r="BN35" s="103" t="b">
        <v>1</v>
      </c>
      <c r="BQ35" s="103" t="s">
        <v>1257</v>
      </c>
      <c r="BR35" s="103" t="s">
        <v>463</v>
      </c>
      <c r="BS35" s="103" t="s">
        <v>464</v>
      </c>
      <c r="BT35" s="103">
        <v>0</v>
      </c>
      <c r="BU35" s="103"/>
      <c r="DF35" s="103" t="s">
        <v>1570</v>
      </c>
      <c r="DG35" s="103" t="s">
        <v>128</v>
      </c>
      <c r="DH35" s="103" t="s">
        <v>1096</v>
      </c>
      <c r="DK35" t="s">
        <v>1618</v>
      </c>
      <c r="DY35" s="103" t="s">
        <v>1570</v>
      </c>
      <c r="DZ35" s="103" t="s">
        <v>128</v>
      </c>
      <c r="EA35" s="103" t="s">
        <v>1096</v>
      </c>
      <c r="EB35" s="103" t="s">
        <v>1223</v>
      </c>
      <c r="EE35" t="s">
        <v>1618</v>
      </c>
    </row>
    <row r="36" spans="2:135" x14ac:dyDescent="0.3">
      <c r="B36" s="198" t="s">
        <v>1139</v>
      </c>
      <c r="C36" s="199" t="s">
        <v>1148</v>
      </c>
      <c r="D36" s="200" t="str">
        <f>"Web_"&amp;ListAPILink[[#This Row],[Column header]]</f>
        <v>Web_Loader</v>
      </c>
      <c r="E36" s="201">
        <v>11</v>
      </c>
      <c r="F36" s="200" t="s">
        <v>1172</v>
      </c>
      <c r="G36" t="s">
        <v>1217</v>
      </c>
      <c r="T36" t="s">
        <v>1249</v>
      </c>
      <c r="U36" t="s">
        <v>1364</v>
      </c>
      <c r="V36" t="s">
        <v>566</v>
      </c>
      <c r="W36">
        <v>0</v>
      </c>
      <c r="BM36" s="103" t="s">
        <v>1353</v>
      </c>
      <c r="BN36" s="103" t="b">
        <v>1</v>
      </c>
      <c r="BQ36" s="103" t="s">
        <v>1257</v>
      </c>
      <c r="BR36" s="103" t="s">
        <v>444</v>
      </c>
      <c r="BS36" s="103" t="s">
        <v>445</v>
      </c>
      <c r="BT36" s="103">
        <v>0</v>
      </c>
      <c r="BU36" s="103"/>
      <c r="DF36" s="103" t="s">
        <v>1571</v>
      </c>
      <c r="DG36" s="103" t="s">
        <v>973</v>
      </c>
      <c r="DH36" s="103" t="s">
        <v>1100</v>
      </c>
      <c r="DK36" t="s">
        <v>973</v>
      </c>
      <c r="DY36" s="103" t="s">
        <v>1571</v>
      </c>
      <c r="DZ36" s="103" t="s">
        <v>973</v>
      </c>
      <c r="EA36" s="103" t="s">
        <v>1100</v>
      </c>
      <c r="EB36" s="103" t="s">
        <v>1223</v>
      </c>
      <c r="EE36" t="s">
        <v>973</v>
      </c>
    </row>
    <row r="37" spans="2:135" x14ac:dyDescent="0.3">
      <c r="B37" s="198" t="s">
        <v>1061</v>
      </c>
      <c r="C37" s="199" t="s">
        <v>1149</v>
      </c>
      <c r="D37" s="200" t="str">
        <f>"Web_"&amp;ListAPILink[[#This Row],[Column header]]</f>
        <v>Web_Source</v>
      </c>
      <c r="E37" s="201">
        <v>5</v>
      </c>
      <c r="F37" s="200" t="s">
        <v>1173</v>
      </c>
      <c r="G37" t="s">
        <v>1217</v>
      </c>
      <c r="T37" t="s">
        <v>567</v>
      </c>
      <c r="U37" t="s">
        <v>1359</v>
      </c>
      <c r="V37" t="s">
        <v>566</v>
      </c>
      <c r="W37">
        <v>0</v>
      </c>
      <c r="BM37" s="103" t="s">
        <v>1326</v>
      </c>
      <c r="BN37" s="103" t="b">
        <v>1</v>
      </c>
      <c r="BQ37" s="103" t="s">
        <v>1257</v>
      </c>
      <c r="BR37" s="103" t="s">
        <v>308</v>
      </c>
      <c r="BS37" s="103" t="s">
        <v>309</v>
      </c>
      <c r="BT37" s="103">
        <v>0</v>
      </c>
      <c r="BU37" s="103"/>
      <c r="DF37" s="103" t="s">
        <v>1565</v>
      </c>
      <c r="DG37" s="103" t="s">
        <v>969</v>
      </c>
      <c r="DH37" s="103" t="s">
        <v>23</v>
      </c>
      <c r="DK37" t="s">
        <v>969</v>
      </c>
      <c r="DY37" s="103" t="s">
        <v>1565</v>
      </c>
      <c r="DZ37" s="103" t="s">
        <v>969</v>
      </c>
      <c r="EA37" s="103" t="s">
        <v>23</v>
      </c>
      <c r="EB37" s="103" t="s">
        <v>1223</v>
      </c>
      <c r="EE37" t="s">
        <v>969</v>
      </c>
    </row>
    <row r="38" spans="2:135" x14ac:dyDescent="0.3">
      <c r="B38" s="198" t="s">
        <v>1140</v>
      </c>
      <c r="C38" s="199" t="s">
        <v>1150</v>
      </c>
      <c r="D38" s="200" t="str">
        <f>"Web_"&amp;ListAPILink[[#This Row],[Column header]]</f>
        <v>Web_destination</v>
      </c>
      <c r="E38" s="201">
        <v>2</v>
      </c>
      <c r="F38" s="200" t="s">
        <v>1174</v>
      </c>
      <c r="G38" t="s">
        <v>1217</v>
      </c>
      <c r="T38" t="s">
        <v>866</v>
      </c>
      <c r="U38" t="s">
        <v>1324</v>
      </c>
      <c r="V38" t="s">
        <v>868</v>
      </c>
      <c r="W38">
        <v>0</v>
      </c>
      <c r="BM38" s="103" t="s">
        <v>1321</v>
      </c>
      <c r="BN38" s="103" t="b">
        <v>1</v>
      </c>
      <c r="BQ38" s="103" t="s">
        <v>1257</v>
      </c>
      <c r="BR38" s="103" t="s">
        <v>288</v>
      </c>
      <c r="BS38" s="103" t="s">
        <v>289</v>
      </c>
      <c r="BT38" s="103">
        <v>0</v>
      </c>
      <c r="BU38" s="103"/>
      <c r="DF38" s="103" t="s">
        <v>1559</v>
      </c>
      <c r="DG38" s="103" t="s">
        <v>121</v>
      </c>
      <c r="DH38" s="103" t="s">
        <v>1098</v>
      </c>
      <c r="DK38" t="s">
        <v>1619</v>
      </c>
      <c r="DY38" s="103" t="s">
        <v>1559</v>
      </c>
      <c r="DZ38" s="103" t="s">
        <v>121</v>
      </c>
      <c r="EA38" s="103" t="s">
        <v>1098</v>
      </c>
      <c r="EB38" s="103" t="s">
        <v>1223</v>
      </c>
      <c r="EE38" t="s">
        <v>1619</v>
      </c>
    </row>
    <row r="39" spans="2:135" x14ac:dyDescent="0.3">
      <c r="B39" s="198" t="s">
        <v>34</v>
      </c>
      <c r="C39" s="199" t="s">
        <v>1151</v>
      </c>
      <c r="D39" s="200" t="str">
        <f>"Web_"&amp;ListAPILink[[#This Row],[Column header]]</f>
        <v>Web_Material</v>
      </c>
      <c r="E39" s="201">
        <v>2</v>
      </c>
      <c r="F39" s="200" t="s">
        <v>1174</v>
      </c>
      <c r="G39" t="s">
        <v>1217</v>
      </c>
      <c r="T39" t="s">
        <v>1247</v>
      </c>
      <c r="U39" t="s">
        <v>1355</v>
      </c>
      <c r="V39" t="s">
        <v>1248</v>
      </c>
      <c r="W39">
        <v>0</v>
      </c>
      <c r="BM39" s="103" t="s">
        <v>1372</v>
      </c>
      <c r="BN39" s="103" t="b">
        <v>1</v>
      </c>
      <c r="BQ39" s="103" t="s">
        <v>1257</v>
      </c>
      <c r="BR39" s="103" t="s">
        <v>450</v>
      </c>
      <c r="BS39" s="103" t="s">
        <v>455</v>
      </c>
      <c r="BT39" s="103">
        <v>0</v>
      </c>
      <c r="BU39" s="103"/>
      <c r="DF39" s="103" t="s">
        <v>1560</v>
      </c>
      <c r="DG39" s="103" t="s">
        <v>122</v>
      </c>
      <c r="DH39" s="103" t="s">
        <v>1098</v>
      </c>
      <c r="DK39" t="s">
        <v>122</v>
      </c>
      <c r="DY39" s="103" t="s">
        <v>1560</v>
      </c>
      <c r="DZ39" s="103" t="s">
        <v>122</v>
      </c>
      <c r="EA39" s="103" t="s">
        <v>1098</v>
      </c>
      <c r="EB39" s="103" t="s">
        <v>1223</v>
      </c>
      <c r="EE39" t="s">
        <v>122</v>
      </c>
    </row>
    <row r="40" spans="2:135" x14ac:dyDescent="0.3">
      <c r="B40" s="198" t="s">
        <v>1166</v>
      </c>
      <c r="C40" s="199" t="s">
        <v>1152</v>
      </c>
      <c r="D40" s="200" t="str">
        <f>"Web_"&amp;ListAPILink[[#This Row],[Column header]]</f>
        <v>Web_Event_Category</v>
      </c>
      <c r="E40" s="201">
        <v>10</v>
      </c>
      <c r="F40" s="200" t="s">
        <v>1178</v>
      </c>
      <c r="G40" t="s">
        <v>1217</v>
      </c>
      <c r="T40" t="s">
        <v>1240</v>
      </c>
      <c r="U40" t="s">
        <v>1342</v>
      </c>
      <c r="V40" t="s">
        <v>1227</v>
      </c>
      <c r="W40">
        <v>0</v>
      </c>
      <c r="DF40" s="103" t="s">
        <v>1557</v>
      </c>
      <c r="DG40" s="103" t="s">
        <v>119</v>
      </c>
      <c r="DH40" s="103" t="s">
        <v>1098</v>
      </c>
      <c r="DK40" t="s">
        <v>1620</v>
      </c>
      <c r="DY40" s="103" t="s">
        <v>1557</v>
      </c>
      <c r="DZ40" s="103" t="s">
        <v>119</v>
      </c>
      <c r="EA40" s="103" t="s">
        <v>1098</v>
      </c>
      <c r="EB40" s="103" t="s">
        <v>1223</v>
      </c>
      <c r="EE40" t="s">
        <v>1620</v>
      </c>
    </row>
    <row r="41" spans="2:135" x14ac:dyDescent="0.3">
      <c r="B41" s="198" t="s">
        <v>1159</v>
      </c>
      <c r="C41" s="199" t="s">
        <v>1153</v>
      </c>
      <c r="D41" s="200" t="str">
        <f>"Web_"&amp;ListAPILink[[#This Row],[Column header]]</f>
        <v>Web_Event_Activity</v>
      </c>
      <c r="E41" s="201">
        <v>5</v>
      </c>
      <c r="F41" s="200" t="s">
        <v>1175</v>
      </c>
      <c r="G41" t="s">
        <v>1217</v>
      </c>
      <c r="T41" t="s">
        <v>1235</v>
      </c>
      <c r="U41" t="s">
        <v>1332</v>
      </c>
      <c r="V41" t="s">
        <v>1227</v>
      </c>
      <c r="W41">
        <v>0</v>
      </c>
      <c r="DF41" s="103" t="s">
        <v>1558</v>
      </c>
      <c r="DG41" s="103" t="s">
        <v>120</v>
      </c>
      <c r="DH41" s="103" t="s">
        <v>1098</v>
      </c>
      <c r="DK41" t="s">
        <v>120</v>
      </c>
      <c r="DY41" s="103" t="s">
        <v>1558</v>
      </c>
      <c r="DZ41" s="103" t="s">
        <v>120</v>
      </c>
      <c r="EA41" s="103" t="s">
        <v>1098</v>
      </c>
      <c r="EB41" s="103" t="s">
        <v>1223</v>
      </c>
      <c r="EE41" t="s">
        <v>120</v>
      </c>
    </row>
    <row r="42" spans="2:135" x14ac:dyDescent="0.3">
      <c r="B42" s="198" t="s">
        <v>1160</v>
      </c>
      <c r="C42" s="199" t="s">
        <v>1152</v>
      </c>
      <c r="D42" s="200" t="str">
        <f>"Web_"&amp;ListAPILink[[#This Row],[Column header]]</f>
        <v>Web_Problem_Category</v>
      </c>
      <c r="E42" s="201">
        <v>7</v>
      </c>
      <c r="F42" s="200" t="s">
        <v>1176</v>
      </c>
      <c r="G42" t="s">
        <v>1217</v>
      </c>
      <c r="T42" t="s">
        <v>1226</v>
      </c>
      <c r="U42" t="s">
        <v>1314</v>
      </c>
      <c r="V42" t="s">
        <v>1227</v>
      </c>
      <c r="W42">
        <v>0</v>
      </c>
      <c r="DF42" s="103" t="s">
        <v>1563</v>
      </c>
      <c r="DG42" s="103" t="s">
        <v>126</v>
      </c>
      <c r="DH42" s="103" t="s">
        <v>1096</v>
      </c>
      <c r="DK42" t="s">
        <v>1621</v>
      </c>
      <c r="DY42" s="103" t="s">
        <v>1563</v>
      </c>
      <c r="DZ42" s="103" t="s">
        <v>126</v>
      </c>
      <c r="EA42" s="103" t="s">
        <v>1096</v>
      </c>
      <c r="EB42" s="103" t="s">
        <v>1223</v>
      </c>
      <c r="EE42" t="s">
        <v>1621</v>
      </c>
    </row>
    <row r="43" spans="2:135" x14ac:dyDescent="0.3">
      <c r="B43" s="198" t="s">
        <v>1161</v>
      </c>
      <c r="C43" s="199" t="s">
        <v>1153</v>
      </c>
      <c r="D43" s="200" t="str">
        <f>"Web_"&amp;ListAPILink[[#This Row],[Column header]]</f>
        <v>Web_Problem_Activity</v>
      </c>
      <c r="E43" s="201">
        <v>6</v>
      </c>
      <c r="F43" s="200" t="s">
        <v>1177</v>
      </c>
      <c r="G43" t="s">
        <v>1217</v>
      </c>
      <c r="T43" t="s">
        <v>1243</v>
      </c>
      <c r="U43" t="s">
        <v>1346</v>
      </c>
      <c r="V43" t="s">
        <v>1227</v>
      </c>
      <c r="W43">
        <v>0</v>
      </c>
      <c r="DF43" s="103" t="s">
        <v>1564</v>
      </c>
      <c r="DG43" s="103" t="s">
        <v>1103</v>
      </c>
      <c r="DH43" s="103" t="s">
        <v>1096</v>
      </c>
      <c r="DK43" t="s">
        <v>1103</v>
      </c>
      <c r="DY43" s="103" t="s">
        <v>1564</v>
      </c>
      <c r="DZ43" s="103" t="s">
        <v>1103</v>
      </c>
      <c r="EA43" s="103" t="s">
        <v>1096</v>
      </c>
      <c r="EB43" s="103" t="s">
        <v>1223</v>
      </c>
      <c r="EE43" t="s">
        <v>1103</v>
      </c>
    </row>
    <row r="44" spans="2:135" x14ac:dyDescent="0.3">
      <c r="B44" s="198" t="s">
        <v>1191</v>
      </c>
      <c r="C44" s="199" t="s">
        <v>1192</v>
      </c>
      <c r="D44" s="200" t="str">
        <f>"Web_"&amp;ListAPILink[[#This Row],[Column header]]</f>
        <v>Web_AccountingPeriod</v>
      </c>
      <c r="E44" s="203">
        <v>2</v>
      </c>
      <c r="F44" s="200" t="s">
        <v>1174</v>
      </c>
      <c r="G44" t="s">
        <v>1217</v>
      </c>
      <c r="T44" t="s">
        <v>1251</v>
      </c>
      <c r="U44" t="s">
        <v>1367</v>
      </c>
      <c r="V44" t="s">
        <v>1227</v>
      </c>
      <c r="W44">
        <v>0</v>
      </c>
      <c r="DF44" s="103" t="s">
        <v>1561</v>
      </c>
      <c r="DG44" s="103" t="s">
        <v>123</v>
      </c>
      <c r="DH44" s="103" t="s">
        <v>1098</v>
      </c>
      <c r="DK44" t="s">
        <v>1622</v>
      </c>
      <c r="DY44" s="103" t="s">
        <v>1561</v>
      </c>
      <c r="DZ44" s="103" t="s">
        <v>123</v>
      </c>
      <c r="EA44" s="103" t="s">
        <v>1098</v>
      </c>
      <c r="EB44" s="103" t="s">
        <v>1223</v>
      </c>
      <c r="EE44" t="s">
        <v>1622</v>
      </c>
    </row>
    <row r="45" spans="2:135" x14ac:dyDescent="0.3">
      <c r="B45" s="198" t="s">
        <v>1206</v>
      </c>
      <c r="C45" s="199" t="s">
        <v>1207</v>
      </c>
      <c r="D45" s="200" t="str">
        <f>"Web_"&amp;ListAPILink[[#This Row],[Column header]]</f>
        <v>Web_ApplicationUser</v>
      </c>
      <c r="E45" s="203">
        <v>13</v>
      </c>
      <c r="F45" s="200" t="s">
        <v>1208</v>
      </c>
      <c r="G45" t="s">
        <v>1217</v>
      </c>
      <c r="T45" t="s">
        <v>1237</v>
      </c>
      <c r="U45" t="s">
        <v>1337</v>
      </c>
      <c r="V45" t="s">
        <v>1229</v>
      </c>
      <c r="W45">
        <v>0</v>
      </c>
      <c r="DF45" s="103" t="s">
        <v>1562</v>
      </c>
      <c r="DG45" s="103" t="s">
        <v>125</v>
      </c>
      <c r="DH45" s="103" t="s">
        <v>1096</v>
      </c>
      <c r="DK45" t="s">
        <v>125</v>
      </c>
      <c r="DY45" s="103" t="s">
        <v>1562</v>
      </c>
      <c r="DZ45" s="103" t="s">
        <v>125</v>
      </c>
      <c r="EA45" s="103" t="s">
        <v>1096</v>
      </c>
      <c r="EB45" s="103" t="s">
        <v>1223</v>
      </c>
      <c r="EE45" t="s">
        <v>125</v>
      </c>
    </row>
    <row r="46" spans="2:135" x14ac:dyDescent="0.3">
      <c r="T46" t="s">
        <v>1250</v>
      </c>
      <c r="U46" t="s">
        <v>1366</v>
      </c>
      <c r="V46" t="s">
        <v>1229</v>
      </c>
      <c r="W46">
        <v>0</v>
      </c>
      <c r="DF46" s="103" t="s">
        <v>1538</v>
      </c>
      <c r="DG46" s="103" t="s">
        <v>160</v>
      </c>
      <c r="DH46" s="103" t="s">
        <v>23</v>
      </c>
      <c r="DK46" t="s">
        <v>160</v>
      </c>
      <c r="DY46" s="103" t="s">
        <v>1538</v>
      </c>
      <c r="DZ46" s="103" t="s">
        <v>160</v>
      </c>
      <c r="EA46" s="103" t="s">
        <v>23</v>
      </c>
      <c r="EB46" s="103" t="s">
        <v>1223</v>
      </c>
      <c r="EE46" t="s">
        <v>160</v>
      </c>
    </row>
    <row r="47" spans="2:135" x14ac:dyDescent="0.3">
      <c r="T47" t="s">
        <v>1255</v>
      </c>
      <c r="U47" t="s">
        <v>1380</v>
      </c>
      <c r="V47" t="s">
        <v>1229</v>
      </c>
      <c r="W47">
        <v>0</v>
      </c>
      <c r="DF47" s="103" t="s">
        <v>1514</v>
      </c>
      <c r="DG47" s="103" t="s">
        <v>201</v>
      </c>
      <c r="DH47" s="103" t="s">
        <v>24</v>
      </c>
      <c r="DK47" t="s">
        <v>201</v>
      </c>
      <c r="DY47" s="103" t="s">
        <v>1514</v>
      </c>
      <c r="DZ47" s="103" t="s">
        <v>201</v>
      </c>
      <c r="EA47" s="103" t="s">
        <v>24</v>
      </c>
      <c r="EB47" s="103" t="s">
        <v>1223</v>
      </c>
      <c r="EE47" t="s">
        <v>201</v>
      </c>
    </row>
    <row r="48" spans="2:135" x14ac:dyDescent="0.3">
      <c r="T48" t="s">
        <v>1236</v>
      </c>
      <c r="U48" t="s">
        <v>1336</v>
      </c>
      <c r="V48" t="s">
        <v>1229</v>
      </c>
      <c r="W48">
        <v>0</v>
      </c>
      <c r="DF48" s="103" t="s">
        <v>1515</v>
      </c>
      <c r="DG48" s="103" t="s">
        <v>189</v>
      </c>
      <c r="DH48" s="103" t="s">
        <v>20</v>
      </c>
      <c r="DK48" t="s">
        <v>189</v>
      </c>
      <c r="DY48" s="103" t="s">
        <v>1515</v>
      </c>
      <c r="DZ48" s="103" t="s">
        <v>189</v>
      </c>
      <c r="EA48" s="103" t="s">
        <v>20</v>
      </c>
      <c r="EB48" s="103" t="s">
        <v>1223</v>
      </c>
      <c r="EE48" t="s">
        <v>189</v>
      </c>
    </row>
    <row r="49" spans="2:135" x14ac:dyDescent="0.3">
      <c r="T49" t="s">
        <v>1238</v>
      </c>
      <c r="U49" t="s">
        <v>1338</v>
      </c>
      <c r="V49" t="s">
        <v>1229</v>
      </c>
      <c r="W49">
        <v>0</v>
      </c>
      <c r="DF49" s="103" t="s">
        <v>1512</v>
      </c>
      <c r="DG49" s="103" t="s">
        <v>153</v>
      </c>
      <c r="DH49" s="103" t="s">
        <v>23</v>
      </c>
      <c r="DK49" t="s">
        <v>153</v>
      </c>
      <c r="DY49" s="103" t="s">
        <v>1512</v>
      </c>
      <c r="DZ49" s="103" t="s">
        <v>153</v>
      </c>
      <c r="EA49" s="103" t="s">
        <v>23</v>
      </c>
      <c r="EB49" s="103" t="s">
        <v>1223</v>
      </c>
      <c r="EE49" t="s">
        <v>153</v>
      </c>
    </row>
    <row r="50" spans="2:135" x14ac:dyDescent="0.3">
      <c r="T50" t="s">
        <v>1246</v>
      </c>
      <c r="U50" t="s">
        <v>1354</v>
      </c>
      <c r="V50" t="s">
        <v>1229</v>
      </c>
      <c r="W50">
        <v>0</v>
      </c>
      <c r="DF50" s="103" t="s">
        <v>1513</v>
      </c>
      <c r="DG50" s="103" t="s">
        <v>198</v>
      </c>
      <c r="DH50" s="103" t="s">
        <v>24</v>
      </c>
      <c r="DK50" t="s">
        <v>198</v>
      </c>
      <c r="DY50" s="103" t="s">
        <v>1513</v>
      </c>
      <c r="DZ50" s="103" t="s">
        <v>198</v>
      </c>
      <c r="EA50" s="103" t="s">
        <v>24</v>
      </c>
      <c r="EB50" s="103" t="s">
        <v>1223</v>
      </c>
      <c r="EE50" t="s">
        <v>198</v>
      </c>
    </row>
    <row r="51" spans="2:135" x14ac:dyDescent="0.3">
      <c r="T51" t="s">
        <v>1252</v>
      </c>
      <c r="U51" t="s">
        <v>1368</v>
      </c>
      <c r="V51" t="s">
        <v>1229</v>
      </c>
      <c r="W51">
        <v>0</v>
      </c>
      <c r="DF51" s="103" t="s">
        <v>1518</v>
      </c>
      <c r="DG51" s="103" t="s">
        <v>30</v>
      </c>
      <c r="DH51" s="103" t="s">
        <v>1089</v>
      </c>
      <c r="DK51" t="s">
        <v>1623</v>
      </c>
      <c r="DY51" s="103" t="s">
        <v>1518</v>
      </c>
      <c r="DZ51" s="103" t="s">
        <v>30</v>
      </c>
      <c r="EA51" s="103" t="s">
        <v>1089</v>
      </c>
      <c r="EB51" s="103" t="s">
        <v>1223</v>
      </c>
      <c r="EE51" t="s">
        <v>1623</v>
      </c>
    </row>
    <row r="52" spans="2:135" x14ac:dyDescent="0.3">
      <c r="T52" t="s">
        <v>1228</v>
      </c>
      <c r="U52" t="s">
        <v>1315</v>
      </c>
      <c r="V52" t="s">
        <v>1229</v>
      </c>
      <c r="W52">
        <v>0</v>
      </c>
      <c r="DF52" s="103" t="s">
        <v>1519</v>
      </c>
      <c r="DG52" s="103" t="s">
        <v>15</v>
      </c>
      <c r="DH52" s="103" t="s">
        <v>1087</v>
      </c>
      <c r="DK52" t="s">
        <v>1624</v>
      </c>
      <c r="DY52" s="103" t="s">
        <v>1519</v>
      </c>
      <c r="DZ52" s="103" t="s">
        <v>15</v>
      </c>
      <c r="EA52" s="103" t="s">
        <v>1087</v>
      </c>
      <c r="EB52" s="103" t="s">
        <v>1223</v>
      </c>
      <c r="EE52" t="s">
        <v>1624</v>
      </c>
    </row>
    <row r="53" spans="2:135" x14ac:dyDescent="0.3">
      <c r="T53" t="s">
        <v>1231</v>
      </c>
      <c r="U53" t="s">
        <v>1323</v>
      </c>
      <c r="V53" t="s">
        <v>1232</v>
      </c>
      <c r="W53">
        <v>0</v>
      </c>
      <c r="DF53" s="103" t="s">
        <v>1516</v>
      </c>
      <c r="DG53" s="103" t="s">
        <v>152</v>
      </c>
      <c r="DH53" s="103" t="s">
        <v>23</v>
      </c>
      <c r="DK53" t="s">
        <v>152</v>
      </c>
      <c r="DY53" s="103" t="s">
        <v>1516</v>
      </c>
      <c r="DZ53" s="103" t="s">
        <v>152</v>
      </c>
      <c r="EA53" s="103" t="s">
        <v>23</v>
      </c>
      <c r="EB53" s="103" t="s">
        <v>1223</v>
      </c>
      <c r="EE53" t="s">
        <v>152</v>
      </c>
    </row>
    <row r="54" spans="2:135" x14ac:dyDescent="0.3">
      <c r="T54" t="s">
        <v>1254</v>
      </c>
      <c r="U54" t="s">
        <v>1375</v>
      </c>
      <c r="V54" t="s">
        <v>578</v>
      </c>
      <c r="W54">
        <v>0</v>
      </c>
      <c r="DF54" s="103" t="s">
        <v>1517</v>
      </c>
      <c r="DG54" s="103" t="s">
        <v>19</v>
      </c>
      <c r="DH54" s="103" t="s">
        <v>1089</v>
      </c>
      <c r="DK54" t="s">
        <v>1625</v>
      </c>
      <c r="DY54" s="103" t="s">
        <v>1517</v>
      </c>
      <c r="DZ54" s="103" t="s">
        <v>19</v>
      </c>
      <c r="EA54" s="103" t="s">
        <v>1089</v>
      </c>
      <c r="EB54" s="103" t="s">
        <v>1223</v>
      </c>
      <c r="EE54" t="s">
        <v>1625</v>
      </c>
    </row>
    <row r="55" spans="2:135" x14ac:dyDescent="0.3">
      <c r="T55" t="s">
        <v>1234</v>
      </c>
      <c r="U55" t="s">
        <v>1328</v>
      </c>
      <c r="V55" t="s">
        <v>578</v>
      </c>
      <c r="W55">
        <v>0</v>
      </c>
      <c r="DF55" s="103" t="s">
        <v>1511</v>
      </c>
      <c r="DG55" s="103" t="s">
        <v>559</v>
      </c>
      <c r="DH55" s="103" t="s">
        <v>1087</v>
      </c>
      <c r="DK55" t="s">
        <v>1626</v>
      </c>
      <c r="DY55" s="103" t="s">
        <v>1511</v>
      </c>
      <c r="DZ55" s="103" t="s">
        <v>559</v>
      </c>
      <c r="EA55" s="103" t="s">
        <v>1087</v>
      </c>
      <c r="EB55" s="103" t="s">
        <v>1223</v>
      </c>
      <c r="EE55" t="s">
        <v>1626</v>
      </c>
    </row>
    <row r="56" spans="2:135" x14ac:dyDescent="0.3">
      <c r="T56" t="s">
        <v>1233</v>
      </c>
      <c r="U56" t="s">
        <v>1327</v>
      </c>
      <c r="V56" t="s">
        <v>578</v>
      </c>
      <c r="W56">
        <v>0</v>
      </c>
      <c r="DF56" s="103" t="s">
        <v>1505</v>
      </c>
      <c r="DG56" s="103" t="s">
        <v>140</v>
      </c>
      <c r="DH56" s="103" t="s">
        <v>1087</v>
      </c>
      <c r="DK56" t="s">
        <v>1627</v>
      </c>
      <c r="DY56" s="103" t="s">
        <v>1505</v>
      </c>
      <c r="DZ56" s="103" t="s">
        <v>140</v>
      </c>
      <c r="EA56" s="103" t="s">
        <v>1087</v>
      </c>
      <c r="EB56" s="103" t="s">
        <v>1223</v>
      </c>
      <c r="EE56" t="s">
        <v>1627</v>
      </c>
    </row>
    <row r="57" spans="2:135" x14ac:dyDescent="0.3">
      <c r="T57" t="s">
        <v>355</v>
      </c>
      <c r="U57" t="s">
        <v>1362</v>
      </c>
      <c r="V57" t="s">
        <v>356</v>
      </c>
      <c r="W57">
        <v>0</v>
      </c>
      <c r="DF57" s="103" t="s">
        <v>1506</v>
      </c>
      <c r="DG57" s="103" t="s">
        <v>141</v>
      </c>
      <c r="DH57" s="103" t="s">
        <v>1087</v>
      </c>
      <c r="DK57" t="s">
        <v>1628</v>
      </c>
      <c r="DY57" s="103" t="s">
        <v>1506</v>
      </c>
      <c r="DZ57" s="103" t="s">
        <v>141</v>
      </c>
      <c r="EA57" s="103" t="s">
        <v>1087</v>
      </c>
      <c r="EB57" s="103" t="s">
        <v>1223</v>
      </c>
      <c r="EE57" t="s">
        <v>1628</v>
      </c>
    </row>
    <row r="58" spans="2:135" x14ac:dyDescent="0.3">
      <c r="T58" t="s">
        <v>370</v>
      </c>
      <c r="U58" t="s">
        <v>1369</v>
      </c>
      <c r="V58" t="s">
        <v>356</v>
      </c>
      <c r="W58">
        <v>0</v>
      </c>
      <c r="DF58" s="103" t="s">
        <v>1503</v>
      </c>
      <c r="DG58" s="103" t="s">
        <v>138</v>
      </c>
      <c r="DH58" s="103" t="s">
        <v>1087</v>
      </c>
      <c r="DK58" t="s">
        <v>1629</v>
      </c>
      <c r="DY58" s="103" t="s">
        <v>1503</v>
      </c>
      <c r="DZ58" s="103" t="s">
        <v>138</v>
      </c>
      <c r="EA58" s="103" t="s">
        <v>1087</v>
      </c>
      <c r="EB58" s="103" t="s">
        <v>1223</v>
      </c>
      <c r="EE58" t="s">
        <v>1629</v>
      </c>
    </row>
    <row r="59" spans="2:135" x14ac:dyDescent="0.3">
      <c r="T59" t="s">
        <v>384</v>
      </c>
      <c r="U59" t="s">
        <v>1351</v>
      </c>
      <c r="V59" t="s">
        <v>356</v>
      </c>
      <c r="W59">
        <v>0</v>
      </c>
      <c r="DF59" s="103" t="s">
        <v>1504</v>
      </c>
      <c r="DG59" s="103" t="s">
        <v>139</v>
      </c>
      <c r="DH59" s="103" t="s">
        <v>1087</v>
      </c>
      <c r="DK59" t="s">
        <v>1630</v>
      </c>
      <c r="DY59" s="103" t="s">
        <v>1504</v>
      </c>
      <c r="DZ59" s="103" t="s">
        <v>139</v>
      </c>
      <c r="EA59" s="103" t="s">
        <v>1087</v>
      </c>
      <c r="EB59" s="103" t="s">
        <v>1223</v>
      </c>
      <c r="EE59" t="s">
        <v>1630</v>
      </c>
    </row>
    <row r="60" spans="2:135" x14ac:dyDescent="0.3">
      <c r="T60" t="s">
        <v>399</v>
      </c>
      <c r="U60" t="s">
        <v>1348</v>
      </c>
      <c r="V60" t="s">
        <v>356</v>
      </c>
      <c r="W60">
        <v>25</v>
      </c>
      <c r="DF60" s="103" t="s">
        <v>1509</v>
      </c>
      <c r="DG60" s="103" t="s">
        <v>145</v>
      </c>
      <c r="DH60" s="103" t="s">
        <v>1087</v>
      </c>
      <c r="DK60" t="s">
        <v>1631</v>
      </c>
      <c r="DY60" s="103" t="s">
        <v>1509</v>
      </c>
      <c r="DZ60" s="103" t="s">
        <v>145</v>
      </c>
      <c r="EA60" s="103" t="s">
        <v>1087</v>
      </c>
      <c r="EB60" s="103" t="s">
        <v>1223</v>
      </c>
      <c r="EE60" t="s">
        <v>1631</v>
      </c>
    </row>
    <row r="61" spans="2:135" x14ac:dyDescent="0.3">
      <c r="T61" t="s">
        <v>408</v>
      </c>
      <c r="U61" t="s">
        <v>1325</v>
      </c>
      <c r="V61" t="s">
        <v>356</v>
      </c>
      <c r="W61">
        <v>25</v>
      </c>
      <c r="DF61" s="103" t="s">
        <v>1510</v>
      </c>
      <c r="DG61" s="103" t="s">
        <v>147</v>
      </c>
      <c r="DH61" s="103" t="s">
        <v>1087</v>
      </c>
      <c r="DK61" t="s">
        <v>1632</v>
      </c>
      <c r="DY61" s="103" t="s">
        <v>1510</v>
      </c>
      <c r="DZ61" s="103" t="s">
        <v>147</v>
      </c>
      <c r="EA61" s="103" t="s">
        <v>1087</v>
      </c>
      <c r="EB61" s="103" t="s">
        <v>1223</v>
      </c>
      <c r="EE61" t="s">
        <v>1632</v>
      </c>
    </row>
    <row r="62" spans="2:135" x14ac:dyDescent="0.3">
      <c r="T62" t="s">
        <v>1253</v>
      </c>
      <c r="U62" t="s">
        <v>1371</v>
      </c>
      <c r="V62" t="s">
        <v>569</v>
      </c>
      <c r="W62">
        <v>0</v>
      </c>
      <c r="DF62" s="103" t="s">
        <v>1507</v>
      </c>
      <c r="DG62" s="103" t="s">
        <v>142</v>
      </c>
      <c r="DH62" s="103" t="s">
        <v>1087</v>
      </c>
      <c r="DK62" t="s">
        <v>1633</v>
      </c>
      <c r="DY62" s="103" t="s">
        <v>1507</v>
      </c>
      <c r="DZ62" s="103" t="s">
        <v>142</v>
      </c>
      <c r="EA62" s="103" t="s">
        <v>1087</v>
      </c>
      <c r="EB62" s="103" t="s">
        <v>1223</v>
      </c>
      <c r="EE62" t="s">
        <v>1633</v>
      </c>
    </row>
    <row r="63" spans="2:135" x14ac:dyDescent="0.3">
      <c r="B63" t="s">
        <v>1132</v>
      </c>
      <c r="C63" t="s">
        <v>1133</v>
      </c>
      <c r="T63" t="s">
        <v>1239</v>
      </c>
      <c r="U63" t="s">
        <v>1339</v>
      </c>
      <c r="V63" t="s">
        <v>569</v>
      </c>
      <c r="W63">
        <v>0</v>
      </c>
      <c r="DF63" s="103" t="s">
        <v>1508</v>
      </c>
      <c r="DG63" s="103" t="s">
        <v>144</v>
      </c>
      <c r="DH63" s="103" t="s">
        <v>1087</v>
      </c>
      <c r="DK63" t="s">
        <v>1634</v>
      </c>
      <c r="DY63" s="103" t="s">
        <v>1508</v>
      </c>
      <c r="DZ63" s="103" t="s">
        <v>144</v>
      </c>
      <c r="EA63" s="103" t="s">
        <v>1087</v>
      </c>
      <c r="EB63" s="103" t="s">
        <v>1223</v>
      </c>
      <c r="EE63" t="s">
        <v>1634</v>
      </c>
    </row>
    <row r="64" spans="2:135" x14ac:dyDescent="0.3">
      <c r="B64" s="156" t="s">
        <v>1136</v>
      </c>
      <c r="C64" t="s">
        <v>1131</v>
      </c>
      <c r="T64" t="s">
        <v>1230</v>
      </c>
      <c r="U64" t="s">
        <v>1322</v>
      </c>
      <c r="V64" t="s">
        <v>566</v>
      </c>
      <c r="W64">
        <v>0</v>
      </c>
      <c r="DF64" s="103" t="s">
        <v>1520</v>
      </c>
      <c r="DG64" s="103" t="s">
        <v>16</v>
      </c>
      <c r="DH64" s="103" t="s">
        <v>1087</v>
      </c>
      <c r="DK64" t="s">
        <v>1635</v>
      </c>
      <c r="DY64" s="103" t="s">
        <v>1520</v>
      </c>
      <c r="DZ64" s="103" t="s">
        <v>16</v>
      </c>
      <c r="EA64" s="103" t="s">
        <v>1087</v>
      </c>
      <c r="EB64" s="103" t="s">
        <v>1223</v>
      </c>
      <c r="EE64" t="s">
        <v>1635</v>
      </c>
    </row>
    <row r="65" spans="2:135" x14ac:dyDescent="0.3">
      <c r="B65" s="303" t="s">
        <v>1647</v>
      </c>
      <c r="C65" s="302" t="s">
        <v>1647</v>
      </c>
      <c r="T65" t="s">
        <v>1241</v>
      </c>
      <c r="U65" t="s">
        <v>1343</v>
      </c>
      <c r="V65" t="s">
        <v>566</v>
      </c>
      <c r="W65">
        <v>0</v>
      </c>
      <c r="DF65" s="103" t="s">
        <v>1532</v>
      </c>
      <c r="DG65" s="103" t="s">
        <v>154</v>
      </c>
      <c r="DH65" s="103" t="s">
        <v>23</v>
      </c>
      <c r="DK65" t="s">
        <v>154</v>
      </c>
      <c r="DY65" s="103" t="s">
        <v>1532</v>
      </c>
      <c r="DZ65" s="103" t="s">
        <v>154</v>
      </c>
      <c r="EA65" s="103" t="s">
        <v>23</v>
      </c>
      <c r="EB65" s="103" t="s">
        <v>1223</v>
      </c>
      <c r="EE65" t="s">
        <v>154</v>
      </c>
    </row>
    <row r="66" spans="2:135" x14ac:dyDescent="0.3">
      <c r="B66" s="156" t="s">
        <v>1137</v>
      </c>
      <c r="C66" t="s">
        <v>1057</v>
      </c>
      <c r="T66" t="s">
        <v>1242</v>
      </c>
      <c r="U66" t="s">
        <v>1345</v>
      </c>
      <c r="V66" t="s">
        <v>574</v>
      </c>
      <c r="W66">
        <v>0</v>
      </c>
      <c r="DF66" s="103" t="s">
        <v>1533</v>
      </c>
      <c r="DG66" s="103" t="s">
        <v>155</v>
      </c>
      <c r="DH66" s="103" t="s">
        <v>23</v>
      </c>
      <c r="DK66" t="s">
        <v>155</v>
      </c>
      <c r="DY66" s="103" t="s">
        <v>1533</v>
      </c>
      <c r="DZ66" s="103" t="s">
        <v>155</v>
      </c>
      <c r="EA66" s="103" t="s">
        <v>23</v>
      </c>
      <c r="EB66" s="103" t="s">
        <v>1223</v>
      </c>
      <c r="EE66" t="s">
        <v>155</v>
      </c>
    </row>
    <row r="67" spans="2:135" x14ac:dyDescent="0.3">
      <c r="B67" s="156" t="s">
        <v>1129</v>
      </c>
      <c r="C67" t="s">
        <v>1130</v>
      </c>
      <c r="T67" t="s">
        <v>1244</v>
      </c>
      <c r="U67" t="s">
        <v>1350</v>
      </c>
      <c r="V67" t="s">
        <v>576</v>
      </c>
      <c r="W67">
        <v>0</v>
      </c>
      <c r="DF67" s="103" t="s">
        <v>1530</v>
      </c>
      <c r="DG67" s="103" t="s">
        <v>191</v>
      </c>
      <c r="DH67" s="103" t="s">
        <v>20</v>
      </c>
      <c r="DK67" t="s">
        <v>191</v>
      </c>
      <c r="DY67" s="103" t="s">
        <v>1530</v>
      </c>
      <c r="DZ67" s="103" t="s">
        <v>191</v>
      </c>
      <c r="EA67" s="103" t="s">
        <v>20</v>
      </c>
      <c r="EB67" s="103" t="s">
        <v>1223</v>
      </c>
      <c r="EE67" t="s">
        <v>191</v>
      </c>
    </row>
    <row r="68" spans="2:135" x14ac:dyDescent="0.3">
      <c r="B68" s="156" t="s">
        <v>1135</v>
      </c>
      <c r="C68" t="s">
        <v>1134</v>
      </c>
      <c r="T68" t="s">
        <v>449</v>
      </c>
      <c r="U68" t="s">
        <v>1376</v>
      </c>
      <c r="V68" t="s">
        <v>451</v>
      </c>
      <c r="W68">
        <v>0</v>
      </c>
      <c r="DF68" s="103" t="s">
        <v>1531</v>
      </c>
      <c r="DG68" s="103" t="s">
        <v>187</v>
      </c>
      <c r="DH68" s="103" t="s">
        <v>20</v>
      </c>
      <c r="DK68" t="s">
        <v>187</v>
      </c>
      <c r="DY68" s="103" t="s">
        <v>1531</v>
      </c>
      <c r="DZ68" s="103" t="s">
        <v>187</v>
      </c>
      <c r="EA68" s="103" t="s">
        <v>20</v>
      </c>
      <c r="EB68" s="103" t="s">
        <v>1223</v>
      </c>
      <c r="EE68" t="s">
        <v>187</v>
      </c>
    </row>
    <row r="69" spans="2:135" x14ac:dyDescent="0.3">
      <c r="B69" s="156" t="s">
        <v>1648</v>
      </c>
      <c r="C69" t="s">
        <v>1648</v>
      </c>
      <c r="T69" t="s">
        <v>483</v>
      </c>
      <c r="U69" t="s">
        <v>1319</v>
      </c>
      <c r="V69" t="s">
        <v>484</v>
      </c>
      <c r="W69">
        <v>0</v>
      </c>
      <c r="DF69" s="103" t="s">
        <v>1536</v>
      </c>
      <c r="DG69" s="103" t="s">
        <v>158</v>
      </c>
      <c r="DH69" s="103" t="s">
        <v>23</v>
      </c>
      <c r="DK69" t="s">
        <v>158</v>
      </c>
      <c r="DY69" s="103" t="s">
        <v>1536</v>
      </c>
      <c r="DZ69" s="103" t="s">
        <v>158</v>
      </c>
      <c r="EA69" s="103" t="s">
        <v>23</v>
      </c>
      <c r="EB69" s="103" t="s">
        <v>1223</v>
      </c>
      <c r="EE69" t="s">
        <v>158</v>
      </c>
    </row>
    <row r="70" spans="2:135" x14ac:dyDescent="0.3">
      <c r="B70" s="156"/>
      <c r="T70" t="s">
        <v>994</v>
      </c>
      <c r="U70" t="s">
        <v>1317</v>
      </c>
      <c r="V70" t="s">
        <v>356</v>
      </c>
      <c r="W70">
        <v>25</v>
      </c>
      <c r="DF70" s="103" t="s">
        <v>1537</v>
      </c>
      <c r="DG70" s="103" t="s">
        <v>159</v>
      </c>
      <c r="DH70" s="103" t="s">
        <v>23</v>
      </c>
      <c r="DK70" t="s">
        <v>159</v>
      </c>
      <c r="DY70" s="103" t="s">
        <v>1537</v>
      </c>
      <c r="DZ70" s="103" t="s">
        <v>159</v>
      </c>
      <c r="EA70" s="103" t="s">
        <v>23</v>
      </c>
      <c r="EB70" s="103" t="s">
        <v>1223</v>
      </c>
      <c r="EE70" t="s">
        <v>159</v>
      </c>
    </row>
    <row r="71" spans="2:135" x14ac:dyDescent="0.3">
      <c r="T71" t="s">
        <v>995</v>
      </c>
      <c r="U71" t="s">
        <v>1318</v>
      </c>
      <c r="V71" t="s">
        <v>356</v>
      </c>
      <c r="W71">
        <v>25</v>
      </c>
      <c r="DF71" s="103" t="s">
        <v>1534</v>
      </c>
      <c r="DG71" s="103" t="s">
        <v>156</v>
      </c>
      <c r="DH71" s="103" t="s">
        <v>23</v>
      </c>
      <c r="DK71" t="s">
        <v>156</v>
      </c>
      <c r="DY71" s="103" t="s">
        <v>1534</v>
      </c>
      <c r="DZ71" s="103" t="s">
        <v>156</v>
      </c>
      <c r="EA71" s="103" t="s">
        <v>23</v>
      </c>
      <c r="EB71" s="103" t="s">
        <v>1223</v>
      </c>
      <c r="EE71" t="s">
        <v>156</v>
      </c>
    </row>
    <row r="72" spans="2:135" x14ac:dyDescent="0.3">
      <c r="T72" t="s">
        <v>1330</v>
      </c>
      <c r="U72" t="s">
        <v>1329</v>
      </c>
      <c r="V72" t="s">
        <v>356</v>
      </c>
      <c r="W72">
        <v>25</v>
      </c>
      <c r="DF72" s="103" t="s">
        <v>1535</v>
      </c>
      <c r="DG72" s="103" t="s">
        <v>157</v>
      </c>
      <c r="DH72" s="103" t="s">
        <v>23</v>
      </c>
      <c r="DK72" t="s">
        <v>157</v>
      </c>
      <c r="DY72" s="103" t="s">
        <v>1535</v>
      </c>
      <c r="DZ72" s="103" t="s">
        <v>157</v>
      </c>
      <c r="EA72" s="103" t="s">
        <v>23</v>
      </c>
      <c r="EB72" s="103" t="s">
        <v>1223</v>
      </c>
      <c r="EE72" t="s">
        <v>157</v>
      </c>
    </row>
    <row r="73" spans="2:135" x14ac:dyDescent="0.3">
      <c r="T73" t="s">
        <v>1341</v>
      </c>
      <c r="U73" t="s">
        <v>1340</v>
      </c>
      <c r="V73" t="s">
        <v>356</v>
      </c>
      <c r="W73">
        <v>25</v>
      </c>
      <c r="DF73" s="103" t="s">
        <v>1529</v>
      </c>
      <c r="DG73" s="103" t="s">
        <v>190</v>
      </c>
      <c r="DH73" s="103" t="s">
        <v>20</v>
      </c>
      <c r="DK73" t="s">
        <v>190</v>
      </c>
      <c r="DY73" s="103" t="s">
        <v>1529</v>
      </c>
      <c r="DZ73" s="103" t="s">
        <v>190</v>
      </c>
      <c r="EA73" s="103" t="s">
        <v>20</v>
      </c>
      <c r="EB73" s="103" t="s">
        <v>1223</v>
      </c>
      <c r="EE73" t="s">
        <v>190</v>
      </c>
    </row>
    <row r="74" spans="2:135" x14ac:dyDescent="0.3">
      <c r="T74" t="s">
        <v>1379</v>
      </c>
      <c r="U74" t="s">
        <v>1378</v>
      </c>
      <c r="V74" t="s">
        <v>356</v>
      </c>
      <c r="W74">
        <v>25</v>
      </c>
      <c r="DF74" s="103" t="s">
        <v>1523</v>
      </c>
      <c r="DG74" s="103" t="s">
        <v>143</v>
      </c>
      <c r="DH74" s="103" t="s">
        <v>1087</v>
      </c>
      <c r="DK74" t="s">
        <v>1636</v>
      </c>
      <c r="DY74" s="103" t="s">
        <v>1523</v>
      </c>
      <c r="DZ74" s="103" t="s">
        <v>143</v>
      </c>
      <c r="EA74" s="103" t="s">
        <v>1087</v>
      </c>
      <c r="EB74" s="103" t="s">
        <v>1223</v>
      </c>
      <c r="EE74" t="s">
        <v>1636</v>
      </c>
    </row>
    <row r="75" spans="2:135" x14ac:dyDescent="0.3">
      <c r="T75" t="s">
        <v>493</v>
      </c>
      <c r="U75" t="s">
        <v>1347</v>
      </c>
      <c r="V75" t="s">
        <v>494</v>
      </c>
      <c r="W75">
        <v>0</v>
      </c>
      <c r="DF75" s="103" t="s">
        <v>1524</v>
      </c>
      <c r="DG75" s="103" t="s">
        <v>136</v>
      </c>
      <c r="DH75" s="103" t="s">
        <v>1087</v>
      </c>
      <c r="DK75" t="s">
        <v>1637</v>
      </c>
      <c r="DY75" s="103" t="s">
        <v>1524</v>
      </c>
      <c r="DZ75" s="103" t="s">
        <v>136</v>
      </c>
      <c r="EA75" s="103" t="s">
        <v>1087</v>
      </c>
      <c r="EB75" s="103" t="s">
        <v>1223</v>
      </c>
      <c r="EE75" t="s">
        <v>1637</v>
      </c>
    </row>
    <row r="76" spans="2:135" x14ac:dyDescent="0.3">
      <c r="T76" t="s">
        <v>458</v>
      </c>
      <c r="U76" t="s">
        <v>1356</v>
      </c>
      <c r="V76" t="s">
        <v>459</v>
      </c>
      <c r="W76">
        <v>0</v>
      </c>
      <c r="DF76" s="103" t="s">
        <v>1521</v>
      </c>
      <c r="DG76" s="103" t="s">
        <v>133</v>
      </c>
      <c r="DH76" s="103" t="s">
        <v>1087</v>
      </c>
      <c r="DK76" t="s">
        <v>1638</v>
      </c>
      <c r="DY76" s="103" t="s">
        <v>1521</v>
      </c>
      <c r="DZ76" s="103" t="s">
        <v>133</v>
      </c>
      <c r="EA76" s="103" t="s">
        <v>1087</v>
      </c>
      <c r="EB76" s="103" t="s">
        <v>1223</v>
      </c>
      <c r="EE76" t="s">
        <v>1638</v>
      </c>
    </row>
    <row r="77" spans="2:135" x14ac:dyDescent="0.3">
      <c r="DF77" s="103" t="s">
        <v>1522</v>
      </c>
      <c r="DG77" s="103" t="s">
        <v>134</v>
      </c>
      <c r="DH77" s="103" t="s">
        <v>1087</v>
      </c>
      <c r="DK77" t="s">
        <v>1639</v>
      </c>
      <c r="DY77" s="103" t="s">
        <v>1522</v>
      </c>
      <c r="DZ77" s="103" t="s">
        <v>134</v>
      </c>
      <c r="EA77" s="103" t="s">
        <v>1087</v>
      </c>
      <c r="EB77" s="103" t="s">
        <v>1223</v>
      </c>
      <c r="EE77" t="s">
        <v>1639</v>
      </c>
    </row>
    <row r="78" spans="2:135" x14ac:dyDescent="0.3">
      <c r="DF78" s="103" t="s">
        <v>1527</v>
      </c>
      <c r="DG78" s="103" t="s">
        <v>200</v>
      </c>
      <c r="DH78" s="103" t="s">
        <v>24</v>
      </c>
      <c r="DK78" t="s">
        <v>200</v>
      </c>
      <c r="DY78" s="103" t="s">
        <v>1527</v>
      </c>
      <c r="DZ78" s="103" t="s">
        <v>200</v>
      </c>
      <c r="EA78" s="103" t="s">
        <v>24</v>
      </c>
      <c r="EB78" s="103" t="s">
        <v>1223</v>
      </c>
      <c r="EE78" t="s">
        <v>200</v>
      </c>
    </row>
    <row r="79" spans="2:135" x14ac:dyDescent="0.3">
      <c r="DF79" s="103" t="s">
        <v>1528</v>
      </c>
      <c r="DG79" s="103" t="s">
        <v>188</v>
      </c>
      <c r="DH79" s="103" t="s">
        <v>20</v>
      </c>
      <c r="DK79" t="s">
        <v>188</v>
      </c>
      <c r="DY79" s="103" t="s">
        <v>1528</v>
      </c>
      <c r="DZ79" s="103" t="s">
        <v>188</v>
      </c>
      <c r="EA79" s="103" t="s">
        <v>20</v>
      </c>
      <c r="EB79" s="103" t="s">
        <v>1223</v>
      </c>
      <c r="EE79" t="s">
        <v>188</v>
      </c>
    </row>
    <row r="80" spans="2:135" x14ac:dyDescent="0.3">
      <c r="DF80" s="103" t="s">
        <v>1525</v>
      </c>
      <c r="DG80" s="103" t="s">
        <v>137</v>
      </c>
      <c r="DH80" s="103" t="s">
        <v>1087</v>
      </c>
      <c r="DK80" t="s">
        <v>1640</v>
      </c>
      <c r="DY80" s="103" t="s">
        <v>1525</v>
      </c>
      <c r="DZ80" s="103" t="s">
        <v>137</v>
      </c>
      <c r="EA80" s="103" t="s">
        <v>1087</v>
      </c>
      <c r="EB80" s="103" t="s">
        <v>1223</v>
      </c>
      <c r="EE80" t="s">
        <v>1640</v>
      </c>
    </row>
    <row r="81" spans="110:135" x14ac:dyDescent="0.3">
      <c r="DF81" s="103" t="s">
        <v>1526</v>
      </c>
      <c r="DG81" s="103" t="s">
        <v>199</v>
      </c>
      <c r="DH81" s="103" t="s">
        <v>24</v>
      </c>
      <c r="DK81" t="s">
        <v>199</v>
      </c>
      <c r="DY81" s="103" t="s">
        <v>1526</v>
      </c>
      <c r="DZ81" s="103" t="s">
        <v>199</v>
      </c>
      <c r="EA81" s="103" t="s">
        <v>24</v>
      </c>
      <c r="EB81" s="103" t="s">
        <v>1223</v>
      </c>
      <c r="EE81" t="s">
        <v>199</v>
      </c>
    </row>
  </sheetData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1:ES73"/>
  <sheetViews>
    <sheetView showGridLines="0" topLeftCell="DI1" zoomScale="130" zoomScaleNormal="130" workbookViewId="0">
      <selection activeCell="DL7" sqref="DL7"/>
    </sheetView>
  </sheetViews>
  <sheetFormatPr defaultRowHeight="14.4" x14ac:dyDescent="0.3"/>
  <cols>
    <col min="2" max="2" width="35.109375" bestFit="1" customWidth="1"/>
    <col min="3" max="3" width="26.77734375" bestFit="1" customWidth="1"/>
    <col min="4" max="4" width="20" bestFit="1" customWidth="1"/>
    <col min="5" max="5" width="12.77734375" bestFit="1" customWidth="1"/>
    <col min="6" max="6" width="11.33203125" bestFit="1" customWidth="1"/>
    <col min="7" max="7" width="12" bestFit="1" customWidth="1"/>
    <col min="8" max="8" width="21" bestFit="1" customWidth="1"/>
    <col min="11" max="11" width="13.33203125" bestFit="1" customWidth="1"/>
    <col min="12" max="12" width="36.88671875" bestFit="1" customWidth="1"/>
    <col min="13" max="13" width="25.6640625" bestFit="1" customWidth="1"/>
    <col min="16" max="16" width="32.109375" bestFit="1" customWidth="1"/>
    <col min="17" max="17" width="35.109375" bestFit="1" customWidth="1"/>
    <col min="18" max="18" width="20.33203125" bestFit="1" customWidth="1"/>
    <col min="21" max="21" width="8.77734375" bestFit="1" customWidth="1"/>
    <col min="22" max="22" width="34.88671875" bestFit="1" customWidth="1"/>
    <col min="23" max="23" width="20.6640625" bestFit="1" customWidth="1"/>
    <col min="24" max="24" width="18.44140625" bestFit="1" customWidth="1"/>
    <col min="25" max="25" width="9.77734375" bestFit="1" customWidth="1"/>
    <col min="26" max="26" width="13.88671875" bestFit="1" customWidth="1"/>
    <col min="27" max="27" width="15.109375" bestFit="1" customWidth="1"/>
    <col min="32" max="32" width="34.88671875" bestFit="1" customWidth="1"/>
    <col min="33" max="33" width="18" bestFit="1" customWidth="1"/>
    <col min="34" max="34" width="17.21875" bestFit="1" customWidth="1"/>
    <col min="35" max="35" width="7.21875" bestFit="1" customWidth="1"/>
    <col min="36" max="36" width="11.21875" bestFit="1" customWidth="1"/>
    <col min="37" max="37" width="12.5546875" bestFit="1" customWidth="1"/>
    <col min="64" max="64" width="36.77734375" bestFit="1" customWidth="1"/>
    <col min="65" max="65" width="8.33203125" bestFit="1" customWidth="1"/>
    <col min="66" max="66" width="19.44140625" bestFit="1" customWidth="1"/>
    <col min="67" max="67" width="4.6640625" bestFit="1" customWidth="1"/>
    <col min="68" max="68" width="5.6640625" bestFit="1" customWidth="1"/>
    <col min="71" max="71" width="34.77734375" bestFit="1" customWidth="1"/>
    <col min="72" max="72" width="25.21875" bestFit="1" customWidth="1"/>
    <col min="75" max="75" width="35.109375" bestFit="1" customWidth="1"/>
    <col min="76" max="76" width="28.109375" bestFit="1" customWidth="1"/>
    <col min="84" max="84" width="35.109375" bestFit="1" customWidth="1"/>
    <col min="85" max="85" width="11.21875" bestFit="1" customWidth="1"/>
    <col min="86" max="86" width="34" bestFit="1" customWidth="1"/>
    <col min="87" max="87" width="33.21875" bestFit="1" customWidth="1"/>
    <col min="88" max="88" width="26" bestFit="1" customWidth="1"/>
    <col min="89" max="89" width="15.77734375" bestFit="1" customWidth="1"/>
    <col min="90" max="90" width="25.109375" bestFit="1" customWidth="1"/>
    <col min="91" max="91" width="40.109375" bestFit="1" customWidth="1"/>
    <col min="92" max="92" width="8.33203125" bestFit="1" customWidth="1"/>
    <col min="93" max="93" width="7" bestFit="1" customWidth="1"/>
    <col min="96" max="96" width="35.109375" bestFit="1" customWidth="1"/>
    <col min="97" max="97" width="31" bestFit="1" customWidth="1"/>
    <col min="98" max="98" width="31.33203125" bestFit="1" customWidth="1"/>
    <col min="99" max="99" width="5.77734375" bestFit="1" customWidth="1"/>
    <col min="100" max="100" width="4.44140625" bestFit="1" customWidth="1"/>
    <col min="104" max="104" width="35.109375" bestFit="1" customWidth="1"/>
    <col min="105" max="105" width="31.33203125" bestFit="1" customWidth="1"/>
    <col min="106" max="106" width="23.33203125" bestFit="1" customWidth="1"/>
    <col min="107" max="107" width="22.44140625" bestFit="1" customWidth="1"/>
    <col min="108" max="108" width="37.44140625" bestFit="1" customWidth="1"/>
    <col min="109" max="109" width="5.77734375" bestFit="1" customWidth="1"/>
    <col min="110" max="110" width="4.44140625" bestFit="1" customWidth="1"/>
    <col min="114" max="114" width="35.109375" bestFit="1" customWidth="1"/>
    <col min="115" max="115" width="31" bestFit="1" customWidth="1"/>
    <col min="116" max="116" width="31.33203125" bestFit="1" customWidth="1"/>
    <col min="117" max="117" width="20.88671875" bestFit="1" customWidth="1"/>
    <col min="118" max="118" width="8.88671875" bestFit="1" customWidth="1"/>
    <col min="119" max="119" width="7.88671875" bestFit="1" customWidth="1"/>
    <col min="124" max="124" width="37.109375" bestFit="1" customWidth="1"/>
    <col min="125" max="125" width="20.88671875" customWidth="1"/>
    <col min="129" max="129" width="36.88671875" bestFit="1" customWidth="1"/>
    <col min="130" max="130" width="8.33203125" bestFit="1" customWidth="1"/>
    <col min="133" max="133" width="36.33203125" bestFit="1" customWidth="1"/>
    <col min="134" max="135" width="8.77734375" customWidth="1"/>
    <col min="136" max="136" width="26.77734375" bestFit="1" customWidth="1"/>
    <col min="137" max="137" width="21.109375" bestFit="1" customWidth="1"/>
    <col min="138" max="138" width="25.77734375" bestFit="1" customWidth="1"/>
    <col min="139" max="139" width="17.5546875" bestFit="1" customWidth="1"/>
    <col min="140" max="140" width="39.109375" bestFit="1" customWidth="1"/>
    <col min="141" max="141" width="27.44140625" bestFit="1" customWidth="1"/>
    <col min="142" max="144" width="8.77734375" customWidth="1"/>
    <col min="145" max="145" width="21.77734375" bestFit="1" customWidth="1"/>
    <col min="146" max="146" width="17.88671875" customWidth="1"/>
    <col min="147" max="147" width="13.21875" customWidth="1"/>
    <col min="148" max="148" width="34.88671875" bestFit="1" customWidth="1"/>
    <col min="149" max="149" width="14.5546875" customWidth="1"/>
    <col min="150" max="150" width="19.5546875" customWidth="1"/>
    <col min="151" max="151" width="21.21875" customWidth="1"/>
    <col min="152" max="152" width="17.33203125" customWidth="1"/>
    <col min="153" max="153" width="20.6640625" customWidth="1"/>
    <col min="154" max="154" width="13.21875" customWidth="1"/>
    <col min="155" max="155" width="19.33203125" customWidth="1"/>
    <col min="156" max="156" width="20.44140625" customWidth="1"/>
    <col min="157" max="157" width="20.77734375" customWidth="1"/>
    <col min="158" max="158" width="21.5546875" customWidth="1"/>
  </cols>
  <sheetData>
    <row r="1" spans="2:149" x14ac:dyDescent="0.3">
      <c r="DY1" s="113" t="s">
        <v>1193</v>
      </c>
      <c r="EC1" s="113" t="s">
        <v>1214</v>
      </c>
    </row>
    <row r="2" spans="2:149" ht="15" thickBot="1" x14ac:dyDescent="0.35">
      <c r="B2" t="s">
        <v>984</v>
      </c>
      <c r="C2" t="s">
        <v>985</v>
      </c>
      <c r="D2" t="s">
        <v>986</v>
      </c>
      <c r="E2" t="s">
        <v>987</v>
      </c>
      <c r="F2" t="s">
        <v>988</v>
      </c>
      <c r="G2" t="s">
        <v>989</v>
      </c>
      <c r="H2" t="s">
        <v>990</v>
      </c>
      <c r="K2" t="s">
        <v>992</v>
      </c>
      <c r="L2" t="s">
        <v>993</v>
      </c>
      <c r="M2" t="s">
        <v>1059</v>
      </c>
      <c r="P2" t="s">
        <v>992</v>
      </c>
      <c r="Q2" t="s">
        <v>993</v>
      </c>
      <c r="R2" t="s">
        <v>996</v>
      </c>
      <c r="U2" t="s">
        <v>997</v>
      </c>
      <c r="V2" t="s">
        <v>984</v>
      </c>
      <c r="W2" t="s">
        <v>998</v>
      </c>
      <c r="X2" t="s">
        <v>999</v>
      </c>
      <c r="Y2" t="s">
        <v>1000</v>
      </c>
      <c r="Z2" t="s">
        <v>1001</v>
      </c>
      <c r="AA2" t="s">
        <v>1002</v>
      </c>
      <c r="AE2" t="s">
        <v>997</v>
      </c>
      <c r="AF2" t="s">
        <v>984</v>
      </c>
      <c r="AG2" t="s">
        <v>998</v>
      </c>
      <c r="AH2" t="s">
        <v>999</v>
      </c>
      <c r="AI2" t="s">
        <v>1000</v>
      </c>
      <c r="AJ2" t="s">
        <v>1001</v>
      </c>
      <c r="AK2" t="s">
        <v>1002</v>
      </c>
      <c r="AN2" t="s">
        <v>984</v>
      </c>
      <c r="AO2" t="s">
        <v>1005</v>
      </c>
      <c r="AP2" t="s">
        <v>1006</v>
      </c>
      <c r="AQ2" t="s">
        <v>1007</v>
      </c>
      <c r="AR2" t="s">
        <v>1008</v>
      </c>
      <c r="AS2" t="s">
        <v>1009</v>
      </c>
      <c r="AT2" t="s">
        <v>990</v>
      </c>
      <c r="AU2" t="s">
        <v>992</v>
      </c>
      <c r="AV2" t="s">
        <v>993</v>
      </c>
      <c r="AY2" t="s">
        <v>984</v>
      </c>
      <c r="AZ2" t="s">
        <v>1050</v>
      </c>
      <c r="BA2" t="s">
        <v>1051</v>
      </c>
      <c r="BB2" t="s">
        <v>1052</v>
      </c>
      <c r="BC2" t="s">
        <v>1005</v>
      </c>
      <c r="BD2" t="s">
        <v>1053</v>
      </c>
      <c r="BE2" t="s">
        <v>1054</v>
      </c>
      <c r="BF2" t="s">
        <v>1055</v>
      </c>
      <c r="BG2" t="s">
        <v>1056</v>
      </c>
      <c r="BH2" t="s">
        <v>992</v>
      </c>
      <c r="BI2" t="s">
        <v>993</v>
      </c>
      <c r="BL2" t="s">
        <v>984</v>
      </c>
      <c r="BM2" t="s">
        <v>1050</v>
      </c>
      <c r="BN2" t="s">
        <v>1058</v>
      </c>
      <c r="BO2" t="s">
        <v>992</v>
      </c>
      <c r="BP2" t="s">
        <v>993</v>
      </c>
      <c r="BS2" t="s">
        <v>993</v>
      </c>
      <c r="BT2" t="s">
        <v>992</v>
      </c>
      <c r="BW2" t="s">
        <v>993</v>
      </c>
      <c r="BX2" t="s">
        <v>992</v>
      </c>
      <c r="CF2" t="s">
        <v>984</v>
      </c>
      <c r="CG2" t="s">
        <v>1050</v>
      </c>
      <c r="CH2" t="s">
        <v>1081</v>
      </c>
      <c r="CI2" t="s">
        <v>1082</v>
      </c>
      <c r="CJ2" t="s">
        <v>1083</v>
      </c>
      <c r="CK2" t="s">
        <v>1084</v>
      </c>
      <c r="CL2" t="s">
        <v>1085</v>
      </c>
      <c r="CM2" t="s">
        <v>1086</v>
      </c>
      <c r="CN2" t="s">
        <v>993</v>
      </c>
      <c r="CO2" t="s">
        <v>992</v>
      </c>
      <c r="CR2" t="s">
        <v>984</v>
      </c>
      <c r="CS2" t="s">
        <v>1102</v>
      </c>
      <c r="CT2" t="s">
        <v>1081</v>
      </c>
      <c r="CU2" t="s">
        <v>993</v>
      </c>
      <c r="CV2" t="s">
        <v>992</v>
      </c>
      <c r="CZ2" t="s">
        <v>984</v>
      </c>
      <c r="DA2" t="s">
        <v>1081</v>
      </c>
      <c r="DB2" t="s">
        <v>1083</v>
      </c>
      <c r="DC2" t="s">
        <v>1085</v>
      </c>
      <c r="DD2" t="s">
        <v>1086</v>
      </c>
      <c r="DE2" t="s">
        <v>993</v>
      </c>
      <c r="DF2" t="s">
        <v>992</v>
      </c>
      <c r="DJ2" t="s">
        <v>984</v>
      </c>
      <c r="DK2" t="s">
        <v>1102</v>
      </c>
      <c r="DL2" t="s">
        <v>1081</v>
      </c>
      <c r="DM2" t="s">
        <v>990</v>
      </c>
      <c r="DN2" t="s">
        <v>993</v>
      </c>
      <c r="DO2" t="s">
        <v>992</v>
      </c>
      <c r="DT2" s="162" t="s">
        <v>984</v>
      </c>
      <c r="DU2" s="163" t="s">
        <v>1181</v>
      </c>
      <c r="DY2" t="s">
        <v>993</v>
      </c>
      <c r="DZ2" t="s">
        <v>992</v>
      </c>
      <c r="EC2" s="172" t="s">
        <v>984</v>
      </c>
      <c r="ED2" s="172" t="s">
        <v>1050</v>
      </c>
      <c r="EE2" s="172" t="s">
        <v>1051</v>
      </c>
      <c r="EF2" s="172" t="s">
        <v>1197</v>
      </c>
      <c r="EG2" s="172" t="s">
        <v>1198</v>
      </c>
      <c r="EH2" s="172" t="s">
        <v>1199</v>
      </c>
      <c r="EI2" s="172" t="s">
        <v>1200</v>
      </c>
      <c r="EJ2" s="172" t="s">
        <v>1201</v>
      </c>
      <c r="EK2" s="172" t="s">
        <v>1202</v>
      </c>
      <c r="EL2" s="172" t="s">
        <v>990</v>
      </c>
      <c r="EM2" s="172" t="s">
        <v>1203</v>
      </c>
      <c r="EN2" s="172" t="s">
        <v>1204</v>
      </c>
      <c r="EO2" s="172" t="s">
        <v>1205</v>
      </c>
      <c r="ER2" s="177" t="s">
        <v>984</v>
      </c>
      <c r="ES2" s="177" t="s">
        <v>1219</v>
      </c>
    </row>
    <row r="3" spans="2:149" ht="15" thickTop="1" x14ac:dyDescent="0.3">
      <c r="B3" t="s">
        <v>1312</v>
      </c>
      <c r="C3" t="s">
        <v>1311</v>
      </c>
      <c r="D3" t="s">
        <v>209</v>
      </c>
      <c r="E3" s="159">
        <v>0.25</v>
      </c>
      <c r="F3" s="159">
        <v>0.5</v>
      </c>
      <c r="G3" s="159">
        <v>0.75</v>
      </c>
      <c r="H3" t="s">
        <v>1223</v>
      </c>
      <c r="K3" t="s">
        <v>418</v>
      </c>
      <c r="L3" t="s">
        <v>1313</v>
      </c>
      <c r="M3" t="s">
        <v>420</v>
      </c>
      <c r="U3" s="103"/>
      <c r="V3" t="s">
        <v>1381</v>
      </c>
      <c r="W3">
        <v>50721059</v>
      </c>
      <c r="X3" t="s">
        <v>878</v>
      </c>
      <c r="Z3" t="b">
        <v>1</v>
      </c>
      <c r="AE3" s="103"/>
      <c r="AF3" t="s">
        <v>1381</v>
      </c>
      <c r="AG3">
        <v>50721059</v>
      </c>
      <c r="AH3" t="s">
        <v>878</v>
      </c>
      <c r="AJ3" t="b">
        <v>1</v>
      </c>
      <c r="AN3" t="s">
        <v>1387</v>
      </c>
      <c r="AO3" t="s">
        <v>1256</v>
      </c>
      <c r="AP3" t="s">
        <v>1388</v>
      </c>
      <c r="AQ3" t="s">
        <v>1389</v>
      </c>
      <c r="AR3" t="s">
        <v>1390</v>
      </c>
      <c r="AT3" t="s">
        <v>1223</v>
      </c>
      <c r="AY3" t="s">
        <v>1360</v>
      </c>
      <c r="AZ3" t="b">
        <v>1</v>
      </c>
      <c r="BC3" t="s">
        <v>1257</v>
      </c>
      <c r="BD3" t="s">
        <v>504</v>
      </c>
      <c r="BE3" t="s">
        <v>505</v>
      </c>
      <c r="BF3">
        <v>0</v>
      </c>
      <c r="BL3" t="s">
        <v>1461</v>
      </c>
      <c r="BM3" t="b">
        <v>1</v>
      </c>
      <c r="BN3" t="s">
        <v>1261</v>
      </c>
      <c r="BS3" t="s">
        <v>1477</v>
      </c>
      <c r="BT3" t="s">
        <v>1276</v>
      </c>
      <c r="BW3" t="s">
        <v>1486</v>
      </c>
      <c r="BX3" t="s">
        <v>1285</v>
      </c>
      <c r="CF3" t="s">
        <v>1494</v>
      </c>
      <c r="CG3" t="b">
        <v>1</v>
      </c>
      <c r="CH3" t="s">
        <v>1087</v>
      </c>
      <c r="CI3" t="s">
        <v>1088</v>
      </c>
      <c r="CJ3" t="b">
        <v>0</v>
      </c>
      <c r="CM3" s="103"/>
      <c r="CR3" t="s">
        <v>1503</v>
      </c>
      <c r="CS3" t="s">
        <v>138</v>
      </c>
      <c r="CT3" t="s">
        <v>1087</v>
      </c>
      <c r="CZ3" t="s">
        <v>1494</v>
      </c>
      <c r="DA3" t="s">
        <v>1087</v>
      </c>
      <c r="DB3" t="b">
        <v>0</v>
      </c>
      <c r="DJ3" t="s">
        <v>1503</v>
      </c>
      <c r="DK3" t="s">
        <v>138</v>
      </c>
      <c r="DL3" t="s">
        <v>1087</v>
      </c>
      <c r="DM3" t="s">
        <v>1223</v>
      </c>
      <c r="DT3" s="165" t="s">
        <v>1313</v>
      </c>
      <c r="DU3" s="166">
        <v>0</v>
      </c>
      <c r="DY3" s="103" t="s">
        <v>1574</v>
      </c>
      <c r="DZ3" s="103" t="s">
        <v>1575</v>
      </c>
      <c r="EC3" s="173" t="s">
        <v>1578</v>
      </c>
      <c r="ED3" s="172" t="b">
        <v>1</v>
      </c>
      <c r="EE3" s="172"/>
      <c r="EF3" s="173">
        <v>50621037</v>
      </c>
      <c r="EG3" s="173" t="s">
        <v>1292</v>
      </c>
      <c r="EH3" s="172" t="s">
        <v>1579</v>
      </c>
      <c r="EI3" s="172"/>
      <c r="EJ3" s="172" t="s">
        <v>1309</v>
      </c>
      <c r="EK3" s="172" t="s">
        <v>1580</v>
      </c>
      <c r="EL3" s="172" t="s">
        <v>1223</v>
      </c>
      <c r="EM3" s="172" t="s">
        <v>1223</v>
      </c>
      <c r="EN3" s="172" t="s">
        <v>1224</v>
      </c>
      <c r="EO3" s="172" t="s">
        <v>1223</v>
      </c>
      <c r="ER3" s="179" t="s">
        <v>1578</v>
      </c>
      <c r="ES3" s="177" t="s">
        <v>1194</v>
      </c>
    </row>
    <row r="4" spans="2:149" x14ac:dyDescent="0.3">
      <c r="B4" t="s">
        <v>1310</v>
      </c>
      <c r="C4" t="s">
        <v>1311</v>
      </c>
      <c r="D4" t="s">
        <v>212</v>
      </c>
      <c r="E4" s="159">
        <v>0.75</v>
      </c>
      <c r="F4" s="159">
        <v>0.5</v>
      </c>
      <c r="G4" s="159">
        <v>0.25</v>
      </c>
      <c r="H4" t="s">
        <v>1223</v>
      </c>
      <c r="K4" t="s">
        <v>1645</v>
      </c>
      <c r="L4" t="s">
        <v>1644</v>
      </c>
      <c r="M4" t="s">
        <v>1646</v>
      </c>
      <c r="U4" s="103"/>
      <c r="V4" t="s">
        <v>1382</v>
      </c>
      <c r="W4">
        <v>50721060</v>
      </c>
      <c r="X4" t="s">
        <v>880</v>
      </c>
      <c r="Z4" t="b">
        <v>1</v>
      </c>
      <c r="AE4" s="103"/>
      <c r="AF4" t="s">
        <v>1382</v>
      </c>
      <c r="AG4">
        <v>50721060</v>
      </c>
      <c r="AH4" t="s">
        <v>880</v>
      </c>
      <c r="AJ4" t="b">
        <v>1</v>
      </c>
      <c r="AN4" t="s">
        <v>1391</v>
      </c>
      <c r="AO4" t="s">
        <v>1256</v>
      </c>
      <c r="AP4" t="s">
        <v>1392</v>
      </c>
      <c r="AQ4" t="s">
        <v>1023</v>
      </c>
      <c r="AR4" t="s">
        <v>1387</v>
      </c>
      <c r="AS4" t="s">
        <v>1389</v>
      </c>
      <c r="AT4" t="s">
        <v>1223</v>
      </c>
      <c r="AY4" t="s">
        <v>1365</v>
      </c>
      <c r="AZ4" t="b">
        <v>1</v>
      </c>
      <c r="BC4" t="s">
        <v>1257</v>
      </c>
      <c r="BD4" t="s">
        <v>504</v>
      </c>
      <c r="BE4" t="s">
        <v>505</v>
      </c>
      <c r="BF4">
        <v>0</v>
      </c>
      <c r="BL4" t="s">
        <v>1462</v>
      </c>
      <c r="BM4" t="b">
        <v>1</v>
      </c>
      <c r="BN4" t="s">
        <v>1262</v>
      </c>
      <c r="BS4" t="s">
        <v>1478</v>
      </c>
      <c r="BT4" t="s">
        <v>1277</v>
      </c>
      <c r="BW4" t="s">
        <v>1487</v>
      </c>
      <c r="BX4" t="s">
        <v>1286</v>
      </c>
      <c r="CF4" t="s">
        <v>1495</v>
      </c>
      <c r="CG4" t="b">
        <v>1</v>
      </c>
      <c r="CH4" t="s">
        <v>20</v>
      </c>
      <c r="CI4" t="s">
        <v>1093</v>
      </c>
      <c r="CJ4" t="b">
        <v>0</v>
      </c>
      <c r="CM4" s="103"/>
      <c r="CR4" t="s">
        <v>1504</v>
      </c>
      <c r="CS4" t="s">
        <v>139</v>
      </c>
      <c r="CT4" t="s">
        <v>1087</v>
      </c>
      <c r="CZ4" t="s">
        <v>1495</v>
      </c>
      <c r="DA4" t="s">
        <v>20</v>
      </c>
      <c r="DB4" t="b">
        <v>0</v>
      </c>
      <c r="DJ4" t="s">
        <v>1504</v>
      </c>
      <c r="DK4" t="s">
        <v>139</v>
      </c>
      <c r="DL4" t="s">
        <v>1087</v>
      </c>
      <c r="DM4" t="s">
        <v>1223</v>
      </c>
      <c r="DT4" t="s">
        <v>1644</v>
      </c>
      <c r="DU4">
        <v>0</v>
      </c>
      <c r="DY4" s="103" t="s">
        <v>1576</v>
      </c>
      <c r="DZ4" s="103" t="s">
        <v>1577</v>
      </c>
      <c r="EC4" s="197" t="s">
        <v>1221</v>
      </c>
      <c r="ED4" t="b">
        <v>1</v>
      </c>
      <c r="EF4" s="173" t="s">
        <v>1222</v>
      </c>
      <c r="EG4" s="178"/>
      <c r="EI4" t="b">
        <v>0</v>
      </c>
      <c r="EJ4" t="s">
        <v>1222</v>
      </c>
      <c r="EL4" t="s">
        <v>1223</v>
      </c>
      <c r="EM4" t="s">
        <v>1223</v>
      </c>
      <c r="EN4" t="s">
        <v>1224</v>
      </c>
      <c r="EO4" t="s">
        <v>1223</v>
      </c>
      <c r="ER4" s="157" t="s">
        <v>1221</v>
      </c>
      <c r="ES4" t="s">
        <v>1194</v>
      </c>
    </row>
    <row r="5" spans="2:149" x14ac:dyDescent="0.3">
      <c r="K5" t="s">
        <v>1226</v>
      </c>
      <c r="L5" t="s">
        <v>1314</v>
      </c>
      <c r="M5" t="s">
        <v>1227</v>
      </c>
      <c r="U5" s="103"/>
      <c r="V5" t="s">
        <v>1383</v>
      </c>
      <c r="W5">
        <v>50721061</v>
      </c>
      <c r="X5" t="s">
        <v>882</v>
      </c>
      <c r="Z5" t="b">
        <v>1</v>
      </c>
      <c r="AE5" s="103"/>
      <c r="AF5" t="s">
        <v>1383</v>
      </c>
      <c r="AG5">
        <v>50721061</v>
      </c>
      <c r="AH5" t="s">
        <v>882</v>
      </c>
      <c r="AJ5" t="b">
        <v>1</v>
      </c>
      <c r="AN5" t="s">
        <v>1393</v>
      </c>
      <c r="AO5" t="s">
        <v>1256</v>
      </c>
      <c r="AP5" t="s">
        <v>1394</v>
      </c>
      <c r="AQ5" t="s">
        <v>1395</v>
      </c>
      <c r="AR5" t="s">
        <v>1391</v>
      </c>
      <c r="AS5" t="s">
        <v>1023</v>
      </c>
      <c r="AT5" t="s">
        <v>1223</v>
      </c>
      <c r="AY5" t="s">
        <v>1358</v>
      </c>
      <c r="AZ5" t="b">
        <v>1</v>
      </c>
      <c r="BC5" t="s">
        <v>1257</v>
      </c>
      <c r="BD5" t="s">
        <v>504</v>
      </c>
      <c r="BE5" t="s">
        <v>505</v>
      </c>
      <c r="BF5">
        <v>0</v>
      </c>
      <c r="BL5" t="s">
        <v>1463</v>
      </c>
      <c r="BM5" t="b">
        <v>1</v>
      </c>
      <c r="BN5" t="s">
        <v>1263</v>
      </c>
      <c r="BS5" t="s">
        <v>1479</v>
      </c>
      <c r="BT5" t="s">
        <v>1278</v>
      </c>
      <c r="BW5" t="s">
        <v>1488</v>
      </c>
      <c r="BX5" t="s">
        <v>1287</v>
      </c>
      <c r="CF5" t="s">
        <v>1496</v>
      </c>
      <c r="CG5" t="b">
        <v>1</v>
      </c>
      <c r="CH5" t="s">
        <v>23</v>
      </c>
      <c r="CI5" t="s">
        <v>1092</v>
      </c>
      <c r="CJ5" t="b">
        <v>0</v>
      </c>
      <c r="CM5" s="103"/>
      <c r="CR5" t="s">
        <v>1505</v>
      </c>
      <c r="CS5" t="s">
        <v>140</v>
      </c>
      <c r="CT5" t="s">
        <v>1087</v>
      </c>
      <c r="CZ5" t="s">
        <v>1496</v>
      </c>
      <c r="DA5" t="s">
        <v>23</v>
      </c>
      <c r="DB5" t="b">
        <v>0</v>
      </c>
      <c r="DJ5" t="s">
        <v>1505</v>
      </c>
      <c r="DK5" t="s">
        <v>140</v>
      </c>
      <c r="DL5" t="s">
        <v>1087</v>
      </c>
      <c r="DM5" t="s">
        <v>1223</v>
      </c>
      <c r="DT5" t="s">
        <v>1314</v>
      </c>
      <c r="DU5">
        <v>0</v>
      </c>
    </row>
    <row r="6" spans="2:149" x14ac:dyDescent="0.3">
      <c r="K6" t="s">
        <v>1228</v>
      </c>
      <c r="L6" t="s">
        <v>1315</v>
      </c>
      <c r="M6" t="s">
        <v>1229</v>
      </c>
      <c r="U6" s="103"/>
      <c r="V6" t="s">
        <v>1384</v>
      </c>
      <c r="W6">
        <v>50721062</v>
      </c>
      <c r="X6" t="s">
        <v>884</v>
      </c>
      <c r="Z6" t="b">
        <v>1</v>
      </c>
      <c r="AE6" s="103"/>
      <c r="AF6" t="s">
        <v>1384</v>
      </c>
      <c r="AG6">
        <v>50721062</v>
      </c>
      <c r="AH6" t="s">
        <v>884</v>
      </c>
      <c r="AJ6" t="b">
        <v>1</v>
      </c>
      <c r="AN6" t="s">
        <v>1396</v>
      </c>
      <c r="AO6" t="s">
        <v>1256</v>
      </c>
      <c r="AP6" t="s">
        <v>1397</v>
      </c>
      <c r="AQ6" t="s">
        <v>1389</v>
      </c>
      <c r="AR6" t="s">
        <v>1398</v>
      </c>
      <c r="AT6" t="s">
        <v>1223</v>
      </c>
      <c r="AY6" t="s">
        <v>1333</v>
      </c>
      <c r="AZ6" t="b">
        <v>1</v>
      </c>
      <c r="BC6" t="s">
        <v>1257</v>
      </c>
      <c r="BD6" t="s">
        <v>504</v>
      </c>
      <c r="BE6" t="s">
        <v>505</v>
      </c>
      <c r="BF6">
        <v>0</v>
      </c>
      <c r="BL6" t="s">
        <v>1464</v>
      </c>
      <c r="BM6" t="b">
        <v>1</v>
      </c>
      <c r="BN6" t="s">
        <v>1264</v>
      </c>
      <c r="BS6" t="s">
        <v>1480</v>
      </c>
      <c r="BT6" t="s">
        <v>1279</v>
      </c>
      <c r="BW6" t="s">
        <v>1489</v>
      </c>
      <c r="BX6" t="s">
        <v>1288</v>
      </c>
      <c r="CF6" t="s">
        <v>1497</v>
      </c>
      <c r="CG6" t="b">
        <v>1</v>
      </c>
      <c r="CH6" t="s">
        <v>1096</v>
      </c>
      <c r="CI6" t="s">
        <v>1097</v>
      </c>
      <c r="CJ6" t="b">
        <v>1</v>
      </c>
      <c r="CM6" s="103"/>
      <c r="CR6" t="s">
        <v>1506</v>
      </c>
      <c r="CS6" t="s">
        <v>141</v>
      </c>
      <c r="CT6" t="s">
        <v>1087</v>
      </c>
      <c r="CZ6" t="s">
        <v>1497</v>
      </c>
      <c r="DA6" t="s">
        <v>1096</v>
      </c>
      <c r="DB6" t="b">
        <v>1</v>
      </c>
      <c r="DJ6" t="s">
        <v>1506</v>
      </c>
      <c r="DK6" t="s">
        <v>141</v>
      </c>
      <c r="DL6" t="s">
        <v>1087</v>
      </c>
      <c r="DM6" t="s">
        <v>1223</v>
      </c>
      <c r="DT6" t="s">
        <v>1315</v>
      </c>
      <c r="DU6">
        <v>0</v>
      </c>
    </row>
    <row r="7" spans="2:149" x14ac:dyDescent="0.3">
      <c r="K7" t="s">
        <v>479</v>
      </c>
      <c r="L7" t="s">
        <v>1316</v>
      </c>
      <c r="M7" t="s">
        <v>475</v>
      </c>
      <c r="U7" s="103"/>
      <c r="V7" t="s">
        <v>1385</v>
      </c>
      <c r="W7">
        <v>50721072</v>
      </c>
      <c r="X7" t="s">
        <v>902</v>
      </c>
      <c r="Z7" t="b">
        <v>1</v>
      </c>
      <c r="AE7" s="103"/>
      <c r="AF7" t="s">
        <v>1385</v>
      </c>
      <c r="AG7">
        <v>50721072</v>
      </c>
      <c r="AH7" t="s">
        <v>902</v>
      </c>
      <c r="AJ7" t="b">
        <v>1</v>
      </c>
      <c r="AN7" t="s">
        <v>1399</v>
      </c>
      <c r="AO7" t="s">
        <v>1256</v>
      </c>
      <c r="AP7" t="s">
        <v>1400</v>
      </c>
      <c r="AQ7" t="s">
        <v>1401</v>
      </c>
      <c r="AR7" t="s">
        <v>1396</v>
      </c>
      <c r="AS7" t="s">
        <v>1389</v>
      </c>
      <c r="AT7" t="s">
        <v>1223</v>
      </c>
      <c r="AY7" t="s">
        <v>1361</v>
      </c>
      <c r="AZ7" t="b">
        <v>1</v>
      </c>
      <c r="BC7" t="s">
        <v>1257</v>
      </c>
      <c r="BD7" t="s">
        <v>499</v>
      </c>
      <c r="BE7" t="s">
        <v>500</v>
      </c>
      <c r="BF7">
        <v>0</v>
      </c>
      <c r="BL7" t="s">
        <v>1465</v>
      </c>
      <c r="BM7" t="b">
        <v>1</v>
      </c>
      <c r="BN7" t="s">
        <v>1265</v>
      </c>
      <c r="BS7" t="s">
        <v>1481</v>
      </c>
      <c r="BT7" t="s">
        <v>1280</v>
      </c>
      <c r="BW7" t="s">
        <v>1490</v>
      </c>
      <c r="BX7" t="s">
        <v>1289</v>
      </c>
      <c r="CF7" t="s">
        <v>1498</v>
      </c>
      <c r="CG7" t="b">
        <v>1</v>
      </c>
      <c r="CH7" t="s">
        <v>1094</v>
      </c>
      <c r="CI7" t="s">
        <v>1095</v>
      </c>
      <c r="CJ7" t="b">
        <v>1</v>
      </c>
      <c r="CM7" s="103"/>
      <c r="CR7" t="s">
        <v>1507</v>
      </c>
      <c r="CS7" t="s">
        <v>142</v>
      </c>
      <c r="CT7" t="s">
        <v>1087</v>
      </c>
      <c r="CZ7" t="s">
        <v>1498</v>
      </c>
      <c r="DA7" t="s">
        <v>1094</v>
      </c>
      <c r="DB7" t="b">
        <v>1</v>
      </c>
      <c r="DJ7" t="s">
        <v>1507</v>
      </c>
      <c r="DK7" t="s">
        <v>142</v>
      </c>
      <c r="DL7" t="s">
        <v>1087</v>
      </c>
      <c r="DM7" t="s">
        <v>1223</v>
      </c>
      <c r="DT7" t="s">
        <v>1316</v>
      </c>
      <c r="DU7">
        <v>0</v>
      </c>
    </row>
    <row r="8" spans="2:149" x14ac:dyDescent="0.3">
      <c r="K8" t="s">
        <v>994</v>
      </c>
      <c r="L8" t="s">
        <v>1317</v>
      </c>
      <c r="M8" t="s">
        <v>356</v>
      </c>
      <c r="U8" s="103"/>
      <c r="V8" t="s">
        <v>1386</v>
      </c>
      <c r="W8">
        <v>50721080</v>
      </c>
      <c r="X8" t="s">
        <v>947</v>
      </c>
      <c r="Z8" t="b">
        <v>1</v>
      </c>
      <c r="AA8" t="b">
        <v>1</v>
      </c>
      <c r="AE8" s="103"/>
      <c r="AF8" t="s">
        <v>1386</v>
      </c>
      <c r="AG8">
        <v>50721080</v>
      </c>
      <c r="AH8" t="s">
        <v>947</v>
      </c>
      <c r="AJ8" t="b">
        <v>1</v>
      </c>
      <c r="AK8" t="b">
        <v>1</v>
      </c>
      <c r="AN8" t="s">
        <v>1402</v>
      </c>
      <c r="AO8" t="s">
        <v>1256</v>
      </c>
      <c r="AP8" t="s">
        <v>1403</v>
      </c>
      <c r="AQ8" t="s">
        <v>1404</v>
      </c>
      <c r="AR8" t="s">
        <v>1396</v>
      </c>
      <c r="AS8" t="s">
        <v>1389</v>
      </c>
      <c r="AT8" t="s">
        <v>1223</v>
      </c>
      <c r="AY8" t="s">
        <v>1331</v>
      </c>
      <c r="AZ8" t="b">
        <v>1</v>
      </c>
      <c r="BC8" t="s">
        <v>1257</v>
      </c>
      <c r="BD8" t="s">
        <v>870</v>
      </c>
      <c r="BE8" t="s">
        <v>868</v>
      </c>
      <c r="BF8">
        <v>0</v>
      </c>
      <c r="BL8" t="s">
        <v>1466</v>
      </c>
      <c r="BM8" t="b">
        <v>1</v>
      </c>
      <c r="BN8" t="s">
        <v>1266</v>
      </c>
      <c r="BS8" t="s">
        <v>1482</v>
      </c>
      <c r="BT8" t="s">
        <v>1281</v>
      </c>
      <c r="BW8" t="s">
        <v>1491</v>
      </c>
      <c r="BX8" t="s">
        <v>546</v>
      </c>
      <c r="CF8" t="s">
        <v>1499</v>
      </c>
      <c r="CG8" t="b">
        <v>1</v>
      </c>
      <c r="CH8" t="s">
        <v>24</v>
      </c>
      <c r="CI8" t="s">
        <v>1091</v>
      </c>
      <c r="CJ8" t="b">
        <v>0</v>
      </c>
      <c r="CM8" s="103"/>
      <c r="CR8" t="s">
        <v>1508</v>
      </c>
      <c r="CS8" t="s">
        <v>144</v>
      </c>
      <c r="CT8" t="s">
        <v>1087</v>
      </c>
      <c r="CZ8" t="s">
        <v>1499</v>
      </c>
      <c r="DA8" t="s">
        <v>24</v>
      </c>
      <c r="DB8" t="b">
        <v>0</v>
      </c>
      <c r="DJ8" t="s">
        <v>1508</v>
      </c>
      <c r="DK8" t="s">
        <v>144</v>
      </c>
      <c r="DL8" t="s">
        <v>1087</v>
      </c>
      <c r="DM8" t="s">
        <v>1223</v>
      </c>
      <c r="DT8" t="s">
        <v>1317</v>
      </c>
      <c r="DU8">
        <v>25</v>
      </c>
    </row>
    <row r="9" spans="2:149" x14ac:dyDescent="0.3">
      <c r="K9" t="s">
        <v>995</v>
      </c>
      <c r="L9" t="s">
        <v>1318</v>
      </c>
      <c r="M9" t="s">
        <v>356</v>
      </c>
      <c r="AN9" t="s">
        <v>1405</v>
      </c>
      <c r="AO9" t="s">
        <v>1256</v>
      </c>
      <c r="AP9" t="s">
        <v>1406</v>
      </c>
      <c r="AQ9" t="s">
        <v>1407</v>
      </c>
      <c r="AR9" t="s">
        <v>1390</v>
      </c>
      <c r="AT9" t="s">
        <v>1223</v>
      </c>
      <c r="AY9" t="s">
        <v>1335</v>
      </c>
      <c r="AZ9" t="b">
        <v>1</v>
      </c>
      <c r="BC9" t="s">
        <v>1257</v>
      </c>
      <c r="BD9" t="s">
        <v>489</v>
      </c>
      <c r="BE9" t="s">
        <v>979</v>
      </c>
      <c r="BF9">
        <v>0</v>
      </c>
      <c r="BL9" t="s">
        <v>1467</v>
      </c>
      <c r="BM9" t="b">
        <v>1</v>
      </c>
      <c r="BN9" t="s">
        <v>1267</v>
      </c>
      <c r="BS9" t="s">
        <v>1483</v>
      </c>
      <c r="BT9" t="s">
        <v>1282</v>
      </c>
      <c r="BW9" t="s">
        <v>1492</v>
      </c>
      <c r="BX9" t="s">
        <v>1290</v>
      </c>
      <c r="CF9" t="s">
        <v>1500</v>
      </c>
      <c r="CG9" t="b">
        <v>1</v>
      </c>
      <c r="CH9" t="s">
        <v>1089</v>
      </c>
      <c r="CI9" t="s">
        <v>1090</v>
      </c>
      <c r="CJ9" t="b">
        <v>0</v>
      </c>
      <c r="CM9" s="103"/>
      <c r="CR9" t="s">
        <v>1509</v>
      </c>
      <c r="CS9" t="s">
        <v>145</v>
      </c>
      <c r="CT9" t="s">
        <v>1087</v>
      </c>
      <c r="CZ9" t="s">
        <v>1500</v>
      </c>
      <c r="DA9" t="s">
        <v>1089</v>
      </c>
      <c r="DB9" t="b">
        <v>0</v>
      </c>
      <c r="DJ9" t="s">
        <v>1509</v>
      </c>
      <c r="DK9" t="s">
        <v>145</v>
      </c>
      <c r="DL9" t="s">
        <v>1087</v>
      </c>
      <c r="DM9" t="s">
        <v>1223</v>
      </c>
      <c r="DT9" t="s">
        <v>1318</v>
      </c>
      <c r="DU9">
        <v>25</v>
      </c>
    </row>
    <row r="10" spans="2:149" x14ac:dyDescent="0.3">
      <c r="K10" t="s">
        <v>483</v>
      </c>
      <c r="L10" t="s">
        <v>1319</v>
      </c>
      <c r="M10" t="s">
        <v>484</v>
      </c>
      <c r="AN10" t="s">
        <v>1408</v>
      </c>
      <c r="AO10" t="s">
        <v>1256</v>
      </c>
      <c r="AP10" t="s">
        <v>1409</v>
      </c>
      <c r="AQ10" t="s">
        <v>1012</v>
      </c>
      <c r="AR10" t="s">
        <v>1405</v>
      </c>
      <c r="AS10" t="s">
        <v>1407</v>
      </c>
      <c r="AT10" t="s">
        <v>1223</v>
      </c>
      <c r="AY10" t="s">
        <v>1377</v>
      </c>
      <c r="AZ10" t="b">
        <v>1</v>
      </c>
      <c r="BC10" t="s">
        <v>1257</v>
      </c>
      <c r="BD10" t="s">
        <v>432</v>
      </c>
      <c r="BE10" t="s">
        <v>433</v>
      </c>
      <c r="BF10">
        <v>0</v>
      </c>
      <c r="BL10" t="s">
        <v>1468</v>
      </c>
      <c r="BM10" t="b">
        <v>1</v>
      </c>
      <c r="BN10" t="s">
        <v>1268</v>
      </c>
      <c r="BS10" t="s">
        <v>1484</v>
      </c>
      <c r="BT10" t="s">
        <v>1283</v>
      </c>
      <c r="BW10" t="s">
        <v>1493</v>
      </c>
      <c r="BX10" t="s">
        <v>1291</v>
      </c>
      <c r="CF10" t="s">
        <v>1501</v>
      </c>
      <c r="CG10" t="b">
        <v>1</v>
      </c>
      <c r="CH10" t="s">
        <v>1098</v>
      </c>
      <c r="CI10" t="s">
        <v>1099</v>
      </c>
      <c r="CJ10" t="b">
        <v>1</v>
      </c>
      <c r="CM10" s="103"/>
      <c r="CR10" t="s">
        <v>1510</v>
      </c>
      <c r="CS10" t="s">
        <v>147</v>
      </c>
      <c r="CT10" t="s">
        <v>1087</v>
      </c>
      <c r="CZ10" t="s">
        <v>1501</v>
      </c>
      <c r="DA10" t="s">
        <v>1098</v>
      </c>
      <c r="DB10" t="b">
        <v>1</v>
      </c>
      <c r="DJ10" t="s">
        <v>1510</v>
      </c>
      <c r="DK10" t="s">
        <v>147</v>
      </c>
      <c r="DL10" t="s">
        <v>1087</v>
      </c>
      <c r="DM10" t="s">
        <v>1223</v>
      </c>
      <c r="DT10" t="s">
        <v>1319</v>
      </c>
      <c r="DU10">
        <v>0</v>
      </c>
    </row>
    <row r="11" spans="2:149" x14ac:dyDescent="0.3">
      <c r="K11" t="s">
        <v>467</v>
      </c>
      <c r="L11" t="s">
        <v>1320</v>
      </c>
      <c r="M11" t="s">
        <v>464</v>
      </c>
      <c r="AN11" t="s">
        <v>1410</v>
      </c>
      <c r="AO11" t="s">
        <v>1256</v>
      </c>
      <c r="AP11" t="s">
        <v>1013</v>
      </c>
      <c r="AQ11" t="s">
        <v>1012</v>
      </c>
      <c r="AR11" t="s">
        <v>1411</v>
      </c>
      <c r="AS11" t="s">
        <v>1014</v>
      </c>
      <c r="AT11" t="s">
        <v>1223</v>
      </c>
      <c r="AY11" t="s">
        <v>1313</v>
      </c>
      <c r="AZ11" t="b">
        <v>1</v>
      </c>
      <c r="BC11" t="s">
        <v>1257</v>
      </c>
      <c r="BD11" t="s">
        <v>419</v>
      </c>
      <c r="BE11" t="s">
        <v>420</v>
      </c>
      <c r="BF11">
        <v>0</v>
      </c>
      <c r="BL11" t="s">
        <v>1469</v>
      </c>
      <c r="BM11" t="b">
        <v>1</v>
      </c>
      <c r="BN11" t="s">
        <v>1225</v>
      </c>
      <c r="BS11" t="s">
        <v>1485</v>
      </c>
      <c r="BT11" t="s">
        <v>1284</v>
      </c>
      <c r="CF11" t="s">
        <v>1502</v>
      </c>
      <c r="CG11" t="b">
        <v>1</v>
      </c>
      <c r="CH11" t="s">
        <v>1100</v>
      </c>
      <c r="CI11" t="s">
        <v>1101</v>
      </c>
      <c r="CJ11" t="b">
        <v>1</v>
      </c>
      <c r="CM11" s="103"/>
      <c r="CR11" t="s">
        <v>1511</v>
      </c>
      <c r="CS11" t="s">
        <v>559</v>
      </c>
      <c r="CT11" t="s">
        <v>1087</v>
      </c>
      <c r="CZ11" t="s">
        <v>1502</v>
      </c>
      <c r="DA11" t="s">
        <v>1100</v>
      </c>
      <c r="DB11" t="b">
        <v>1</v>
      </c>
      <c r="DJ11" t="s">
        <v>1511</v>
      </c>
      <c r="DK11" t="s">
        <v>559</v>
      </c>
      <c r="DL11" t="s">
        <v>1087</v>
      </c>
      <c r="DM11" t="s">
        <v>1223</v>
      </c>
      <c r="DT11" t="s">
        <v>1320</v>
      </c>
      <c r="DU11">
        <v>0</v>
      </c>
    </row>
    <row r="12" spans="2:149" x14ac:dyDescent="0.3">
      <c r="K12" t="s">
        <v>287</v>
      </c>
      <c r="L12" t="s">
        <v>1321</v>
      </c>
      <c r="M12" t="s">
        <v>289</v>
      </c>
      <c r="AN12" t="s">
        <v>1412</v>
      </c>
      <c r="AO12" t="s">
        <v>1256</v>
      </c>
      <c r="AP12" t="s">
        <v>1019</v>
      </c>
      <c r="AQ12" t="s">
        <v>1020</v>
      </c>
      <c r="AR12" t="s">
        <v>1413</v>
      </c>
      <c r="AS12" t="s">
        <v>1012</v>
      </c>
      <c r="AT12" t="s">
        <v>1223</v>
      </c>
      <c r="AY12" t="s">
        <v>1344</v>
      </c>
      <c r="AZ12" t="b">
        <v>1</v>
      </c>
      <c r="BC12" t="s">
        <v>1257</v>
      </c>
      <c r="BD12" t="s">
        <v>325</v>
      </c>
      <c r="BE12" t="s">
        <v>326</v>
      </c>
      <c r="BF12">
        <v>0</v>
      </c>
      <c r="BL12" t="s">
        <v>1470</v>
      </c>
      <c r="BM12" t="b">
        <v>1</v>
      </c>
      <c r="BN12" t="s">
        <v>1269</v>
      </c>
      <c r="CR12" t="s">
        <v>1512</v>
      </c>
      <c r="CS12" t="s">
        <v>153</v>
      </c>
      <c r="CT12" t="s">
        <v>23</v>
      </c>
      <c r="DJ12" t="s">
        <v>1512</v>
      </c>
      <c r="DK12" t="s">
        <v>153</v>
      </c>
      <c r="DL12" t="s">
        <v>23</v>
      </c>
      <c r="DM12" t="s">
        <v>1223</v>
      </c>
      <c r="DT12" t="s">
        <v>1321</v>
      </c>
      <c r="DU12">
        <v>0</v>
      </c>
    </row>
    <row r="13" spans="2:149" x14ac:dyDescent="0.3">
      <c r="K13" t="s">
        <v>1230</v>
      </c>
      <c r="L13" t="s">
        <v>1322</v>
      </c>
      <c r="M13" t="s">
        <v>566</v>
      </c>
      <c r="AN13" t="s">
        <v>1414</v>
      </c>
      <c r="AO13" t="s">
        <v>1256</v>
      </c>
      <c r="AP13" t="s">
        <v>1016</v>
      </c>
      <c r="AQ13" t="s">
        <v>1017</v>
      </c>
      <c r="AR13" t="s">
        <v>1413</v>
      </c>
      <c r="AS13" t="s">
        <v>1012</v>
      </c>
      <c r="AT13" t="s">
        <v>1223</v>
      </c>
      <c r="AY13" t="s">
        <v>1370</v>
      </c>
      <c r="AZ13" t="b">
        <v>1</v>
      </c>
      <c r="BC13" t="s">
        <v>1257</v>
      </c>
      <c r="BD13" t="s">
        <v>325</v>
      </c>
      <c r="BE13" t="s">
        <v>326</v>
      </c>
      <c r="BF13">
        <v>0</v>
      </c>
      <c r="BL13" t="s">
        <v>1471</v>
      </c>
      <c r="BM13" t="b">
        <v>1</v>
      </c>
      <c r="BN13" t="s">
        <v>1270</v>
      </c>
      <c r="CR13" t="s">
        <v>1513</v>
      </c>
      <c r="CS13" t="s">
        <v>198</v>
      </c>
      <c r="CT13" t="s">
        <v>24</v>
      </c>
      <c r="DJ13" t="s">
        <v>1513</v>
      </c>
      <c r="DK13" t="s">
        <v>198</v>
      </c>
      <c r="DL13" t="s">
        <v>24</v>
      </c>
      <c r="DM13" t="s">
        <v>1223</v>
      </c>
      <c r="DT13" t="s">
        <v>1322</v>
      </c>
      <c r="DU13">
        <v>0</v>
      </c>
    </row>
    <row r="14" spans="2:149" x14ac:dyDescent="0.3">
      <c r="K14" t="s">
        <v>1231</v>
      </c>
      <c r="L14" t="s">
        <v>1323</v>
      </c>
      <c r="M14" t="s">
        <v>1232</v>
      </c>
      <c r="AN14" t="s">
        <v>1415</v>
      </c>
      <c r="AO14" t="s">
        <v>1256</v>
      </c>
      <c r="AP14" t="s">
        <v>1022</v>
      </c>
      <c r="AQ14" t="s">
        <v>1023</v>
      </c>
      <c r="AR14" t="s">
        <v>1411</v>
      </c>
      <c r="AS14" t="s">
        <v>1014</v>
      </c>
      <c r="AT14" t="s">
        <v>1223</v>
      </c>
      <c r="AY14" t="s">
        <v>1326</v>
      </c>
      <c r="AZ14" t="b">
        <v>1</v>
      </c>
      <c r="BC14" t="s">
        <v>1257</v>
      </c>
      <c r="BD14" t="s">
        <v>308</v>
      </c>
      <c r="BE14" t="s">
        <v>309</v>
      </c>
      <c r="BF14">
        <v>0</v>
      </c>
      <c r="BL14" t="s">
        <v>1472</v>
      </c>
      <c r="BM14" t="b">
        <v>1</v>
      </c>
      <c r="BN14" t="s">
        <v>1271</v>
      </c>
      <c r="CR14" t="s">
        <v>1514</v>
      </c>
      <c r="CS14" t="s">
        <v>201</v>
      </c>
      <c r="CT14" t="s">
        <v>24</v>
      </c>
      <c r="DJ14" t="s">
        <v>1514</v>
      </c>
      <c r="DK14" t="s">
        <v>201</v>
      </c>
      <c r="DL14" t="s">
        <v>24</v>
      </c>
      <c r="DM14" t="s">
        <v>1223</v>
      </c>
      <c r="DT14" t="s">
        <v>1323</v>
      </c>
      <c r="DU14">
        <v>0</v>
      </c>
    </row>
    <row r="15" spans="2:149" x14ac:dyDescent="0.3">
      <c r="K15" t="s">
        <v>866</v>
      </c>
      <c r="L15" t="s">
        <v>1324</v>
      </c>
      <c r="M15" t="s">
        <v>868</v>
      </c>
      <c r="AN15" t="s">
        <v>1416</v>
      </c>
      <c r="AO15" t="s">
        <v>1256</v>
      </c>
      <c r="AP15" t="s">
        <v>1028</v>
      </c>
      <c r="AQ15" t="s">
        <v>1027</v>
      </c>
      <c r="AR15" t="s">
        <v>1411</v>
      </c>
      <c r="AS15" t="s">
        <v>1014</v>
      </c>
      <c r="AT15" t="s">
        <v>1223</v>
      </c>
      <c r="AY15" t="s">
        <v>1321</v>
      </c>
      <c r="AZ15" t="b">
        <v>1</v>
      </c>
      <c r="BC15" t="s">
        <v>1257</v>
      </c>
      <c r="BD15" t="s">
        <v>288</v>
      </c>
      <c r="BE15" t="s">
        <v>289</v>
      </c>
      <c r="BF15">
        <v>0</v>
      </c>
      <c r="BL15" t="s">
        <v>1473</v>
      </c>
      <c r="BM15" t="b">
        <v>1</v>
      </c>
      <c r="BN15" t="s">
        <v>1272</v>
      </c>
      <c r="CR15" t="s">
        <v>1515</v>
      </c>
      <c r="CS15" t="s">
        <v>189</v>
      </c>
      <c r="CT15" t="s">
        <v>20</v>
      </c>
      <c r="DJ15" t="s">
        <v>1515</v>
      </c>
      <c r="DK15" t="s">
        <v>189</v>
      </c>
      <c r="DL15" t="s">
        <v>20</v>
      </c>
      <c r="DM15" t="s">
        <v>1223</v>
      </c>
      <c r="DT15" t="s">
        <v>1324</v>
      </c>
      <c r="DU15">
        <v>0</v>
      </c>
    </row>
    <row r="16" spans="2:149" x14ac:dyDescent="0.3">
      <c r="K16" t="s">
        <v>408</v>
      </c>
      <c r="L16" t="s">
        <v>1325</v>
      </c>
      <c r="M16" t="s">
        <v>356</v>
      </c>
      <c r="AN16" t="s">
        <v>1417</v>
      </c>
      <c r="AO16" t="s">
        <v>1256</v>
      </c>
      <c r="AP16" t="s">
        <v>1033</v>
      </c>
      <c r="AQ16" t="s">
        <v>1034</v>
      </c>
      <c r="AR16" t="s">
        <v>1418</v>
      </c>
      <c r="AS16" t="s">
        <v>1027</v>
      </c>
      <c r="AT16" t="s">
        <v>1223</v>
      </c>
      <c r="AY16" t="s">
        <v>1372</v>
      </c>
      <c r="AZ16" t="b">
        <v>1</v>
      </c>
      <c r="BC16" t="s">
        <v>1257</v>
      </c>
      <c r="BD16" t="s">
        <v>450</v>
      </c>
      <c r="BE16" t="s">
        <v>455</v>
      </c>
      <c r="BF16">
        <v>0</v>
      </c>
      <c r="BL16" t="s">
        <v>1474</v>
      </c>
      <c r="BM16" t="b">
        <v>1</v>
      </c>
      <c r="BN16" t="s">
        <v>1273</v>
      </c>
      <c r="CR16" t="s">
        <v>1516</v>
      </c>
      <c r="CS16" t="s">
        <v>152</v>
      </c>
      <c r="CT16" t="s">
        <v>23</v>
      </c>
      <c r="DJ16" t="s">
        <v>1516</v>
      </c>
      <c r="DK16" t="s">
        <v>152</v>
      </c>
      <c r="DL16" t="s">
        <v>23</v>
      </c>
      <c r="DM16" t="s">
        <v>1223</v>
      </c>
      <c r="DT16" t="s">
        <v>1325</v>
      </c>
      <c r="DU16">
        <v>25</v>
      </c>
    </row>
    <row r="17" spans="11:125" x14ac:dyDescent="0.3">
      <c r="K17" t="s">
        <v>307</v>
      </c>
      <c r="L17" t="s">
        <v>1326</v>
      </c>
      <c r="M17" t="s">
        <v>309</v>
      </c>
      <c r="AN17" t="s">
        <v>1419</v>
      </c>
      <c r="AO17" t="s">
        <v>1256</v>
      </c>
      <c r="AP17" t="s">
        <v>1036</v>
      </c>
      <c r="AQ17" t="s">
        <v>1037</v>
      </c>
      <c r="AR17" t="s">
        <v>1418</v>
      </c>
      <c r="AS17" t="s">
        <v>1027</v>
      </c>
      <c r="AT17" t="s">
        <v>1223</v>
      </c>
      <c r="AY17" t="s">
        <v>1349</v>
      </c>
      <c r="AZ17" t="b">
        <v>1</v>
      </c>
      <c r="BC17" t="s">
        <v>1257</v>
      </c>
      <c r="BD17" t="s">
        <v>875</v>
      </c>
      <c r="BE17" t="s">
        <v>868</v>
      </c>
      <c r="BF17">
        <v>0</v>
      </c>
      <c r="BL17" t="s">
        <v>1475</v>
      </c>
      <c r="BM17" t="b">
        <v>1</v>
      </c>
      <c r="BN17" t="s">
        <v>1274</v>
      </c>
      <c r="CR17" t="s">
        <v>1517</v>
      </c>
      <c r="CS17" t="s">
        <v>19</v>
      </c>
      <c r="CT17" t="s">
        <v>1089</v>
      </c>
      <c r="DJ17" t="s">
        <v>1517</v>
      </c>
      <c r="DK17" t="s">
        <v>19</v>
      </c>
      <c r="DL17" t="s">
        <v>1089</v>
      </c>
      <c r="DM17" t="s">
        <v>1223</v>
      </c>
      <c r="DT17" t="s">
        <v>1326</v>
      </c>
      <c r="DU17">
        <v>0</v>
      </c>
    </row>
    <row r="18" spans="11:125" x14ac:dyDescent="0.3">
      <c r="K18" t="s">
        <v>1233</v>
      </c>
      <c r="L18" t="s">
        <v>1327</v>
      </c>
      <c r="M18" t="s">
        <v>578</v>
      </c>
      <c r="AN18" t="s">
        <v>1420</v>
      </c>
      <c r="AO18" t="s">
        <v>1256</v>
      </c>
      <c r="AP18" t="s">
        <v>1421</v>
      </c>
      <c r="AQ18" t="s">
        <v>292</v>
      </c>
      <c r="AR18" t="s">
        <v>1422</v>
      </c>
      <c r="AT18" t="s">
        <v>1223</v>
      </c>
      <c r="AY18" t="s">
        <v>1353</v>
      </c>
      <c r="AZ18" t="b">
        <v>1</v>
      </c>
      <c r="BC18" t="s">
        <v>1257</v>
      </c>
      <c r="BD18" t="s">
        <v>444</v>
      </c>
      <c r="BE18" t="s">
        <v>445</v>
      </c>
      <c r="BF18">
        <v>0</v>
      </c>
      <c r="BL18" t="s">
        <v>1476</v>
      </c>
      <c r="BM18" t="b">
        <v>1</v>
      </c>
      <c r="BN18" t="s">
        <v>1275</v>
      </c>
      <c r="CR18" t="s">
        <v>1518</v>
      </c>
      <c r="CS18" t="s">
        <v>30</v>
      </c>
      <c r="CT18" t="s">
        <v>1089</v>
      </c>
      <c r="DJ18" t="s">
        <v>1518</v>
      </c>
      <c r="DK18" t="s">
        <v>30</v>
      </c>
      <c r="DL18" t="s">
        <v>1089</v>
      </c>
      <c r="DM18" t="s">
        <v>1223</v>
      </c>
      <c r="DT18" t="s">
        <v>1327</v>
      </c>
      <c r="DU18">
        <v>0</v>
      </c>
    </row>
    <row r="19" spans="11:125" x14ac:dyDescent="0.3">
      <c r="K19" t="s">
        <v>1234</v>
      </c>
      <c r="L19" t="s">
        <v>1328</v>
      </c>
      <c r="M19" t="s">
        <v>578</v>
      </c>
      <c r="AN19" t="s">
        <v>1423</v>
      </c>
      <c r="AO19" t="s">
        <v>1256</v>
      </c>
      <c r="AP19" t="s">
        <v>1120</v>
      </c>
      <c r="AQ19" t="s">
        <v>1039</v>
      </c>
      <c r="AR19" t="s">
        <v>1418</v>
      </c>
      <c r="AS19" t="s">
        <v>1027</v>
      </c>
      <c r="AT19" t="s">
        <v>1223</v>
      </c>
      <c r="AY19" t="s">
        <v>1357</v>
      </c>
      <c r="AZ19" t="b">
        <v>1</v>
      </c>
      <c r="BC19" t="s">
        <v>1257</v>
      </c>
      <c r="BD19" t="s">
        <v>474</v>
      </c>
      <c r="BE19" t="s">
        <v>562</v>
      </c>
      <c r="BF19">
        <v>0</v>
      </c>
      <c r="CR19" t="s">
        <v>1519</v>
      </c>
      <c r="CS19" t="s">
        <v>15</v>
      </c>
      <c r="CT19" t="s">
        <v>1087</v>
      </c>
      <c r="DJ19" t="s">
        <v>1519</v>
      </c>
      <c r="DK19" t="s">
        <v>15</v>
      </c>
      <c r="DL19" t="s">
        <v>1087</v>
      </c>
      <c r="DM19" t="s">
        <v>1223</v>
      </c>
      <c r="DT19" t="s">
        <v>1328</v>
      </c>
      <c r="DU19">
        <v>0</v>
      </c>
    </row>
    <row r="20" spans="11:125" x14ac:dyDescent="0.3">
      <c r="K20" t="s">
        <v>1330</v>
      </c>
      <c r="L20" t="s">
        <v>1329</v>
      </c>
      <c r="M20" t="s">
        <v>356</v>
      </c>
      <c r="AN20" t="s">
        <v>1424</v>
      </c>
      <c r="AO20" t="s">
        <v>1256</v>
      </c>
      <c r="AP20" t="s">
        <v>1041</v>
      </c>
      <c r="AQ20" t="s">
        <v>1042</v>
      </c>
      <c r="AR20" t="s">
        <v>1418</v>
      </c>
      <c r="AS20" t="s">
        <v>1027</v>
      </c>
      <c r="AT20" t="s">
        <v>1223</v>
      </c>
      <c r="AY20" t="s">
        <v>1374</v>
      </c>
      <c r="AZ20" t="b">
        <v>1</v>
      </c>
      <c r="BC20" t="s">
        <v>1257</v>
      </c>
      <c r="BD20" t="s">
        <v>474</v>
      </c>
      <c r="BE20" t="s">
        <v>562</v>
      </c>
      <c r="BF20">
        <v>0</v>
      </c>
      <c r="CR20" t="s">
        <v>1520</v>
      </c>
      <c r="CS20" t="s">
        <v>16</v>
      </c>
      <c r="CT20" t="s">
        <v>1087</v>
      </c>
      <c r="DJ20" t="s">
        <v>1520</v>
      </c>
      <c r="DK20" t="s">
        <v>16</v>
      </c>
      <c r="DL20" t="s">
        <v>1087</v>
      </c>
      <c r="DM20" t="s">
        <v>1223</v>
      </c>
      <c r="DT20" t="s">
        <v>1329</v>
      </c>
      <c r="DU20">
        <v>25</v>
      </c>
    </row>
    <row r="21" spans="11:125" x14ac:dyDescent="0.3">
      <c r="K21" t="s">
        <v>869</v>
      </c>
      <c r="L21" t="s">
        <v>1331</v>
      </c>
      <c r="M21" t="s">
        <v>868</v>
      </c>
      <c r="AN21" t="s">
        <v>1425</v>
      </c>
      <c r="AO21" t="s">
        <v>1256</v>
      </c>
      <c r="AP21" t="s">
        <v>1044</v>
      </c>
      <c r="AQ21" t="s">
        <v>1045</v>
      </c>
      <c r="AR21" t="s">
        <v>1418</v>
      </c>
      <c r="AS21" t="s">
        <v>1027</v>
      </c>
      <c r="AT21" t="s">
        <v>1223</v>
      </c>
      <c r="AY21" t="s">
        <v>1334</v>
      </c>
      <c r="AZ21" t="b">
        <v>1</v>
      </c>
      <c r="BC21" t="s">
        <v>1257</v>
      </c>
      <c r="BD21" t="s">
        <v>474</v>
      </c>
      <c r="BE21" t="s">
        <v>475</v>
      </c>
      <c r="BF21">
        <v>0</v>
      </c>
      <c r="CR21" t="s">
        <v>1521</v>
      </c>
      <c r="CS21" t="s">
        <v>133</v>
      </c>
      <c r="CT21" t="s">
        <v>1087</v>
      </c>
      <c r="DJ21" t="s">
        <v>1521</v>
      </c>
      <c r="DK21" t="s">
        <v>133</v>
      </c>
      <c r="DL21" t="s">
        <v>1087</v>
      </c>
      <c r="DM21" t="s">
        <v>1223</v>
      </c>
      <c r="DT21" t="s">
        <v>1331</v>
      </c>
      <c r="DU21">
        <v>0</v>
      </c>
    </row>
    <row r="22" spans="11:125" x14ac:dyDescent="0.3">
      <c r="K22" t="s">
        <v>1235</v>
      </c>
      <c r="L22" t="s">
        <v>1332</v>
      </c>
      <c r="M22" t="s">
        <v>1227</v>
      </c>
      <c r="AN22" t="s">
        <v>1426</v>
      </c>
      <c r="AO22" t="s">
        <v>1256</v>
      </c>
      <c r="AP22" t="s">
        <v>1047</v>
      </c>
      <c r="AQ22" t="s">
        <v>1048</v>
      </c>
      <c r="AR22" t="s">
        <v>1418</v>
      </c>
      <c r="AS22" t="s">
        <v>1027</v>
      </c>
      <c r="AT22" t="s">
        <v>1223</v>
      </c>
      <c r="AY22" t="s">
        <v>1316</v>
      </c>
      <c r="AZ22" t="b">
        <v>1</v>
      </c>
      <c r="BC22" t="s">
        <v>1257</v>
      </c>
      <c r="BD22" t="s">
        <v>474</v>
      </c>
      <c r="BE22" t="s">
        <v>475</v>
      </c>
      <c r="BF22">
        <v>0</v>
      </c>
      <c r="CR22" t="s">
        <v>1522</v>
      </c>
      <c r="CS22" t="s">
        <v>134</v>
      </c>
      <c r="CT22" t="s">
        <v>1087</v>
      </c>
      <c r="DJ22" t="s">
        <v>1522</v>
      </c>
      <c r="DK22" t="s">
        <v>134</v>
      </c>
      <c r="DL22" t="s">
        <v>1087</v>
      </c>
      <c r="DM22" t="s">
        <v>1223</v>
      </c>
      <c r="DT22" t="s">
        <v>1332</v>
      </c>
      <c r="DU22">
        <v>0</v>
      </c>
    </row>
    <row r="23" spans="11:125" x14ac:dyDescent="0.3">
      <c r="K23" t="s">
        <v>508</v>
      </c>
      <c r="L23" t="s">
        <v>1333</v>
      </c>
      <c r="M23" t="s">
        <v>505</v>
      </c>
      <c r="AN23" s="157" t="s">
        <v>1427</v>
      </c>
      <c r="AO23" t="s">
        <v>1256</v>
      </c>
      <c r="AP23" t="s">
        <v>1030</v>
      </c>
      <c r="AQ23" t="s">
        <v>1030</v>
      </c>
      <c r="AR23" t="s">
        <v>1418</v>
      </c>
      <c r="AS23" t="s">
        <v>1027</v>
      </c>
      <c r="AT23" t="s">
        <v>1223</v>
      </c>
      <c r="AY23" t="s">
        <v>1373</v>
      </c>
      <c r="AZ23" t="b">
        <v>1</v>
      </c>
      <c r="BC23" t="s">
        <v>1257</v>
      </c>
      <c r="BD23" t="s">
        <v>463</v>
      </c>
      <c r="BE23" t="s">
        <v>464</v>
      </c>
      <c r="BF23">
        <v>0</v>
      </c>
      <c r="CR23" t="s">
        <v>1523</v>
      </c>
      <c r="CS23" t="s">
        <v>143</v>
      </c>
      <c r="CT23" t="s">
        <v>1087</v>
      </c>
      <c r="DJ23" t="s">
        <v>1523</v>
      </c>
      <c r="DK23" t="s">
        <v>143</v>
      </c>
      <c r="DL23" t="s">
        <v>1087</v>
      </c>
      <c r="DM23" t="s">
        <v>1223</v>
      </c>
      <c r="DT23" t="s">
        <v>1333</v>
      </c>
      <c r="DU23">
        <v>0</v>
      </c>
    </row>
    <row r="24" spans="11:125" x14ac:dyDescent="0.3">
      <c r="K24" t="s">
        <v>473</v>
      </c>
      <c r="L24" t="s">
        <v>1334</v>
      </c>
      <c r="M24" t="s">
        <v>475</v>
      </c>
      <c r="AN24" t="s">
        <v>1428</v>
      </c>
      <c r="AO24" t="s">
        <v>1256</v>
      </c>
      <c r="AP24" t="s">
        <v>1025</v>
      </c>
      <c r="AQ24" t="s">
        <v>1011</v>
      </c>
      <c r="AR24" t="s">
        <v>1411</v>
      </c>
      <c r="AS24" t="s">
        <v>1014</v>
      </c>
      <c r="AT24" t="s">
        <v>1223</v>
      </c>
      <c r="AY24" t="s">
        <v>1320</v>
      </c>
      <c r="AZ24" t="b">
        <v>1</v>
      </c>
      <c r="BC24" t="s">
        <v>1257</v>
      </c>
      <c r="BD24" t="s">
        <v>463</v>
      </c>
      <c r="BE24" t="s">
        <v>464</v>
      </c>
      <c r="BF24">
        <v>0</v>
      </c>
      <c r="CR24" t="s">
        <v>1524</v>
      </c>
      <c r="CS24" t="s">
        <v>136</v>
      </c>
      <c r="CT24" t="s">
        <v>1087</v>
      </c>
      <c r="DJ24" t="s">
        <v>1524</v>
      </c>
      <c r="DK24" t="s">
        <v>136</v>
      </c>
      <c r="DL24" t="s">
        <v>1087</v>
      </c>
      <c r="DM24" t="s">
        <v>1223</v>
      </c>
      <c r="DT24" t="s">
        <v>1334</v>
      </c>
      <c r="DU24">
        <v>0</v>
      </c>
    </row>
    <row r="25" spans="11:125" x14ac:dyDescent="0.3">
      <c r="K25" t="s">
        <v>488</v>
      </c>
      <c r="L25" t="s">
        <v>1335</v>
      </c>
      <c r="M25" t="s">
        <v>979</v>
      </c>
      <c r="AN25" t="s">
        <v>1429</v>
      </c>
      <c r="AO25" t="s">
        <v>1256</v>
      </c>
      <c r="AP25" t="s">
        <v>1026</v>
      </c>
      <c r="AQ25" t="s">
        <v>1026</v>
      </c>
      <c r="AR25" t="s">
        <v>1430</v>
      </c>
      <c r="AS25" t="s">
        <v>1025</v>
      </c>
      <c r="AT25" t="s">
        <v>1223</v>
      </c>
      <c r="AY25" t="s">
        <v>1363</v>
      </c>
      <c r="AZ25" t="b">
        <v>1</v>
      </c>
      <c r="BC25" t="s">
        <v>1257</v>
      </c>
      <c r="BD25" t="s">
        <v>463</v>
      </c>
      <c r="BE25" t="s">
        <v>464</v>
      </c>
      <c r="BF25">
        <v>0</v>
      </c>
      <c r="CR25" t="s">
        <v>1525</v>
      </c>
      <c r="CS25" t="s">
        <v>137</v>
      </c>
      <c r="CT25" t="s">
        <v>1087</v>
      </c>
      <c r="DJ25" t="s">
        <v>1525</v>
      </c>
      <c r="DK25" t="s">
        <v>137</v>
      </c>
      <c r="DL25" t="s">
        <v>1087</v>
      </c>
      <c r="DM25" t="s">
        <v>1223</v>
      </c>
      <c r="DT25" t="s">
        <v>1335</v>
      </c>
      <c r="DU25">
        <v>0</v>
      </c>
    </row>
    <row r="26" spans="11:125" x14ac:dyDescent="0.3">
      <c r="K26" t="s">
        <v>1236</v>
      </c>
      <c r="L26" t="s">
        <v>1336</v>
      </c>
      <c r="M26" t="s">
        <v>1229</v>
      </c>
      <c r="AN26" t="s">
        <v>1431</v>
      </c>
      <c r="AO26" t="s">
        <v>1256</v>
      </c>
      <c r="AP26" t="s">
        <v>1013</v>
      </c>
      <c r="AQ26" t="s">
        <v>1012</v>
      </c>
      <c r="AR26" t="s">
        <v>1411</v>
      </c>
      <c r="AS26" t="s">
        <v>1014</v>
      </c>
      <c r="AT26" t="s">
        <v>1223</v>
      </c>
      <c r="AY26" t="s">
        <v>1352</v>
      </c>
      <c r="AZ26" t="b">
        <v>1</v>
      </c>
      <c r="BC26" t="s">
        <v>1257</v>
      </c>
      <c r="BD26" t="s">
        <v>564</v>
      </c>
      <c r="BE26" t="s">
        <v>564</v>
      </c>
      <c r="BF26">
        <v>0</v>
      </c>
      <c r="CR26" t="s">
        <v>1526</v>
      </c>
      <c r="CS26" t="s">
        <v>199</v>
      </c>
      <c r="CT26" t="s">
        <v>24</v>
      </c>
      <c r="DJ26" t="s">
        <v>1526</v>
      </c>
      <c r="DK26" t="s">
        <v>199</v>
      </c>
      <c r="DL26" t="s">
        <v>24</v>
      </c>
      <c r="DM26" t="s">
        <v>1223</v>
      </c>
      <c r="DT26" t="s">
        <v>1336</v>
      </c>
      <c r="DU26">
        <v>0</v>
      </c>
    </row>
    <row r="27" spans="11:125" x14ac:dyDescent="0.3">
      <c r="K27" t="s">
        <v>1237</v>
      </c>
      <c r="L27" t="s">
        <v>1337</v>
      </c>
      <c r="M27" t="s">
        <v>1229</v>
      </c>
      <c r="AN27" t="s">
        <v>1432</v>
      </c>
      <c r="AO27" t="s">
        <v>1256</v>
      </c>
      <c r="AP27" t="s">
        <v>1019</v>
      </c>
      <c r="AQ27" t="s">
        <v>1020</v>
      </c>
      <c r="AR27" t="s">
        <v>1413</v>
      </c>
      <c r="AS27" t="s">
        <v>1012</v>
      </c>
      <c r="AT27" t="s">
        <v>1223</v>
      </c>
      <c r="AY27" t="s">
        <v>1364</v>
      </c>
      <c r="AZ27" t="b">
        <v>1</v>
      </c>
      <c r="BC27" t="s">
        <v>1257</v>
      </c>
      <c r="BD27" t="s">
        <v>566</v>
      </c>
      <c r="BE27" t="s">
        <v>566</v>
      </c>
      <c r="BF27">
        <v>0</v>
      </c>
      <c r="CR27" t="s">
        <v>1527</v>
      </c>
      <c r="CS27" t="s">
        <v>200</v>
      </c>
      <c r="CT27" t="s">
        <v>24</v>
      </c>
      <c r="DJ27" t="s">
        <v>1527</v>
      </c>
      <c r="DK27" t="s">
        <v>200</v>
      </c>
      <c r="DL27" t="s">
        <v>24</v>
      </c>
      <c r="DM27" t="s">
        <v>1223</v>
      </c>
      <c r="DT27" t="s">
        <v>1337</v>
      </c>
      <c r="DU27">
        <v>0</v>
      </c>
    </row>
    <row r="28" spans="11:125" x14ac:dyDescent="0.3">
      <c r="K28" t="s">
        <v>1238</v>
      </c>
      <c r="L28" t="s">
        <v>1338</v>
      </c>
      <c r="M28" t="s">
        <v>1229</v>
      </c>
      <c r="AN28" t="s">
        <v>1433</v>
      </c>
      <c r="AO28" t="s">
        <v>1256</v>
      </c>
      <c r="AP28" t="s">
        <v>1016</v>
      </c>
      <c r="AQ28" t="s">
        <v>1017</v>
      </c>
      <c r="AR28" t="s">
        <v>1413</v>
      </c>
      <c r="AS28" t="s">
        <v>1012</v>
      </c>
      <c r="AT28" t="s">
        <v>1223</v>
      </c>
      <c r="AY28" t="s">
        <v>1359</v>
      </c>
      <c r="AZ28" t="b">
        <v>1</v>
      </c>
      <c r="BC28" t="s">
        <v>1257</v>
      </c>
      <c r="BD28" t="s">
        <v>566</v>
      </c>
      <c r="BE28" t="s">
        <v>566</v>
      </c>
      <c r="BF28">
        <v>0</v>
      </c>
      <c r="CR28" t="s">
        <v>1528</v>
      </c>
      <c r="CS28" t="s">
        <v>188</v>
      </c>
      <c r="CT28" t="s">
        <v>20</v>
      </c>
      <c r="DJ28" t="s">
        <v>1528</v>
      </c>
      <c r="DK28" t="s">
        <v>188</v>
      </c>
      <c r="DL28" t="s">
        <v>20</v>
      </c>
      <c r="DM28" t="s">
        <v>1223</v>
      </c>
      <c r="DT28" t="s">
        <v>1338</v>
      </c>
      <c r="DU28">
        <v>0</v>
      </c>
    </row>
    <row r="29" spans="11:125" x14ac:dyDescent="0.3">
      <c r="K29" t="s">
        <v>1239</v>
      </c>
      <c r="L29" t="s">
        <v>1339</v>
      </c>
      <c r="M29" t="s">
        <v>569</v>
      </c>
      <c r="AN29" t="s">
        <v>1434</v>
      </c>
      <c r="AO29" t="s">
        <v>1256</v>
      </c>
      <c r="AP29" t="s">
        <v>1022</v>
      </c>
      <c r="AQ29" t="s">
        <v>1023</v>
      </c>
      <c r="AR29" t="s">
        <v>1411</v>
      </c>
      <c r="AS29" t="s">
        <v>1014</v>
      </c>
      <c r="AT29" t="s">
        <v>1223</v>
      </c>
      <c r="AY29" t="s">
        <v>1324</v>
      </c>
      <c r="AZ29" t="b">
        <v>1</v>
      </c>
      <c r="BC29" t="s">
        <v>1257</v>
      </c>
      <c r="BD29" t="s">
        <v>867</v>
      </c>
      <c r="BE29" t="s">
        <v>868</v>
      </c>
      <c r="BF29">
        <v>0</v>
      </c>
      <c r="CR29" t="s">
        <v>1529</v>
      </c>
      <c r="CS29" t="s">
        <v>190</v>
      </c>
      <c r="CT29" t="s">
        <v>20</v>
      </c>
      <c r="DJ29" t="s">
        <v>1529</v>
      </c>
      <c r="DK29" t="s">
        <v>190</v>
      </c>
      <c r="DL29" t="s">
        <v>20</v>
      </c>
      <c r="DM29" t="s">
        <v>1223</v>
      </c>
      <c r="DT29" t="s">
        <v>1339</v>
      </c>
      <c r="DU29">
        <v>0</v>
      </c>
    </row>
    <row r="30" spans="11:125" x14ac:dyDescent="0.3">
      <c r="K30" t="s">
        <v>1341</v>
      </c>
      <c r="L30" t="s">
        <v>1340</v>
      </c>
      <c r="M30" t="s">
        <v>356</v>
      </c>
      <c r="AN30" t="s">
        <v>1435</v>
      </c>
      <c r="AO30" t="s">
        <v>1256</v>
      </c>
      <c r="AP30" t="s">
        <v>1028</v>
      </c>
      <c r="AQ30" t="s">
        <v>1027</v>
      </c>
      <c r="AR30" t="s">
        <v>1411</v>
      </c>
      <c r="AS30" t="s">
        <v>1014</v>
      </c>
      <c r="AT30" t="s">
        <v>1223</v>
      </c>
      <c r="AY30" t="s">
        <v>1355</v>
      </c>
      <c r="AZ30" t="b">
        <v>1</v>
      </c>
      <c r="BC30" t="s">
        <v>1257</v>
      </c>
      <c r="BD30" t="s">
        <v>1220</v>
      </c>
      <c r="BE30" t="s">
        <v>1248</v>
      </c>
      <c r="BF30">
        <v>0</v>
      </c>
      <c r="CR30" t="s">
        <v>1530</v>
      </c>
      <c r="CS30" t="s">
        <v>191</v>
      </c>
      <c r="CT30" t="s">
        <v>20</v>
      </c>
      <c r="DJ30" t="s">
        <v>1530</v>
      </c>
      <c r="DK30" t="s">
        <v>191</v>
      </c>
      <c r="DL30" t="s">
        <v>20</v>
      </c>
      <c r="DM30" t="s">
        <v>1223</v>
      </c>
      <c r="DT30" t="s">
        <v>1340</v>
      </c>
      <c r="DU30">
        <v>25</v>
      </c>
    </row>
    <row r="31" spans="11:125" x14ac:dyDescent="0.3">
      <c r="K31" t="s">
        <v>1240</v>
      </c>
      <c r="L31" t="s">
        <v>1342</v>
      </c>
      <c r="M31" t="s">
        <v>1227</v>
      </c>
      <c r="AN31" t="s">
        <v>1436</v>
      </c>
      <c r="AO31" t="s">
        <v>1256</v>
      </c>
      <c r="AP31" t="s">
        <v>1033</v>
      </c>
      <c r="AQ31" t="s">
        <v>1034</v>
      </c>
      <c r="AR31" t="s">
        <v>1418</v>
      </c>
      <c r="AS31" t="s">
        <v>1027</v>
      </c>
      <c r="AT31" t="s">
        <v>1223</v>
      </c>
      <c r="AY31" t="s">
        <v>1342</v>
      </c>
      <c r="AZ31" t="b">
        <v>1</v>
      </c>
      <c r="BC31" t="s">
        <v>1257</v>
      </c>
      <c r="BD31" t="s">
        <v>1227</v>
      </c>
      <c r="BE31" t="s">
        <v>1227</v>
      </c>
      <c r="BF31">
        <v>0</v>
      </c>
      <c r="CR31" t="s">
        <v>1531</v>
      </c>
      <c r="CS31" t="s">
        <v>187</v>
      </c>
      <c r="CT31" t="s">
        <v>20</v>
      </c>
      <c r="DJ31" t="s">
        <v>1531</v>
      </c>
      <c r="DK31" t="s">
        <v>187</v>
      </c>
      <c r="DL31" t="s">
        <v>20</v>
      </c>
      <c r="DM31" t="s">
        <v>1223</v>
      </c>
      <c r="DT31" t="s">
        <v>1342</v>
      </c>
      <c r="DU31">
        <v>0</v>
      </c>
    </row>
    <row r="32" spans="11:125" x14ac:dyDescent="0.3">
      <c r="K32" t="s">
        <v>1241</v>
      </c>
      <c r="L32" t="s">
        <v>1343</v>
      </c>
      <c r="M32" t="s">
        <v>566</v>
      </c>
      <c r="AN32" t="s">
        <v>1437</v>
      </c>
      <c r="AO32" t="s">
        <v>1256</v>
      </c>
      <c r="AP32" t="s">
        <v>1036</v>
      </c>
      <c r="AQ32" t="s">
        <v>1037</v>
      </c>
      <c r="AR32" t="s">
        <v>1418</v>
      </c>
      <c r="AS32" t="s">
        <v>1027</v>
      </c>
      <c r="AT32" t="s">
        <v>1223</v>
      </c>
      <c r="AY32" t="s">
        <v>1332</v>
      </c>
      <c r="AZ32" t="b">
        <v>1</v>
      </c>
      <c r="BC32" t="s">
        <v>1257</v>
      </c>
      <c r="BD32" t="s">
        <v>1227</v>
      </c>
      <c r="BE32" t="s">
        <v>1227</v>
      </c>
      <c r="BF32">
        <v>0</v>
      </c>
      <c r="CR32" t="s">
        <v>1532</v>
      </c>
      <c r="CS32" t="s">
        <v>154</v>
      </c>
      <c r="CT32" t="s">
        <v>23</v>
      </c>
      <c r="DJ32" t="s">
        <v>1532</v>
      </c>
      <c r="DK32" t="s">
        <v>154</v>
      </c>
      <c r="DL32" t="s">
        <v>23</v>
      </c>
      <c r="DM32" t="s">
        <v>1223</v>
      </c>
      <c r="DT32" t="s">
        <v>1343</v>
      </c>
      <c r="DU32">
        <v>0</v>
      </c>
    </row>
    <row r="33" spans="11:125" x14ac:dyDescent="0.3">
      <c r="K33" t="s">
        <v>324</v>
      </c>
      <c r="L33" t="s">
        <v>1344</v>
      </c>
      <c r="M33" t="s">
        <v>326</v>
      </c>
      <c r="AN33" t="s">
        <v>1438</v>
      </c>
      <c r="AO33" t="s">
        <v>1256</v>
      </c>
      <c r="AP33" t="s">
        <v>1120</v>
      </c>
      <c r="AQ33" t="s">
        <v>1039</v>
      </c>
      <c r="AR33" t="s">
        <v>1418</v>
      </c>
      <c r="AS33" t="s">
        <v>1027</v>
      </c>
      <c r="AT33" t="s">
        <v>1223</v>
      </c>
      <c r="AY33" t="s">
        <v>1314</v>
      </c>
      <c r="AZ33" t="b">
        <v>1</v>
      </c>
      <c r="BC33" t="s">
        <v>1257</v>
      </c>
      <c r="BD33" t="s">
        <v>1227</v>
      </c>
      <c r="BE33" t="s">
        <v>1227</v>
      </c>
      <c r="BF33">
        <v>0</v>
      </c>
      <c r="CR33" t="s">
        <v>1533</v>
      </c>
      <c r="CS33" t="s">
        <v>155</v>
      </c>
      <c r="CT33" t="s">
        <v>23</v>
      </c>
      <c r="DJ33" t="s">
        <v>1533</v>
      </c>
      <c r="DK33" t="s">
        <v>155</v>
      </c>
      <c r="DL33" t="s">
        <v>23</v>
      </c>
      <c r="DM33" t="s">
        <v>1223</v>
      </c>
      <c r="DT33" t="s">
        <v>1344</v>
      </c>
      <c r="DU33">
        <v>0</v>
      </c>
    </row>
    <row r="34" spans="11:125" x14ac:dyDescent="0.3">
      <c r="K34" t="s">
        <v>1242</v>
      </c>
      <c r="L34" t="s">
        <v>1345</v>
      </c>
      <c r="M34" t="s">
        <v>574</v>
      </c>
      <c r="AN34" t="s">
        <v>1439</v>
      </c>
      <c r="AO34" t="s">
        <v>1256</v>
      </c>
      <c r="AP34" t="s">
        <v>1041</v>
      </c>
      <c r="AQ34" t="s">
        <v>1042</v>
      </c>
      <c r="AR34" t="s">
        <v>1418</v>
      </c>
      <c r="AS34" t="s">
        <v>1027</v>
      </c>
      <c r="AT34" t="s">
        <v>1223</v>
      </c>
      <c r="AY34" t="s">
        <v>1346</v>
      </c>
      <c r="AZ34" t="b">
        <v>1</v>
      </c>
      <c r="BC34" t="s">
        <v>1257</v>
      </c>
      <c r="BD34" t="s">
        <v>1227</v>
      </c>
      <c r="BE34" t="s">
        <v>1227</v>
      </c>
      <c r="BF34">
        <v>0</v>
      </c>
      <c r="CR34" t="s">
        <v>1534</v>
      </c>
      <c r="CS34" t="s">
        <v>156</v>
      </c>
      <c r="CT34" t="s">
        <v>23</v>
      </c>
      <c r="DJ34" t="s">
        <v>1534</v>
      </c>
      <c r="DK34" t="s">
        <v>156</v>
      </c>
      <c r="DL34" t="s">
        <v>23</v>
      </c>
      <c r="DM34" t="s">
        <v>1223</v>
      </c>
      <c r="DT34" t="s">
        <v>1345</v>
      </c>
      <c r="DU34">
        <v>0</v>
      </c>
    </row>
    <row r="35" spans="11:125" x14ac:dyDescent="0.3">
      <c r="K35" t="s">
        <v>1243</v>
      </c>
      <c r="L35" t="s">
        <v>1346</v>
      </c>
      <c r="M35" t="s">
        <v>1227</v>
      </c>
      <c r="AN35" t="s">
        <v>1440</v>
      </c>
      <c r="AO35" t="s">
        <v>1256</v>
      </c>
      <c r="AP35" t="s">
        <v>1044</v>
      </c>
      <c r="AQ35" t="s">
        <v>1045</v>
      </c>
      <c r="AR35" t="s">
        <v>1418</v>
      </c>
      <c r="AS35" t="s">
        <v>1027</v>
      </c>
      <c r="AT35" t="s">
        <v>1223</v>
      </c>
      <c r="AY35" t="s">
        <v>1367</v>
      </c>
      <c r="AZ35" t="b">
        <v>1</v>
      </c>
      <c r="BC35" t="s">
        <v>1257</v>
      </c>
      <c r="BD35" t="s">
        <v>1227</v>
      </c>
      <c r="BE35" t="s">
        <v>1227</v>
      </c>
      <c r="BF35">
        <v>0</v>
      </c>
      <c r="CR35" t="s">
        <v>1535</v>
      </c>
      <c r="CS35" t="s">
        <v>157</v>
      </c>
      <c r="CT35" t="s">
        <v>23</v>
      </c>
      <c r="DJ35" t="s">
        <v>1535</v>
      </c>
      <c r="DK35" t="s">
        <v>157</v>
      </c>
      <c r="DL35" t="s">
        <v>23</v>
      </c>
      <c r="DM35" t="s">
        <v>1223</v>
      </c>
      <c r="DT35" t="s">
        <v>1346</v>
      </c>
      <c r="DU35">
        <v>0</v>
      </c>
    </row>
    <row r="36" spans="11:125" x14ac:dyDescent="0.3">
      <c r="K36" t="s">
        <v>493</v>
      </c>
      <c r="L36" t="s">
        <v>1347</v>
      </c>
      <c r="M36" t="s">
        <v>494</v>
      </c>
      <c r="AN36" t="s">
        <v>1441</v>
      </c>
      <c r="AO36" t="s">
        <v>1256</v>
      </c>
      <c r="AP36" t="s">
        <v>1047</v>
      </c>
      <c r="AQ36" t="s">
        <v>1048</v>
      </c>
      <c r="AR36" t="s">
        <v>1418</v>
      </c>
      <c r="AS36" t="s">
        <v>1027</v>
      </c>
      <c r="AT36" t="s">
        <v>1223</v>
      </c>
      <c r="AY36" t="s">
        <v>1337</v>
      </c>
      <c r="AZ36" t="b">
        <v>1</v>
      </c>
      <c r="BC36" t="s">
        <v>1257</v>
      </c>
      <c r="BD36" t="s">
        <v>1258</v>
      </c>
      <c r="BE36" t="s">
        <v>1229</v>
      </c>
      <c r="BF36">
        <v>0</v>
      </c>
      <c r="CR36" t="s">
        <v>1536</v>
      </c>
      <c r="CS36" t="s">
        <v>158</v>
      </c>
      <c r="CT36" t="s">
        <v>23</v>
      </c>
      <c r="DJ36" t="s">
        <v>1536</v>
      </c>
      <c r="DK36" t="s">
        <v>158</v>
      </c>
      <c r="DL36" t="s">
        <v>23</v>
      </c>
      <c r="DM36" t="s">
        <v>1223</v>
      </c>
      <c r="DT36" t="s">
        <v>1347</v>
      </c>
      <c r="DU36">
        <v>0</v>
      </c>
    </row>
    <row r="37" spans="11:125" x14ac:dyDescent="0.3">
      <c r="K37" t="s">
        <v>399</v>
      </c>
      <c r="L37" t="s">
        <v>1348</v>
      </c>
      <c r="M37" t="s">
        <v>356</v>
      </c>
      <c r="AN37" t="s">
        <v>1442</v>
      </c>
      <c r="AO37" t="s">
        <v>1256</v>
      </c>
      <c r="AP37" t="s">
        <v>1030</v>
      </c>
      <c r="AQ37" t="s">
        <v>1030</v>
      </c>
      <c r="AR37" t="s">
        <v>1418</v>
      </c>
      <c r="AS37" t="s">
        <v>1027</v>
      </c>
      <c r="AT37" t="s">
        <v>1223</v>
      </c>
      <c r="AY37" t="s">
        <v>1366</v>
      </c>
      <c r="AZ37" t="b">
        <v>1</v>
      </c>
      <c r="BC37" t="s">
        <v>1257</v>
      </c>
      <c r="BD37" t="s">
        <v>1258</v>
      </c>
      <c r="BE37" t="s">
        <v>1229</v>
      </c>
      <c r="BF37">
        <v>0</v>
      </c>
      <c r="CR37" t="s">
        <v>1537</v>
      </c>
      <c r="CS37" t="s">
        <v>159</v>
      </c>
      <c r="CT37" t="s">
        <v>23</v>
      </c>
      <c r="DJ37" t="s">
        <v>1537</v>
      </c>
      <c r="DK37" t="s">
        <v>159</v>
      </c>
      <c r="DL37" t="s">
        <v>23</v>
      </c>
      <c r="DM37" t="s">
        <v>1223</v>
      </c>
      <c r="DT37" t="s">
        <v>1348</v>
      </c>
      <c r="DU37">
        <v>25</v>
      </c>
    </row>
    <row r="38" spans="11:125" x14ac:dyDescent="0.3">
      <c r="K38" t="s">
        <v>874</v>
      </c>
      <c r="L38" t="s">
        <v>1349</v>
      </c>
      <c r="M38" t="s">
        <v>868</v>
      </c>
      <c r="AN38" t="s">
        <v>1443</v>
      </c>
      <c r="AO38" t="s">
        <v>1256</v>
      </c>
      <c r="AP38" t="s">
        <v>1025</v>
      </c>
      <c r="AQ38" t="s">
        <v>1011</v>
      </c>
      <c r="AR38" t="s">
        <v>1411</v>
      </c>
      <c r="AS38" t="s">
        <v>1014</v>
      </c>
      <c r="AT38" t="s">
        <v>1223</v>
      </c>
      <c r="AY38" t="s">
        <v>1380</v>
      </c>
      <c r="AZ38" t="b">
        <v>1</v>
      </c>
      <c r="BC38" t="s">
        <v>1257</v>
      </c>
      <c r="BD38" t="s">
        <v>1258</v>
      </c>
      <c r="BE38" t="s">
        <v>1229</v>
      </c>
      <c r="BF38">
        <v>0</v>
      </c>
      <c r="CR38" t="s">
        <v>1538</v>
      </c>
      <c r="CS38" t="s">
        <v>160</v>
      </c>
      <c r="CT38" t="s">
        <v>23</v>
      </c>
      <c r="DJ38" t="s">
        <v>1538</v>
      </c>
      <c r="DK38" t="s">
        <v>160</v>
      </c>
      <c r="DL38" t="s">
        <v>23</v>
      </c>
      <c r="DM38" t="s">
        <v>1223</v>
      </c>
      <c r="DT38" t="s">
        <v>1349</v>
      </c>
      <c r="DU38">
        <v>0</v>
      </c>
    </row>
    <row r="39" spans="11:125" x14ac:dyDescent="0.3">
      <c r="K39" t="s">
        <v>1244</v>
      </c>
      <c r="L39" t="s">
        <v>1350</v>
      </c>
      <c r="M39" t="s">
        <v>576</v>
      </c>
      <c r="AN39" t="s">
        <v>1444</v>
      </c>
      <c r="AO39" t="s">
        <v>1256</v>
      </c>
      <c r="AP39" t="s">
        <v>1026</v>
      </c>
      <c r="AQ39" t="s">
        <v>1026</v>
      </c>
      <c r="AR39" t="s">
        <v>1430</v>
      </c>
      <c r="AS39" t="s">
        <v>1025</v>
      </c>
      <c r="AT39" t="s">
        <v>1223</v>
      </c>
      <c r="AY39" t="s">
        <v>1336</v>
      </c>
      <c r="AZ39" t="b">
        <v>1</v>
      </c>
      <c r="BC39" t="s">
        <v>1257</v>
      </c>
      <c r="BD39" t="s">
        <v>1258</v>
      </c>
      <c r="BE39" t="s">
        <v>1229</v>
      </c>
      <c r="BF39">
        <v>0</v>
      </c>
      <c r="CR39" t="s">
        <v>1539</v>
      </c>
      <c r="CS39" t="s">
        <v>161</v>
      </c>
      <c r="CT39" t="s">
        <v>23</v>
      </c>
      <c r="DJ39" t="s">
        <v>1539</v>
      </c>
      <c r="DK39" t="s">
        <v>161</v>
      </c>
      <c r="DL39" t="s">
        <v>23</v>
      </c>
      <c r="DM39" t="s">
        <v>1223</v>
      </c>
      <c r="DT39" t="s">
        <v>1350</v>
      </c>
      <c r="DU39">
        <v>0</v>
      </c>
    </row>
    <row r="40" spans="11:125" x14ac:dyDescent="0.3">
      <c r="K40" t="s">
        <v>384</v>
      </c>
      <c r="L40" t="s">
        <v>1351</v>
      </c>
      <c r="M40" t="s">
        <v>356</v>
      </c>
      <c r="AN40" t="s">
        <v>1445</v>
      </c>
      <c r="AO40" t="s">
        <v>1256</v>
      </c>
      <c r="AP40" t="s">
        <v>310</v>
      </c>
      <c r="AQ40" t="s">
        <v>1014</v>
      </c>
      <c r="AR40">
        <v>0</v>
      </c>
      <c r="AT40" t="s">
        <v>1223</v>
      </c>
      <c r="AY40" t="s">
        <v>1338</v>
      </c>
      <c r="AZ40" t="b">
        <v>1</v>
      </c>
      <c r="BC40" t="s">
        <v>1257</v>
      </c>
      <c r="BD40" t="s">
        <v>1258</v>
      </c>
      <c r="BE40" t="s">
        <v>1229</v>
      </c>
      <c r="BF40">
        <v>0</v>
      </c>
      <c r="CR40" t="s">
        <v>1540</v>
      </c>
      <c r="CS40" t="s">
        <v>162</v>
      </c>
      <c r="CT40" t="s">
        <v>23</v>
      </c>
      <c r="DJ40" t="s">
        <v>1540</v>
      </c>
      <c r="DK40" t="s">
        <v>162</v>
      </c>
      <c r="DL40" t="s">
        <v>23</v>
      </c>
      <c r="DM40" t="s">
        <v>1223</v>
      </c>
      <c r="DT40" t="s">
        <v>1351</v>
      </c>
      <c r="DU40">
        <v>0</v>
      </c>
    </row>
    <row r="41" spans="11:125" x14ac:dyDescent="0.3">
      <c r="K41" t="s">
        <v>1245</v>
      </c>
      <c r="L41" t="s">
        <v>1352</v>
      </c>
      <c r="M41" t="s">
        <v>564</v>
      </c>
      <c r="AN41" t="s">
        <v>1446</v>
      </c>
      <c r="AO41" t="s">
        <v>1256</v>
      </c>
      <c r="AP41" t="s">
        <v>1013</v>
      </c>
      <c r="AQ41" t="s">
        <v>1012</v>
      </c>
      <c r="AR41" t="s">
        <v>1445</v>
      </c>
      <c r="AS41" t="s">
        <v>1014</v>
      </c>
      <c r="AT41" t="s">
        <v>1223</v>
      </c>
      <c r="AY41" t="s">
        <v>1354</v>
      </c>
      <c r="AZ41" t="b">
        <v>1</v>
      </c>
      <c r="BC41" t="s">
        <v>1257</v>
      </c>
      <c r="BD41" t="s">
        <v>1258</v>
      </c>
      <c r="BE41" t="s">
        <v>1229</v>
      </c>
      <c r="BF41">
        <v>0</v>
      </c>
      <c r="CR41" t="s">
        <v>1541</v>
      </c>
      <c r="CS41" t="s">
        <v>163</v>
      </c>
      <c r="CT41" t="s">
        <v>23</v>
      </c>
      <c r="DJ41" t="s">
        <v>1541</v>
      </c>
      <c r="DK41" t="s">
        <v>163</v>
      </c>
      <c r="DL41" t="s">
        <v>23</v>
      </c>
      <c r="DM41" t="s">
        <v>1223</v>
      </c>
      <c r="DT41" t="s">
        <v>1352</v>
      </c>
      <c r="DU41">
        <v>0</v>
      </c>
    </row>
    <row r="42" spans="11:125" x14ac:dyDescent="0.3">
      <c r="K42" t="s">
        <v>443</v>
      </c>
      <c r="L42" t="s">
        <v>1353</v>
      </c>
      <c r="M42" t="s">
        <v>445</v>
      </c>
      <c r="AN42" t="s">
        <v>1447</v>
      </c>
      <c r="AO42" t="s">
        <v>1256</v>
      </c>
      <c r="AP42" t="s">
        <v>1019</v>
      </c>
      <c r="AQ42" t="s">
        <v>1020</v>
      </c>
      <c r="AR42" t="s">
        <v>1410</v>
      </c>
      <c r="AS42" t="s">
        <v>1012</v>
      </c>
      <c r="AT42" t="s">
        <v>1223</v>
      </c>
      <c r="AY42" t="s">
        <v>1368</v>
      </c>
      <c r="AZ42" t="b">
        <v>1</v>
      </c>
      <c r="BC42" t="s">
        <v>1257</v>
      </c>
      <c r="BD42" t="s">
        <v>1258</v>
      </c>
      <c r="BE42" t="s">
        <v>1229</v>
      </c>
      <c r="BF42">
        <v>0</v>
      </c>
      <c r="CR42" t="s">
        <v>1542</v>
      </c>
      <c r="CS42" t="s">
        <v>164</v>
      </c>
      <c r="CT42" t="s">
        <v>23</v>
      </c>
      <c r="DJ42" t="s">
        <v>1542</v>
      </c>
      <c r="DK42" t="s">
        <v>164</v>
      </c>
      <c r="DL42" t="s">
        <v>23</v>
      </c>
      <c r="DM42" t="s">
        <v>1223</v>
      </c>
      <c r="DT42" t="s">
        <v>1353</v>
      </c>
      <c r="DU42">
        <v>0</v>
      </c>
    </row>
    <row r="43" spans="11:125" x14ac:dyDescent="0.3">
      <c r="K43" t="s">
        <v>1246</v>
      </c>
      <c r="L43" t="s">
        <v>1354</v>
      </c>
      <c r="M43" t="s">
        <v>1229</v>
      </c>
      <c r="AN43" t="s">
        <v>1448</v>
      </c>
      <c r="AO43" t="s">
        <v>1256</v>
      </c>
      <c r="AP43" t="s">
        <v>1016</v>
      </c>
      <c r="AQ43" t="s">
        <v>1017</v>
      </c>
      <c r="AR43" t="s">
        <v>1410</v>
      </c>
      <c r="AS43" t="s">
        <v>1012</v>
      </c>
      <c r="AT43" t="s">
        <v>1223</v>
      </c>
      <c r="AY43" t="s">
        <v>1315</v>
      </c>
      <c r="AZ43" t="b">
        <v>1</v>
      </c>
      <c r="BC43" t="s">
        <v>1257</v>
      </c>
      <c r="BD43" t="s">
        <v>1258</v>
      </c>
      <c r="BE43" t="s">
        <v>1229</v>
      </c>
      <c r="BF43">
        <v>0</v>
      </c>
      <c r="CR43" t="s">
        <v>1543</v>
      </c>
      <c r="CS43" t="s">
        <v>165</v>
      </c>
      <c r="CT43" t="s">
        <v>23</v>
      </c>
      <c r="DJ43" t="s">
        <v>1543</v>
      </c>
      <c r="DK43" t="s">
        <v>165</v>
      </c>
      <c r="DL43" t="s">
        <v>23</v>
      </c>
      <c r="DM43" t="s">
        <v>1223</v>
      </c>
      <c r="DT43" t="s">
        <v>1354</v>
      </c>
      <c r="DU43">
        <v>0</v>
      </c>
    </row>
    <row r="44" spans="11:125" x14ac:dyDescent="0.3">
      <c r="K44" t="s">
        <v>1247</v>
      </c>
      <c r="L44" t="s">
        <v>1355</v>
      </c>
      <c r="M44" t="s">
        <v>1248</v>
      </c>
      <c r="AN44" t="s">
        <v>1449</v>
      </c>
      <c r="AO44" t="s">
        <v>1256</v>
      </c>
      <c r="AP44" t="s">
        <v>1022</v>
      </c>
      <c r="AQ44" t="s">
        <v>1023</v>
      </c>
      <c r="AR44" t="s">
        <v>1445</v>
      </c>
      <c r="AS44" t="s">
        <v>1014</v>
      </c>
      <c r="AT44" t="s">
        <v>1223</v>
      </c>
      <c r="AY44" t="s">
        <v>1323</v>
      </c>
      <c r="AZ44" t="b">
        <v>1</v>
      </c>
      <c r="BC44" t="s">
        <v>1257</v>
      </c>
      <c r="BD44" t="s">
        <v>875</v>
      </c>
      <c r="BE44" t="s">
        <v>1232</v>
      </c>
      <c r="BF44">
        <v>0</v>
      </c>
      <c r="CR44" t="s">
        <v>1544</v>
      </c>
      <c r="CS44" t="s">
        <v>166</v>
      </c>
      <c r="CT44" t="s">
        <v>23</v>
      </c>
      <c r="DJ44" t="s">
        <v>1544</v>
      </c>
      <c r="DK44" t="s">
        <v>166</v>
      </c>
      <c r="DL44" t="s">
        <v>23</v>
      </c>
      <c r="DM44" t="s">
        <v>1223</v>
      </c>
      <c r="DT44" t="s">
        <v>1355</v>
      </c>
      <c r="DU44">
        <v>0</v>
      </c>
    </row>
    <row r="45" spans="11:125" x14ac:dyDescent="0.3">
      <c r="K45" t="s">
        <v>458</v>
      </c>
      <c r="L45" t="s">
        <v>1356</v>
      </c>
      <c r="M45" t="s">
        <v>459</v>
      </c>
      <c r="AN45" t="s">
        <v>1450</v>
      </c>
      <c r="AO45" t="s">
        <v>1256</v>
      </c>
      <c r="AP45" t="s">
        <v>1028</v>
      </c>
      <c r="AQ45" t="s">
        <v>1027</v>
      </c>
      <c r="AR45" t="s">
        <v>1445</v>
      </c>
      <c r="AS45" t="s">
        <v>1014</v>
      </c>
      <c r="AT45" t="s">
        <v>1223</v>
      </c>
      <c r="AY45" t="s">
        <v>1375</v>
      </c>
      <c r="AZ45" t="b">
        <v>1</v>
      </c>
      <c r="BC45" t="s">
        <v>1257</v>
      </c>
      <c r="BD45" t="s">
        <v>1259</v>
      </c>
      <c r="BE45" t="s">
        <v>578</v>
      </c>
      <c r="BF45">
        <v>0</v>
      </c>
      <c r="CR45" t="s">
        <v>1545</v>
      </c>
      <c r="CS45" t="s">
        <v>167</v>
      </c>
      <c r="CT45" t="s">
        <v>23</v>
      </c>
      <c r="DJ45" t="s">
        <v>1545</v>
      </c>
      <c r="DK45" t="s">
        <v>167</v>
      </c>
      <c r="DL45" t="s">
        <v>23</v>
      </c>
      <c r="DM45" t="s">
        <v>1223</v>
      </c>
      <c r="DT45" t="s">
        <v>1356</v>
      </c>
      <c r="DU45">
        <v>0</v>
      </c>
    </row>
    <row r="46" spans="11:125" x14ac:dyDescent="0.3">
      <c r="K46" t="s">
        <v>980</v>
      </c>
      <c r="L46" t="s">
        <v>1357</v>
      </c>
      <c r="M46" t="s">
        <v>562</v>
      </c>
      <c r="AN46" t="s">
        <v>1451</v>
      </c>
      <c r="AO46" t="s">
        <v>1256</v>
      </c>
      <c r="AP46" t="s">
        <v>1033</v>
      </c>
      <c r="AQ46" t="s">
        <v>1034</v>
      </c>
      <c r="AR46" t="s">
        <v>1416</v>
      </c>
      <c r="AS46" t="s">
        <v>1027</v>
      </c>
      <c r="AT46" t="s">
        <v>1223</v>
      </c>
      <c r="AY46" t="s">
        <v>1328</v>
      </c>
      <c r="AZ46" t="b">
        <v>1</v>
      </c>
      <c r="BC46" t="s">
        <v>1257</v>
      </c>
      <c r="BD46" t="s">
        <v>1259</v>
      </c>
      <c r="BE46" t="s">
        <v>578</v>
      </c>
      <c r="BF46">
        <v>0</v>
      </c>
      <c r="CR46" t="s">
        <v>1546</v>
      </c>
      <c r="CS46" t="s">
        <v>110</v>
      </c>
      <c r="CT46" t="s">
        <v>1094</v>
      </c>
      <c r="DJ46" t="s">
        <v>1546</v>
      </c>
      <c r="DK46" t="s">
        <v>110</v>
      </c>
      <c r="DL46" t="s">
        <v>1094</v>
      </c>
      <c r="DM46" t="s">
        <v>1223</v>
      </c>
      <c r="DT46" t="s">
        <v>1357</v>
      </c>
      <c r="DU46">
        <v>0</v>
      </c>
    </row>
    <row r="47" spans="11:125" x14ac:dyDescent="0.3">
      <c r="K47" t="s">
        <v>507</v>
      </c>
      <c r="L47" t="s">
        <v>1358</v>
      </c>
      <c r="M47" t="s">
        <v>505</v>
      </c>
      <c r="AN47" t="s">
        <v>1452</v>
      </c>
      <c r="AO47" t="s">
        <v>1256</v>
      </c>
      <c r="AP47" t="s">
        <v>1036</v>
      </c>
      <c r="AQ47" t="s">
        <v>1037</v>
      </c>
      <c r="AR47" t="s">
        <v>1416</v>
      </c>
      <c r="AS47" t="s">
        <v>1027</v>
      </c>
      <c r="AT47" t="s">
        <v>1223</v>
      </c>
      <c r="AY47" t="s">
        <v>1327</v>
      </c>
      <c r="AZ47" t="b">
        <v>1</v>
      </c>
      <c r="BC47" t="s">
        <v>1257</v>
      </c>
      <c r="BD47" t="s">
        <v>1259</v>
      </c>
      <c r="BE47" t="s">
        <v>578</v>
      </c>
      <c r="BF47">
        <v>0</v>
      </c>
      <c r="CR47" t="s">
        <v>1547</v>
      </c>
      <c r="CS47" t="s">
        <v>111</v>
      </c>
      <c r="CT47" t="s">
        <v>1094</v>
      </c>
      <c r="DJ47" t="s">
        <v>1547</v>
      </c>
      <c r="DK47" t="s">
        <v>111</v>
      </c>
      <c r="DL47" t="s">
        <v>1094</v>
      </c>
      <c r="DM47" t="s">
        <v>1223</v>
      </c>
      <c r="DT47" t="s">
        <v>1358</v>
      </c>
      <c r="DU47">
        <v>0</v>
      </c>
    </row>
    <row r="48" spans="11:125" x14ac:dyDescent="0.3">
      <c r="K48" t="s">
        <v>567</v>
      </c>
      <c r="L48" t="s">
        <v>1359</v>
      </c>
      <c r="M48" t="s">
        <v>566</v>
      </c>
      <c r="AN48" s="157" t="s">
        <v>1453</v>
      </c>
      <c r="AO48" t="s">
        <v>1256</v>
      </c>
      <c r="AP48" t="s">
        <v>1120</v>
      </c>
      <c r="AQ48" t="s">
        <v>1039</v>
      </c>
      <c r="AR48" t="s">
        <v>1416</v>
      </c>
      <c r="AS48" t="s">
        <v>1027</v>
      </c>
      <c r="AT48" t="s">
        <v>1223</v>
      </c>
      <c r="AY48" s="157" t="s">
        <v>1362</v>
      </c>
      <c r="AZ48" t="b">
        <v>1</v>
      </c>
      <c r="BC48" t="s">
        <v>1257</v>
      </c>
      <c r="BD48" t="s">
        <v>297</v>
      </c>
      <c r="BE48" t="s">
        <v>356</v>
      </c>
      <c r="BF48">
        <v>0</v>
      </c>
      <c r="CR48" t="s">
        <v>1548</v>
      </c>
      <c r="CS48" t="s">
        <v>112</v>
      </c>
      <c r="CT48" t="s">
        <v>1094</v>
      </c>
      <c r="DJ48" t="s">
        <v>1548</v>
      </c>
      <c r="DK48" t="s">
        <v>112</v>
      </c>
      <c r="DL48" t="s">
        <v>1094</v>
      </c>
      <c r="DM48" t="s">
        <v>1223</v>
      </c>
      <c r="DT48" t="s">
        <v>1359</v>
      </c>
      <c r="DU48">
        <v>0</v>
      </c>
    </row>
    <row r="49" spans="11:125" x14ac:dyDescent="0.3">
      <c r="K49" t="s">
        <v>503</v>
      </c>
      <c r="L49" t="s">
        <v>1360</v>
      </c>
      <c r="M49" t="s">
        <v>505</v>
      </c>
      <c r="AN49" t="s">
        <v>1454</v>
      </c>
      <c r="AO49" t="s">
        <v>1256</v>
      </c>
      <c r="AP49" t="s">
        <v>1041</v>
      </c>
      <c r="AQ49" t="s">
        <v>1042</v>
      </c>
      <c r="AR49" t="s">
        <v>1416</v>
      </c>
      <c r="AS49" t="s">
        <v>1027</v>
      </c>
      <c r="AT49" t="s">
        <v>1223</v>
      </c>
      <c r="AY49" t="s">
        <v>1369</v>
      </c>
      <c r="AZ49" t="b">
        <v>1</v>
      </c>
      <c r="BC49" t="s">
        <v>1257</v>
      </c>
      <c r="BD49" t="s">
        <v>297</v>
      </c>
      <c r="BE49" t="s">
        <v>356</v>
      </c>
      <c r="BF49">
        <v>0</v>
      </c>
      <c r="CR49" t="s">
        <v>1549</v>
      </c>
      <c r="CS49" t="s">
        <v>109</v>
      </c>
      <c r="CT49" t="s">
        <v>1094</v>
      </c>
      <c r="DJ49" t="s">
        <v>1549</v>
      </c>
      <c r="DK49" t="s">
        <v>109</v>
      </c>
      <c r="DL49" t="s">
        <v>1094</v>
      </c>
      <c r="DM49" t="s">
        <v>1223</v>
      </c>
      <c r="DT49" t="s">
        <v>1360</v>
      </c>
      <c r="DU49">
        <v>0</v>
      </c>
    </row>
    <row r="50" spans="11:125" x14ac:dyDescent="0.3">
      <c r="K50" t="s">
        <v>498</v>
      </c>
      <c r="L50" t="s">
        <v>1361</v>
      </c>
      <c r="M50" t="s">
        <v>500</v>
      </c>
      <c r="AN50" t="s">
        <v>1455</v>
      </c>
      <c r="AO50" t="s">
        <v>1256</v>
      </c>
      <c r="AP50" t="s">
        <v>1044</v>
      </c>
      <c r="AQ50" t="s">
        <v>1045</v>
      </c>
      <c r="AR50" t="s">
        <v>1416</v>
      </c>
      <c r="AS50" t="s">
        <v>1027</v>
      </c>
      <c r="AT50" t="s">
        <v>1223</v>
      </c>
      <c r="AY50" t="s">
        <v>1351</v>
      </c>
      <c r="AZ50" t="b">
        <v>1</v>
      </c>
      <c r="BC50" t="s">
        <v>1257</v>
      </c>
      <c r="BD50" t="s">
        <v>297</v>
      </c>
      <c r="BE50" t="s">
        <v>356</v>
      </c>
      <c r="BF50">
        <v>0</v>
      </c>
      <c r="CR50" t="s">
        <v>1550</v>
      </c>
      <c r="CS50" t="s">
        <v>113</v>
      </c>
      <c r="CT50" t="s">
        <v>1094</v>
      </c>
      <c r="DJ50" t="s">
        <v>1550</v>
      </c>
      <c r="DK50" t="s">
        <v>113</v>
      </c>
      <c r="DL50" t="s">
        <v>1094</v>
      </c>
      <c r="DM50" t="s">
        <v>1223</v>
      </c>
      <c r="DT50" t="s">
        <v>1361</v>
      </c>
      <c r="DU50">
        <v>0</v>
      </c>
    </row>
    <row r="51" spans="11:125" x14ac:dyDescent="0.3">
      <c r="K51" t="s">
        <v>355</v>
      </c>
      <c r="L51" s="157" t="s">
        <v>1362</v>
      </c>
      <c r="M51" t="s">
        <v>356</v>
      </c>
      <c r="AN51" t="s">
        <v>1456</v>
      </c>
      <c r="AO51" t="s">
        <v>1256</v>
      </c>
      <c r="AP51" t="s">
        <v>1047</v>
      </c>
      <c r="AQ51" t="s">
        <v>1048</v>
      </c>
      <c r="AR51" t="s">
        <v>1416</v>
      </c>
      <c r="AS51" t="s">
        <v>1027</v>
      </c>
      <c r="AT51" t="s">
        <v>1223</v>
      </c>
      <c r="AY51" t="s">
        <v>1348</v>
      </c>
      <c r="AZ51" t="b">
        <v>1</v>
      </c>
      <c r="BC51" t="s">
        <v>1257</v>
      </c>
      <c r="BD51" t="s">
        <v>297</v>
      </c>
      <c r="BE51" t="s">
        <v>356</v>
      </c>
      <c r="BF51">
        <v>25</v>
      </c>
      <c r="BG51" t="s">
        <v>1460</v>
      </c>
      <c r="CR51" t="s">
        <v>1551</v>
      </c>
      <c r="CS51" t="s">
        <v>114</v>
      </c>
      <c r="CT51" t="s">
        <v>1094</v>
      </c>
      <c r="DJ51" t="s">
        <v>1551</v>
      </c>
      <c r="DK51" t="s">
        <v>114</v>
      </c>
      <c r="DL51" t="s">
        <v>1094</v>
      </c>
      <c r="DM51" t="s">
        <v>1223</v>
      </c>
      <c r="DT51" s="157" t="s">
        <v>1362</v>
      </c>
      <c r="DU51">
        <v>0</v>
      </c>
    </row>
    <row r="52" spans="11:125" x14ac:dyDescent="0.3">
      <c r="K52" t="s">
        <v>470</v>
      </c>
      <c r="L52" t="s">
        <v>1363</v>
      </c>
      <c r="M52" t="s">
        <v>464</v>
      </c>
      <c r="AN52" t="s">
        <v>1457</v>
      </c>
      <c r="AO52" t="s">
        <v>1256</v>
      </c>
      <c r="AP52" t="s">
        <v>1030</v>
      </c>
      <c r="AQ52" t="s">
        <v>1030</v>
      </c>
      <c r="AR52" t="s">
        <v>1416</v>
      </c>
      <c r="AS52" t="s">
        <v>1027</v>
      </c>
      <c r="AT52" t="s">
        <v>1223</v>
      </c>
      <c r="AY52" t="s">
        <v>1325</v>
      </c>
      <c r="AZ52" t="b">
        <v>1</v>
      </c>
      <c r="BC52" t="s">
        <v>1257</v>
      </c>
      <c r="BD52" t="s">
        <v>297</v>
      </c>
      <c r="BE52" t="s">
        <v>356</v>
      </c>
      <c r="BF52">
        <v>25</v>
      </c>
      <c r="BG52" t="s">
        <v>1460</v>
      </c>
      <c r="CR52" t="s">
        <v>1552</v>
      </c>
      <c r="CS52" t="s">
        <v>115</v>
      </c>
      <c r="CT52" t="s">
        <v>1094</v>
      </c>
      <c r="DJ52" t="s">
        <v>1552</v>
      </c>
      <c r="DK52" t="s">
        <v>115</v>
      </c>
      <c r="DL52" t="s">
        <v>1094</v>
      </c>
      <c r="DM52" t="s">
        <v>1223</v>
      </c>
      <c r="DT52" t="s">
        <v>1363</v>
      </c>
      <c r="DU52">
        <v>0</v>
      </c>
    </row>
    <row r="53" spans="11:125" x14ac:dyDescent="0.3">
      <c r="K53" t="s">
        <v>1249</v>
      </c>
      <c r="L53" t="s">
        <v>1364</v>
      </c>
      <c r="M53" t="s">
        <v>566</v>
      </c>
      <c r="AN53" t="s">
        <v>1458</v>
      </c>
      <c r="AO53" t="s">
        <v>1256</v>
      </c>
      <c r="AP53" t="s">
        <v>1025</v>
      </c>
      <c r="AQ53" t="s">
        <v>1011</v>
      </c>
      <c r="AR53" t="s">
        <v>1445</v>
      </c>
      <c r="AS53" t="s">
        <v>1014</v>
      </c>
      <c r="AT53" t="s">
        <v>1223</v>
      </c>
      <c r="AY53" t="s">
        <v>1371</v>
      </c>
      <c r="AZ53" t="b">
        <v>1</v>
      </c>
      <c r="BC53" t="s">
        <v>1257</v>
      </c>
      <c r="BD53" t="s">
        <v>569</v>
      </c>
      <c r="BE53" t="s">
        <v>569</v>
      </c>
      <c r="BF53">
        <v>0</v>
      </c>
      <c r="CR53" t="s">
        <v>1553</v>
      </c>
      <c r="CS53" t="s">
        <v>116</v>
      </c>
      <c r="CT53" t="s">
        <v>1094</v>
      </c>
      <c r="DJ53" t="s">
        <v>1553</v>
      </c>
      <c r="DK53" t="s">
        <v>116</v>
      </c>
      <c r="DL53" t="s">
        <v>1094</v>
      </c>
      <c r="DM53" t="s">
        <v>1223</v>
      </c>
      <c r="DT53" t="s">
        <v>1364</v>
      </c>
      <c r="DU53">
        <v>0</v>
      </c>
    </row>
    <row r="54" spans="11:125" x14ac:dyDescent="0.3">
      <c r="K54" t="s">
        <v>506</v>
      </c>
      <c r="L54" t="s">
        <v>1365</v>
      </c>
      <c r="M54" t="s">
        <v>505</v>
      </c>
      <c r="AN54" t="s">
        <v>1459</v>
      </c>
      <c r="AO54" t="s">
        <v>1256</v>
      </c>
      <c r="AP54" t="s">
        <v>1026</v>
      </c>
      <c r="AQ54" t="s">
        <v>1026</v>
      </c>
      <c r="AR54" t="s">
        <v>1428</v>
      </c>
      <c r="AS54" t="s">
        <v>1011</v>
      </c>
      <c r="AT54" t="s">
        <v>1223</v>
      </c>
      <c r="AY54" t="s">
        <v>1339</v>
      </c>
      <c r="AZ54" t="b">
        <v>1</v>
      </c>
      <c r="BC54" t="s">
        <v>1257</v>
      </c>
      <c r="BD54" t="s">
        <v>569</v>
      </c>
      <c r="BE54" t="s">
        <v>569</v>
      </c>
      <c r="BF54">
        <v>0</v>
      </c>
      <c r="CR54" t="s">
        <v>1554</v>
      </c>
      <c r="CS54" t="s">
        <v>117</v>
      </c>
      <c r="CT54" t="s">
        <v>1094</v>
      </c>
      <c r="DJ54" t="s">
        <v>1554</v>
      </c>
      <c r="DK54" t="s">
        <v>117</v>
      </c>
      <c r="DL54" t="s">
        <v>1094</v>
      </c>
      <c r="DM54" t="s">
        <v>1223</v>
      </c>
      <c r="DT54" t="s">
        <v>1365</v>
      </c>
      <c r="DU54">
        <v>0</v>
      </c>
    </row>
    <row r="55" spans="11:125" x14ac:dyDescent="0.3">
      <c r="K55" t="s">
        <v>1250</v>
      </c>
      <c r="L55" t="s">
        <v>1366</v>
      </c>
      <c r="M55" t="s">
        <v>1229</v>
      </c>
      <c r="AY55" t="s">
        <v>1322</v>
      </c>
      <c r="AZ55" t="b">
        <v>1</v>
      </c>
      <c r="BC55" t="s">
        <v>1257</v>
      </c>
      <c r="BD55" t="s">
        <v>566</v>
      </c>
      <c r="BE55" t="s">
        <v>566</v>
      </c>
      <c r="BF55">
        <v>0</v>
      </c>
      <c r="CR55" s="157" t="s">
        <v>1555</v>
      </c>
      <c r="CS55" t="s">
        <v>124</v>
      </c>
      <c r="CT55" t="s">
        <v>1096</v>
      </c>
      <c r="DJ55" s="157" t="s">
        <v>1555</v>
      </c>
      <c r="DK55" t="s">
        <v>124</v>
      </c>
      <c r="DL55" t="s">
        <v>1096</v>
      </c>
      <c r="DM55" t="s">
        <v>1223</v>
      </c>
      <c r="DT55" t="s">
        <v>1366</v>
      </c>
      <c r="DU55">
        <v>0</v>
      </c>
    </row>
    <row r="56" spans="11:125" x14ac:dyDescent="0.3">
      <c r="K56" t="s">
        <v>1251</v>
      </c>
      <c r="L56" t="s">
        <v>1367</v>
      </c>
      <c r="M56" t="s">
        <v>1227</v>
      </c>
      <c r="AY56" t="s">
        <v>1343</v>
      </c>
      <c r="AZ56" t="b">
        <v>1</v>
      </c>
      <c r="BC56" t="s">
        <v>1257</v>
      </c>
      <c r="BD56" t="s">
        <v>566</v>
      </c>
      <c r="BE56" t="s">
        <v>566</v>
      </c>
      <c r="BF56">
        <v>0</v>
      </c>
      <c r="CR56" t="s">
        <v>1556</v>
      </c>
      <c r="CS56" t="s">
        <v>1616</v>
      </c>
      <c r="CT56" t="s">
        <v>1094</v>
      </c>
      <c r="DJ56" t="s">
        <v>1556</v>
      </c>
      <c r="DK56" t="s">
        <v>1616</v>
      </c>
      <c r="DL56" t="s">
        <v>1094</v>
      </c>
      <c r="DM56" t="s">
        <v>1223</v>
      </c>
      <c r="DT56" t="s">
        <v>1367</v>
      </c>
      <c r="DU56">
        <v>0</v>
      </c>
    </row>
    <row r="57" spans="11:125" x14ac:dyDescent="0.3">
      <c r="K57" t="s">
        <v>1252</v>
      </c>
      <c r="L57" t="s">
        <v>1368</v>
      </c>
      <c r="M57" t="s">
        <v>1229</v>
      </c>
      <c r="AY57" t="s">
        <v>1345</v>
      </c>
      <c r="AZ57" t="b">
        <v>1</v>
      </c>
      <c r="BC57" t="s">
        <v>1257</v>
      </c>
      <c r="BD57" t="s">
        <v>574</v>
      </c>
      <c r="BE57" t="s">
        <v>574</v>
      </c>
      <c r="BF57">
        <v>0</v>
      </c>
      <c r="CR57" t="s">
        <v>1557</v>
      </c>
      <c r="CS57" t="s">
        <v>119</v>
      </c>
      <c r="CT57" t="s">
        <v>1098</v>
      </c>
      <c r="DJ57" t="s">
        <v>1557</v>
      </c>
      <c r="DK57" t="s">
        <v>119</v>
      </c>
      <c r="DL57" t="s">
        <v>1098</v>
      </c>
      <c r="DM57" t="s">
        <v>1223</v>
      </c>
      <c r="DT57" t="s">
        <v>1368</v>
      </c>
      <c r="DU57">
        <v>0</v>
      </c>
    </row>
    <row r="58" spans="11:125" x14ac:dyDescent="0.3">
      <c r="K58" t="s">
        <v>370</v>
      </c>
      <c r="L58" t="s">
        <v>1369</v>
      </c>
      <c r="M58" t="s">
        <v>356</v>
      </c>
      <c r="AY58" t="s">
        <v>1350</v>
      </c>
      <c r="AZ58" t="b">
        <v>1</v>
      </c>
      <c r="BC58" t="s">
        <v>1257</v>
      </c>
      <c r="BD58" t="s">
        <v>576</v>
      </c>
      <c r="BE58" t="s">
        <v>576</v>
      </c>
      <c r="BF58">
        <v>0</v>
      </c>
      <c r="CR58" t="s">
        <v>1558</v>
      </c>
      <c r="CS58" t="s">
        <v>120</v>
      </c>
      <c r="CT58" t="s">
        <v>1098</v>
      </c>
      <c r="DJ58" t="s">
        <v>1558</v>
      </c>
      <c r="DK58" t="s">
        <v>120</v>
      </c>
      <c r="DL58" t="s">
        <v>1098</v>
      </c>
      <c r="DM58" t="s">
        <v>1223</v>
      </c>
      <c r="DT58" t="s">
        <v>1369</v>
      </c>
      <c r="DU58">
        <v>0</v>
      </c>
    </row>
    <row r="59" spans="11:125" x14ac:dyDescent="0.3">
      <c r="K59" t="s">
        <v>340</v>
      </c>
      <c r="L59" t="s">
        <v>1370</v>
      </c>
      <c r="M59" t="s">
        <v>326</v>
      </c>
      <c r="AY59" t="s">
        <v>1376</v>
      </c>
      <c r="AZ59" t="b">
        <v>1</v>
      </c>
      <c r="BC59" t="s">
        <v>1257</v>
      </c>
      <c r="BD59" t="s">
        <v>450</v>
      </c>
      <c r="BE59" t="s">
        <v>451</v>
      </c>
      <c r="BF59">
        <v>0</v>
      </c>
      <c r="CR59" t="s">
        <v>1559</v>
      </c>
      <c r="CS59" t="s">
        <v>121</v>
      </c>
      <c r="CT59" t="s">
        <v>1098</v>
      </c>
      <c r="DJ59" t="s">
        <v>1559</v>
      </c>
      <c r="DK59" t="s">
        <v>121</v>
      </c>
      <c r="DL59" t="s">
        <v>1098</v>
      </c>
      <c r="DM59" t="s">
        <v>1223</v>
      </c>
      <c r="DT59" t="s">
        <v>1370</v>
      </c>
      <c r="DU59">
        <v>0</v>
      </c>
    </row>
    <row r="60" spans="11:125" x14ac:dyDescent="0.3">
      <c r="K60" t="s">
        <v>1253</v>
      </c>
      <c r="L60" t="s">
        <v>1371</v>
      </c>
      <c r="M60" t="s">
        <v>569</v>
      </c>
      <c r="AY60" t="s">
        <v>1319</v>
      </c>
      <c r="AZ60" t="b">
        <v>1</v>
      </c>
      <c r="BC60" t="s">
        <v>1257</v>
      </c>
      <c r="BD60" t="s">
        <v>484</v>
      </c>
      <c r="BE60" t="s">
        <v>484</v>
      </c>
      <c r="BF60">
        <v>0</v>
      </c>
      <c r="CR60" t="s">
        <v>1560</v>
      </c>
      <c r="CS60" t="s">
        <v>122</v>
      </c>
      <c r="CT60" t="s">
        <v>1098</v>
      </c>
      <c r="DJ60" t="s">
        <v>1560</v>
      </c>
      <c r="DK60" t="s">
        <v>122</v>
      </c>
      <c r="DL60" t="s">
        <v>1098</v>
      </c>
      <c r="DM60" t="s">
        <v>1223</v>
      </c>
      <c r="DT60" t="s">
        <v>1371</v>
      </c>
      <c r="DU60">
        <v>0</v>
      </c>
    </row>
    <row r="61" spans="11:125" x14ac:dyDescent="0.3">
      <c r="K61" t="s">
        <v>454</v>
      </c>
      <c r="L61" t="s">
        <v>1372</v>
      </c>
      <c r="M61" t="s">
        <v>455</v>
      </c>
      <c r="AY61" t="s">
        <v>1347</v>
      </c>
      <c r="AZ61" t="b">
        <v>1</v>
      </c>
      <c r="BC61" t="s">
        <v>1257</v>
      </c>
      <c r="BD61" t="s">
        <v>1260</v>
      </c>
      <c r="BE61" t="s">
        <v>494</v>
      </c>
      <c r="BF61">
        <v>0</v>
      </c>
      <c r="CR61" t="s">
        <v>1561</v>
      </c>
      <c r="CS61" t="s">
        <v>123</v>
      </c>
      <c r="CT61" t="s">
        <v>1098</v>
      </c>
      <c r="DJ61" t="s">
        <v>1561</v>
      </c>
      <c r="DK61" t="s">
        <v>123</v>
      </c>
      <c r="DL61" t="s">
        <v>1098</v>
      </c>
      <c r="DM61" t="s">
        <v>1223</v>
      </c>
      <c r="DT61" t="s">
        <v>1372</v>
      </c>
      <c r="DU61">
        <v>0</v>
      </c>
    </row>
    <row r="62" spans="11:125" x14ac:dyDescent="0.3">
      <c r="K62" t="s">
        <v>462</v>
      </c>
      <c r="L62" t="s">
        <v>1373</v>
      </c>
      <c r="M62" t="s">
        <v>464</v>
      </c>
      <c r="AY62" t="s">
        <v>1356</v>
      </c>
      <c r="AZ62" t="b">
        <v>1</v>
      </c>
      <c r="BC62" t="s">
        <v>1257</v>
      </c>
      <c r="BD62" t="s">
        <v>450</v>
      </c>
      <c r="BE62" t="s">
        <v>459</v>
      </c>
      <c r="BF62">
        <v>0</v>
      </c>
      <c r="CR62" t="s">
        <v>1562</v>
      </c>
      <c r="CS62" t="s">
        <v>125</v>
      </c>
      <c r="CT62" t="s">
        <v>1096</v>
      </c>
      <c r="DJ62" t="s">
        <v>1562</v>
      </c>
      <c r="DK62" t="s">
        <v>125</v>
      </c>
      <c r="DL62" t="s">
        <v>1096</v>
      </c>
      <c r="DM62" t="s">
        <v>1223</v>
      </c>
      <c r="DT62" t="s">
        <v>1373</v>
      </c>
      <c r="DU62">
        <v>0</v>
      </c>
    </row>
    <row r="63" spans="11:125" x14ac:dyDescent="0.3">
      <c r="K63" t="s">
        <v>981</v>
      </c>
      <c r="L63" t="s">
        <v>1374</v>
      </c>
      <c r="M63" t="s">
        <v>562</v>
      </c>
      <c r="CR63" t="s">
        <v>1563</v>
      </c>
      <c r="CS63" t="s">
        <v>126</v>
      </c>
      <c r="CT63" t="s">
        <v>1096</v>
      </c>
      <c r="DJ63" t="s">
        <v>1563</v>
      </c>
      <c r="DK63" t="s">
        <v>126</v>
      </c>
      <c r="DL63" t="s">
        <v>1096</v>
      </c>
      <c r="DM63" t="s">
        <v>1223</v>
      </c>
      <c r="DT63" t="s">
        <v>1374</v>
      </c>
      <c r="DU63">
        <v>0</v>
      </c>
    </row>
    <row r="64" spans="11:125" x14ac:dyDescent="0.3">
      <c r="K64" t="s">
        <v>1254</v>
      </c>
      <c r="L64" t="s">
        <v>1375</v>
      </c>
      <c r="M64" t="s">
        <v>578</v>
      </c>
      <c r="CR64" t="s">
        <v>1564</v>
      </c>
      <c r="CS64" t="s">
        <v>1103</v>
      </c>
      <c r="CT64" t="s">
        <v>1096</v>
      </c>
      <c r="DJ64" t="s">
        <v>1564</v>
      </c>
      <c r="DK64" t="s">
        <v>1103</v>
      </c>
      <c r="DL64" t="s">
        <v>1096</v>
      </c>
      <c r="DM64" t="s">
        <v>1223</v>
      </c>
      <c r="DT64" t="s">
        <v>1375</v>
      </c>
      <c r="DU64">
        <v>0</v>
      </c>
    </row>
    <row r="65" spans="11:125" x14ac:dyDescent="0.3">
      <c r="K65" t="s">
        <v>449</v>
      </c>
      <c r="L65" t="s">
        <v>1376</v>
      </c>
      <c r="M65" t="s">
        <v>451</v>
      </c>
      <c r="CR65" t="s">
        <v>1565</v>
      </c>
      <c r="CS65" t="s">
        <v>969</v>
      </c>
      <c r="CT65" t="s">
        <v>23</v>
      </c>
      <c r="DJ65" t="s">
        <v>1565</v>
      </c>
      <c r="DK65" t="s">
        <v>969</v>
      </c>
      <c r="DL65" t="s">
        <v>23</v>
      </c>
      <c r="DM65" t="s">
        <v>1223</v>
      </c>
      <c r="DT65" t="s">
        <v>1376</v>
      </c>
      <c r="DU65">
        <v>0</v>
      </c>
    </row>
    <row r="66" spans="11:125" x14ac:dyDescent="0.3">
      <c r="K66" t="s">
        <v>431</v>
      </c>
      <c r="L66" t="s">
        <v>1377</v>
      </c>
      <c r="M66" t="s">
        <v>433</v>
      </c>
      <c r="CR66" t="s">
        <v>1566</v>
      </c>
      <c r="CS66" t="s">
        <v>970</v>
      </c>
      <c r="CT66" t="s">
        <v>23</v>
      </c>
      <c r="DJ66" t="s">
        <v>1566</v>
      </c>
      <c r="DK66" t="s">
        <v>970</v>
      </c>
      <c r="DL66" t="s">
        <v>23</v>
      </c>
      <c r="DM66" t="s">
        <v>1223</v>
      </c>
      <c r="DT66" t="s">
        <v>1377</v>
      </c>
      <c r="DU66">
        <v>0</v>
      </c>
    </row>
    <row r="67" spans="11:125" x14ac:dyDescent="0.3">
      <c r="K67" t="s">
        <v>1379</v>
      </c>
      <c r="L67" t="s">
        <v>1378</v>
      </c>
      <c r="M67" t="s">
        <v>356</v>
      </c>
      <c r="CR67" t="s">
        <v>1567</v>
      </c>
      <c r="CS67" t="s">
        <v>972</v>
      </c>
      <c r="CT67" t="s">
        <v>23</v>
      </c>
      <c r="DJ67" t="s">
        <v>1567</v>
      </c>
      <c r="DK67" t="s">
        <v>972</v>
      </c>
      <c r="DL67" t="s">
        <v>23</v>
      </c>
      <c r="DM67" t="s">
        <v>1223</v>
      </c>
      <c r="DT67" t="s">
        <v>1378</v>
      </c>
      <c r="DU67">
        <v>25</v>
      </c>
    </row>
    <row r="68" spans="11:125" x14ac:dyDescent="0.3">
      <c r="K68" t="s">
        <v>1255</v>
      </c>
      <c r="L68" t="s">
        <v>1380</v>
      </c>
      <c r="M68" t="s">
        <v>1229</v>
      </c>
      <c r="CR68" t="s">
        <v>1568</v>
      </c>
      <c r="CS68" t="s">
        <v>971</v>
      </c>
      <c r="CT68" t="s">
        <v>23</v>
      </c>
      <c r="DJ68" t="s">
        <v>1568</v>
      </c>
      <c r="DK68" t="s">
        <v>971</v>
      </c>
      <c r="DL68" t="s">
        <v>23</v>
      </c>
      <c r="DM68" t="s">
        <v>1223</v>
      </c>
      <c r="DT68" t="s">
        <v>1380</v>
      </c>
      <c r="DU68">
        <v>0</v>
      </c>
    </row>
    <row r="69" spans="11:125" x14ac:dyDescent="0.3">
      <c r="CR69" t="s">
        <v>1569</v>
      </c>
      <c r="CS69" t="s">
        <v>129</v>
      </c>
      <c r="CT69" t="s">
        <v>1096</v>
      </c>
      <c r="DJ69" t="s">
        <v>1569</v>
      </c>
      <c r="DK69" t="s">
        <v>129</v>
      </c>
      <c r="DL69" t="s">
        <v>1096</v>
      </c>
      <c r="DM69" t="s">
        <v>1223</v>
      </c>
    </row>
    <row r="70" spans="11:125" x14ac:dyDescent="0.3">
      <c r="CR70" t="s">
        <v>1570</v>
      </c>
      <c r="CS70" t="s">
        <v>128</v>
      </c>
      <c r="CT70" t="s">
        <v>1096</v>
      </c>
      <c r="DJ70" t="s">
        <v>1570</v>
      </c>
      <c r="DK70" t="s">
        <v>128</v>
      </c>
      <c r="DL70" t="s">
        <v>1096</v>
      </c>
      <c r="DM70" t="s">
        <v>1223</v>
      </c>
    </row>
    <row r="71" spans="11:125" x14ac:dyDescent="0.3">
      <c r="CR71" t="s">
        <v>1571</v>
      </c>
      <c r="CS71" t="s">
        <v>973</v>
      </c>
      <c r="CT71" t="s">
        <v>1100</v>
      </c>
      <c r="DJ71" t="s">
        <v>1571</v>
      </c>
      <c r="DK71" t="s">
        <v>973</v>
      </c>
      <c r="DL71" t="s">
        <v>1100</v>
      </c>
      <c r="DM71" t="s">
        <v>1223</v>
      </c>
    </row>
    <row r="72" spans="11:125" x14ac:dyDescent="0.3">
      <c r="CR72" t="s">
        <v>1572</v>
      </c>
      <c r="CS72" t="s">
        <v>974</v>
      </c>
      <c r="CT72" t="s">
        <v>1100</v>
      </c>
      <c r="DJ72" t="s">
        <v>1572</v>
      </c>
      <c r="DK72" t="s">
        <v>974</v>
      </c>
      <c r="DL72" t="s">
        <v>1100</v>
      </c>
      <c r="DM72" t="s">
        <v>1223</v>
      </c>
    </row>
    <row r="73" spans="11:125" x14ac:dyDescent="0.3">
      <c r="CR73" t="s">
        <v>1573</v>
      </c>
      <c r="CS73" t="s">
        <v>197</v>
      </c>
      <c r="CT73" t="s">
        <v>24</v>
      </c>
      <c r="DJ73" t="s">
        <v>1573</v>
      </c>
      <c r="DK73" t="s">
        <v>197</v>
      </c>
      <c r="DL73" t="s">
        <v>24</v>
      </c>
      <c r="DM73" t="s">
        <v>1223</v>
      </c>
    </row>
  </sheetData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F33"/>
  <sheetViews>
    <sheetView showGridLines="0" topLeftCell="C1" zoomScale="190" zoomScaleNormal="190" workbookViewId="0">
      <pane xSplit="6" ySplit="13" topLeftCell="DH26" activePane="bottomRight" state="frozen"/>
      <selection activeCell="C7" sqref="C7"/>
      <selection pane="topRight" activeCell="I7" sqref="I7"/>
      <selection pane="bottomLeft" activeCell="C14" sqref="C14"/>
      <selection pane="bottomRight" activeCell="H13" sqref="H13"/>
    </sheetView>
  </sheetViews>
  <sheetFormatPr defaultColWidth="8.88671875" defaultRowHeight="6.6" outlineLevelCol="1" x14ac:dyDescent="0.15"/>
  <cols>
    <col min="1" max="2" width="6.109375" style="3" customWidth="1"/>
    <col min="3" max="3" width="13.88671875" style="3" hidden="1" customWidth="1" outlineLevel="1"/>
    <col min="4" max="4" width="8.88671875" style="3" hidden="1" customWidth="1" outlineLevel="1"/>
    <col min="5" max="5" width="8.88671875" style="131" collapsed="1"/>
    <col min="6" max="6" width="12.33203125" style="131" customWidth="1"/>
    <col min="7" max="7" width="8.6640625" style="3" customWidth="1"/>
    <col min="8" max="8" width="6.109375" style="4" customWidth="1"/>
    <col min="9" max="10" width="6.33203125" style="3" customWidth="1"/>
    <col min="11" max="17" width="3.6640625" style="3" hidden="1" customWidth="1" outlineLevel="1"/>
    <col min="18" max="18" width="3.6640625" style="3" customWidth="1" collapsed="1"/>
    <col min="19" max="20" width="3.6640625" style="3" hidden="1" customWidth="1" outlineLevel="1"/>
    <col min="21" max="21" width="3.6640625" style="3" customWidth="1" collapsed="1"/>
    <col min="22" max="23" width="3.6640625" style="3" hidden="1" customWidth="1" outlineLevel="1"/>
    <col min="24" max="24" width="3.6640625" style="3" customWidth="1" collapsed="1"/>
    <col min="25" max="27" width="3.6640625" style="3" hidden="1" customWidth="1" outlineLevel="1"/>
    <col min="28" max="28" width="3.6640625" style="3" customWidth="1" collapsed="1"/>
    <col min="29" max="29" width="11.44140625" style="3" customWidth="1" outlineLevel="1"/>
    <col min="30" max="30" width="9.6640625" style="3" customWidth="1" outlineLevel="1"/>
    <col min="31" max="33" width="4" style="3" customWidth="1" outlineLevel="1"/>
    <col min="34" max="34" width="7.88671875" style="3" bestFit="1" customWidth="1" outlineLevel="1"/>
    <col min="35" max="36" width="9.6640625" style="3" customWidth="1" outlineLevel="1"/>
    <col min="37" max="37" width="3.6640625" style="3" customWidth="1"/>
    <col min="38" max="51" width="3.6640625" style="3" customWidth="1" outlineLevel="1"/>
    <col min="52" max="52" width="5" style="3" customWidth="1" outlineLevel="1"/>
    <col min="53" max="56" width="3.6640625" style="3" customWidth="1" outlineLevel="1"/>
    <col min="57" max="57" width="5" style="3" customWidth="1" outlineLevel="1"/>
    <col min="58" max="64" width="3.6640625" style="3" customWidth="1" outlineLevel="1"/>
    <col min="65" max="65" width="5.33203125" style="3" customWidth="1" outlineLevel="1"/>
    <col min="66" max="81" width="3.6640625" style="3" customWidth="1" outlineLevel="1"/>
    <col min="82" max="82" width="5.109375" style="3" customWidth="1" outlineLevel="1"/>
    <col min="83" max="85" width="3.6640625" style="3" customWidth="1" outlineLevel="1"/>
    <col min="86" max="86" width="3.6640625" style="3" customWidth="1"/>
    <col min="87" max="87" width="13.77734375" style="3" customWidth="1" outlineLevel="1"/>
    <col min="88" max="88" width="10.88671875" style="3" customWidth="1" outlineLevel="1"/>
    <col min="89" max="89" width="8.88671875" style="3" customWidth="1" outlineLevel="1"/>
    <col min="90" max="90" width="14.6640625" style="3" bestFit="1" customWidth="1" outlineLevel="1"/>
    <col min="91" max="97" width="8.88671875" style="3" customWidth="1" outlineLevel="1"/>
    <col min="98" max="98" width="4.21875" style="3" customWidth="1"/>
    <col min="99" max="99" width="11.77734375" style="3" customWidth="1" outlineLevel="1"/>
    <col min="100" max="100" width="11.21875" style="3" customWidth="1" outlineLevel="1"/>
    <col min="101" max="109" width="8.88671875" style="3" customWidth="1" outlineLevel="1"/>
    <col min="110" max="110" width="3.6640625" style="3" customWidth="1"/>
    <col min="111" max="128" width="3.6640625" style="3" customWidth="1" outlineLevel="1"/>
    <col min="129" max="129" width="4.6640625" style="3" customWidth="1" outlineLevel="1"/>
    <col min="130" max="133" width="3.6640625" style="3" customWidth="1" outlineLevel="1"/>
    <col min="134" max="134" width="3.6640625" style="3" customWidth="1"/>
    <col min="135" max="135" width="5.6640625" style="3" customWidth="1" outlineLevel="1"/>
    <col min="136" max="136" width="3.6640625" style="3" customWidth="1"/>
    <col min="137" max="16384" width="8.88671875" style="3"/>
  </cols>
  <sheetData>
    <row r="1" spans="3:136" hidden="1" x14ac:dyDescent="0.15">
      <c r="I1" s="255" t="s">
        <v>9</v>
      </c>
      <c r="J1" s="256"/>
      <c r="K1" s="235" t="s">
        <v>19</v>
      </c>
      <c r="L1" s="235" t="s">
        <v>30</v>
      </c>
      <c r="M1" s="235" t="s">
        <v>560</v>
      </c>
      <c r="N1" s="235" t="s">
        <v>17</v>
      </c>
      <c r="O1" s="235" t="s">
        <v>18</v>
      </c>
      <c r="P1" s="235" t="s">
        <v>20</v>
      </c>
      <c r="Q1" s="246" t="s">
        <v>146</v>
      </c>
      <c r="R1" s="243" t="s">
        <v>93</v>
      </c>
      <c r="S1" s="246" t="s">
        <v>80</v>
      </c>
      <c r="T1" s="246" t="s">
        <v>82</v>
      </c>
      <c r="U1" s="243" t="s">
        <v>97</v>
      </c>
      <c r="V1" s="246" t="s">
        <v>81</v>
      </c>
      <c r="W1" s="246" t="s">
        <v>83</v>
      </c>
      <c r="X1" s="243" t="s">
        <v>98</v>
      </c>
      <c r="Y1" s="246" t="s">
        <v>90</v>
      </c>
      <c r="Z1" s="246" t="s">
        <v>91</v>
      </c>
      <c r="AA1" s="246" t="s">
        <v>92</v>
      </c>
      <c r="AB1" s="243" t="s">
        <v>94</v>
      </c>
      <c r="AC1" s="237" t="s">
        <v>131</v>
      </c>
      <c r="AD1" s="237" t="s">
        <v>99</v>
      </c>
      <c r="AE1" s="237" t="s">
        <v>100</v>
      </c>
      <c r="AF1" s="237" t="s">
        <v>101</v>
      </c>
      <c r="AG1" s="237" t="s">
        <v>102</v>
      </c>
      <c r="AH1" s="110"/>
      <c r="AI1" s="237" t="s">
        <v>132</v>
      </c>
      <c r="AJ1" s="237" t="s">
        <v>104</v>
      </c>
      <c r="AK1" s="228" t="s">
        <v>130</v>
      </c>
      <c r="AL1" s="249" t="s">
        <v>19</v>
      </c>
      <c r="AM1" s="249" t="s">
        <v>30</v>
      </c>
      <c r="AN1" s="236" t="s">
        <v>15</v>
      </c>
      <c r="AO1" s="236" t="s">
        <v>16</v>
      </c>
      <c r="AP1" s="236" t="s">
        <v>133</v>
      </c>
      <c r="AQ1" s="236" t="s">
        <v>134</v>
      </c>
      <c r="AR1" s="236" t="s">
        <v>143</v>
      </c>
      <c r="AS1" s="236" t="s">
        <v>136</v>
      </c>
      <c r="AT1" s="236" t="s">
        <v>137</v>
      </c>
      <c r="AU1" s="236" t="s">
        <v>138</v>
      </c>
      <c r="AV1" s="236" t="s">
        <v>139</v>
      </c>
      <c r="AW1" s="236" t="s">
        <v>140</v>
      </c>
      <c r="AX1" s="236" t="s">
        <v>141</v>
      </c>
      <c r="AY1" s="236" t="s">
        <v>142</v>
      </c>
      <c r="AZ1" s="236" t="s">
        <v>144</v>
      </c>
      <c r="BA1" s="236" t="s">
        <v>145</v>
      </c>
      <c r="BB1" s="236" t="s">
        <v>147</v>
      </c>
      <c r="BC1" s="236" t="s">
        <v>559</v>
      </c>
      <c r="BD1" s="222" t="s">
        <v>152</v>
      </c>
      <c r="BE1" s="222" t="s">
        <v>153</v>
      </c>
      <c r="BF1" s="222" t="s">
        <v>154</v>
      </c>
      <c r="BG1" s="222" t="s">
        <v>155</v>
      </c>
      <c r="BH1" s="222" t="s">
        <v>156</v>
      </c>
      <c r="BI1" s="222" t="s">
        <v>157</v>
      </c>
      <c r="BJ1" s="222" t="s">
        <v>158</v>
      </c>
      <c r="BK1" s="222" t="s">
        <v>159</v>
      </c>
      <c r="BL1" s="222" t="s">
        <v>160</v>
      </c>
      <c r="BM1" s="222" t="s">
        <v>161</v>
      </c>
      <c r="BN1" s="222" t="s">
        <v>162</v>
      </c>
      <c r="BO1" s="222" t="s">
        <v>163</v>
      </c>
      <c r="BP1" s="222" t="s">
        <v>164</v>
      </c>
      <c r="BQ1" s="222" t="s">
        <v>165</v>
      </c>
      <c r="BR1" s="222" t="s">
        <v>166</v>
      </c>
      <c r="BS1" s="222" t="s">
        <v>167</v>
      </c>
      <c r="BT1" s="115"/>
      <c r="BU1" s="115"/>
      <c r="BV1" s="115"/>
      <c r="BW1" s="115"/>
      <c r="BX1" s="227" t="s">
        <v>197</v>
      </c>
      <c r="BY1" s="227" t="s">
        <v>198</v>
      </c>
      <c r="BZ1" s="227" t="s">
        <v>199</v>
      </c>
      <c r="CA1" s="227" t="s">
        <v>200</v>
      </c>
      <c r="CB1" s="227" t="s">
        <v>201</v>
      </c>
      <c r="CC1" s="216" t="s">
        <v>187</v>
      </c>
      <c r="CD1" s="216" t="s">
        <v>188</v>
      </c>
      <c r="CE1" s="216" t="s">
        <v>189</v>
      </c>
      <c r="CF1" s="216" t="s">
        <v>190</v>
      </c>
      <c r="CG1" s="216" t="s">
        <v>191</v>
      </c>
      <c r="CH1" s="228" t="s">
        <v>93</v>
      </c>
      <c r="CI1" s="225" t="s">
        <v>69</v>
      </c>
      <c r="CJ1" s="225" t="s">
        <v>70</v>
      </c>
      <c r="CK1" s="233" t="s">
        <v>33</v>
      </c>
      <c r="CL1" s="233" t="s">
        <v>34</v>
      </c>
      <c r="CM1" s="233" t="s">
        <v>35</v>
      </c>
      <c r="CN1" s="233" t="s">
        <v>977</v>
      </c>
      <c r="CO1" s="233" t="s">
        <v>36</v>
      </c>
      <c r="CP1" s="233" t="s">
        <v>978</v>
      </c>
      <c r="CQ1" s="233" t="s">
        <v>37</v>
      </c>
      <c r="CR1" s="233" t="s">
        <v>38</v>
      </c>
      <c r="CS1" s="233" t="s">
        <v>39</v>
      </c>
      <c r="CT1" s="228" t="s">
        <v>97</v>
      </c>
      <c r="CU1" s="225" t="s">
        <v>864</v>
      </c>
      <c r="CV1" s="225" t="s">
        <v>865</v>
      </c>
      <c r="CW1" s="232" t="s">
        <v>582</v>
      </c>
      <c r="CX1" s="232" t="s">
        <v>1196</v>
      </c>
      <c r="CY1" s="232" t="s">
        <v>41</v>
      </c>
      <c r="CZ1" s="232" t="s">
        <v>46</v>
      </c>
      <c r="DA1" s="232" t="s">
        <v>42</v>
      </c>
      <c r="DB1" s="232" t="s">
        <v>43</v>
      </c>
      <c r="DC1" s="232" t="s">
        <v>44</v>
      </c>
      <c r="DD1" s="232" t="s">
        <v>45</v>
      </c>
      <c r="DE1" s="232" t="s">
        <v>844</v>
      </c>
      <c r="DF1" s="228" t="s">
        <v>98</v>
      </c>
      <c r="DG1" s="226" t="s">
        <v>109</v>
      </c>
      <c r="DH1" s="226" t="s">
        <v>110</v>
      </c>
      <c r="DI1" s="226" t="s">
        <v>111</v>
      </c>
      <c r="DJ1" s="226" t="s">
        <v>112</v>
      </c>
      <c r="DK1" s="226" t="s">
        <v>113</v>
      </c>
      <c r="DL1" s="226" t="s">
        <v>114</v>
      </c>
      <c r="DM1" s="226" t="s">
        <v>115</v>
      </c>
      <c r="DN1" s="226" t="s">
        <v>116</v>
      </c>
      <c r="DO1" s="226" t="s">
        <v>117</v>
      </c>
      <c r="DP1" s="226" t="s">
        <v>118</v>
      </c>
      <c r="DQ1" s="226" t="s">
        <v>119</v>
      </c>
      <c r="DR1" s="226" t="s">
        <v>120</v>
      </c>
      <c r="DS1" s="226" t="s">
        <v>121</v>
      </c>
      <c r="DT1" s="226" t="s">
        <v>122</v>
      </c>
      <c r="DU1" s="226" t="s">
        <v>123</v>
      </c>
      <c r="DV1" s="226" t="s">
        <v>124</v>
      </c>
      <c r="DW1" s="226" t="s">
        <v>125</v>
      </c>
      <c r="DX1" s="226" t="s">
        <v>126</v>
      </c>
      <c r="DY1" s="226" t="s">
        <v>127</v>
      </c>
      <c r="DZ1" s="226" t="s">
        <v>128</v>
      </c>
      <c r="EA1" s="226" t="s">
        <v>129</v>
      </c>
      <c r="EB1" s="117"/>
      <c r="EC1" s="117"/>
      <c r="ED1" s="228" t="s">
        <v>94</v>
      </c>
      <c r="EE1" s="270" t="s">
        <v>557</v>
      </c>
      <c r="EF1" s="228" t="s">
        <v>558</v>
      </c>
    </row>
    <row r="2" spans="3:136" hidden="1" x14ac:dyDescent="0.15">
      <c r="I2" s="257"/>
      <c r="J2" s="258"/>
      <c r="K2" s="235"/>
      <c r="L2" s="235"/>
      <c r="M2" s="235"/>
      <c r="N2" s="235"/>
      <c r="O2" s="235"/>
      <c r="P2" s="235"/>
      <c r="Q2" s="247"/>
      <c r="R2" s="244"/>
      <c r="S2" s="247"/>
      <c r="T2" s="247"/>
      <c r="U2" s="244"/>
      <c r="V2" s="247"/>
      <c r="W2" s="247"/>
      <c r="X2" s="244"/>
      <c r="Y2" s="247"/>
      <c r="Z2" s="247"/>
      <c r="AA2" s="247"/>
      <c r="AB2" s="244"/>
      <c r="AC2" s="238"/>
      <c r="AD2" s="238"/>
      <c r="AE2" s="238"/>
      <c r="AF2" s="238"/>
      <c r="AG2" s="238"/>
      <c r="AH2" s="111"/>
      <c r="AI2" s="238"/>
      <c r="AJ2" s="238"/>
      <c r="AK2" s="229"/>
      <c r="AL2" s="249"/>
      <c r="AM2" s="249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23"/>
      <c r="BE2" s="223"/>
      <c r="BF2" s="223"/>
      <c r="BG2" s="223"/>
      <c r="BH2" s="223"/>
      <c r="BI2" s="223"/>
      <c r="BJ2" s="223"/>
      <c r="BK2" s="223"/>
      <c r="BL2" s="223"/>
      <c r="BM2" s="223"/>
      <c r="BN2" s="223"/>
      <c r="BO2" s="223"/>
      <c r="BP2" s="223"/>
      <c r="BQ2" s="223"/>
      <c r="BR2" s="223"/>
      <c r="BS2" s="223"/>
      <c r="BT2" s="115"/>
      <c r="BU2" s="115"/>
      <c r="BV2" s="115"/>
      <c r="BW2" s="115"/>
      <c r="BX2" s="227"/>
      <c r="BY2" s="227"/>
      <c r="BZ2" s="227"/>
      <c r="CA2" s="227"/>
      <c r="CB2" s="227"/>
      <c r="CC2" s="217"/>
      <c r="CD2" s="217"/>
      <c r="CE2" s="217"/>
      <c r="CF2" s="217"/>
      <c r="CG2" s="217"/>
      <c r="CH2" s="229"/>
      <c r="CI2" s="225"/>
      <c r="CJ2" s="225"/>
      <c r="CK2" s="233"/>
      <c r="CL2" s="233"/>
      <c r="CM2" s="233"/>
      <c r="CN2" s="233"/>
      <c r="CO2" s="233"/>
      <c r="CP2" s="233"/>
      <c r="CQ2" s="233"/>
      <c r="CR2" s="233"/>
      <c r="CS2" s="233"/>
      <c r="CT2" s="229"/>
      <c r="CU2" s="225"/>
      <c r="CV2" s="225"/>
      <c r="CW2" s="232"/>
      <c r="CX2" s="232"/>
      <c r="CY2" s="232"/>
      <c r="CZ2" s="232"/>
      <c r="DA2" s="232"/>
      <c r="DB2" s="232"/>
      <c r="DC2" s="232"/>
      <c r="DD2" s="232"/>
      <c r="DE2" s="232"/>
      <c r="DF2" s="229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6"/>
      <c r="DV2" s="226"/>
      <c r="DW2" s="226"/>
      <c r="DX2" s="226"/>
      <c r="DY2" s="226"/>
      <c r="DZ2" s="226"/>
      <c r="EA2" s="226"/>
      <c r="EB2" s="118"/>
      <c r="EC2" s="118"/>
      <c r="ED2" s="229"/>
      <c r="EE2" s="271"/>
      <c r="EF2" s="229"/>
    </row>
    <row r="3" spans="3:136" hidden="1" x14ac:dyDescent="0.15">
      <c r="I3" s="257"/>
      <c r="J3" s="258"/>
      <c r="K3" s="235"/>
      <c r="L3" s="235"/>
      <c r="M3" s="235"/>
      <c r="N3" s="235"/>
      <c r="O3" s="235"/>
      <c r="P3" s="235"/>
      <c r="Q3" s="247"/>
      <c r="R3" s="244"/>
      <c r="S3" s="247"/>
      <c r="T3" s="247"/>
      <c r="U3" s="244"/>
      <c r="V3" s="247"/>
      <c r="W3" s="247"/>
      <c r="X3" s="244"/>
      <c r="Y3" s="247"/>
      <c r="Z3" s="247"/>
      <c r="AA3" s="247"/>
      <c r="AB3" s="244"/>
      <c r="AC3" s="238"/>
      <c r="AD3" s="238"/>
      <c r="AE3" s="238"/>
      <c r="AF3" s="238"/>
      <c r="AG3" s="238"/>
      <c r="AH3" s="111"/>
      <c r="AI3" s="238"/>
      <c r="AJ3" s="238"/>
      <c r="AK3" s="229"/>
      <c r="AL3" s="249"/>
      <c r="AM3" s="249"/>
      <c r="AN3" s="236"/>
      <c r="AO3" s="236"/>
      <c r="AP3" s="236"/>
      <c r="AQ3" s="236"/>
      <c r="AR3" s="236"/>
      <c r="AS3" s="236"/>
      <c r="AT3" s="236"/>
      <c r="AU3" s="236"/>
      <c r="AV3" s="236"/>
      <c r="AW3" s="236"/>
      <c r="AX3" s="236"/>
      <c r="AY3" s="236"/>
      <c r="AZ3" s="236"/>
      <c r="BA3" s="236"/>
      <c r="BB3" s="236"/>
      <c r="BC3" s="236"/>
      <c r="BD3" s="223"/>
      <c r="BE3" s="223"/>
      <c r="BF3" s="223"/>
      <c r="BG3" s="223"/>
      <c r="BH3" s="223"/>
      <c r="BI3" s="223"/>
      <c r="BJ3" s="223"/>
      <c r="BK3" s="223"/>
      <c r="BL3" s="223"/>
      <c r="BM3" s="223"/>
      <c r="BN3" s="223"/>
      <c r="BO3" s="223"/>
      <c r="BP3" s="223"/>
      <c r="BQ3" s="223"/>
      <c r="BR3" s="223"/>
      <c r="BS3" s="223"/>
      <c r="BT3" s="115"/>
      <c r="BU3" s="115"/>
      <c r="BV3" s="115"/>
      <c r="BW3" s="115"/>
      <c r="BX3" s="227"/>
      <c r="BY3" s="227"/>
      <c r="BZ3" s="227"/>
      <c r="CA3" s="227"/>
      <c r="CB3" s="227"/>
      <c r="CC3" s="217"/>
      <c r="CD3" s="217"/>
      <c r="CE3" s="217"/>
      <c r="CF3" s="217"/>
      <c r="CG3" s="217"/>
      <c r="CH3" s="229"/>
      <c r="CI3" s="225"/>
      <c r="CJ3" s="225"/>
      <c r="CK3" s="233"/>
      <c r="CL3" s="233"/>
      <c r="CM3" s="233"/>
      <c r="CN3" s="233"/>
      <c r="CO3" s="233"/>
      <c r="CP3" s="233"/>
      <c r="CQ3" s="233"/>
      <c r="CR3" s="233"/>
      <c r="CS3" s="233"/>
      <c r="CT3" s="229"/>
      <c r="CU3" s="225"/>
      <c r="CV3" s="225"/>
      <c r="CW3" s="232"/>
      <c r="CX3" s="232"/>
      <c r="CY3" s="232"/>
      <c r="CZ3" s="232"/>
      <c r="DA3" s="232"/>
      <c r="DB3" s="232"/>
      <c r="DC3" s="232"/>
      <c r="DD3" s="232"/>
      <c r="DE3" s="232"/>
      <c r="DF3" s="229"/>
      <c r="DG3" s="226"/>
      <c r="DH3" s="226"/>
      <c r="DI3" s="226"/>
      <c r="DJ3" s="226"/>
      <c r="DK3" s="226"/>
      <c r="DL3" s="226"/>
      <c r="DM3" s="226"/>
      <c r="DN3" s="226"/>
      <c r="DO3" s="226"/>
      <c r="DP3" s="226"/>
      <c r="DQ3" s="226"/>
      <c r="DR3" s="226"/>
      <c r="DS3" s="226"/>
      <c r="DT3" s="226"/>
      <c r="DU3" s="226"/>
      <c r="DV3" s="226"/>
      <c r="DW3" s="226"/>
      <c r="DX3" s="226"/>
      <c r="DY3" s="226"/>
      <c r="DZ3" s="226"/>
      <c r="EA3" s="226"/>
      <c r="EB3" s="118"/>
      <c r="EC3" s="118"/>
      <c r="ED3" s="229"/>
      <c r="EE3" s="271"/>
      <c r="EF3" s="229"/>
    </row>
    <row r="4" spans="3:136" hidden="1" x14ac:dyDescent="0.15">
      <c r="I4" s="257"/>
      <c r="J4" s="258"/>
      <c r="K4" s="235"/>
      <c r="L4" s="235"/>
      <c r="M4" s="235"/>
      <c r="N4" s="235"/>
      <c r="O4" s="235"/>
      <c r="P4" s="235"/>
      <c r="Q4" s="247"/>
      <c r="R4" s="244"/>
      <c r="S4" s="247"/>
      <c r="T4" s="247"/>
      <c r="U4" s="244"/>
      <c r="V4" s="247"/>
      <c r="W4" s="247"/>
      <c r="X4" s="244"/>
      <c r="Y4" s="247"/>
      <c r="Z4" s="247"/>
      <c r="AA4" s="247"/>
      <c r="AB4" s="244"/>
      <c r="AC4" s="238"/>
      <c r="AD4" s="238"/>
      <c r="AE4" s="238"/>
      <c r="AF4" s="238"/>
      <c r="AG4" s="238"/>
      <c r="AH4" s="111"/>
      <c r="AI4" s="238"/>
      <c r="AJ4" s="238"/>
      <c r="AK4" s="229"/>
      <c r="AL4" s="249"/>
      <c r="AM4" s="249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115"/>
      <c r="BU4" s="115"/>
      <c r="BV4" s="115"/>
      <c r="BW4" s="115"/>
      <c r="BX4" s="227"/>
      <c r="BY4" s="227"/>
      <c r="BZ4" s="227"/>
      <c r="CA4" s="227"/>
      <c r="CB4" s="227"/>
      <c r="CC4" s="217"/>
      <c r="CD4" s="217"/>
      <c r="CE4" s="217"/>
      <c r="CF4" s="217"/>
      <c r="CG4" s="217"/>
      <c r="CH4" s="229"/>
      <c r="CI4" s="225"/>
      <c r="CJ4" s="225"/>
      <c r="CK4" s="233"/>
      <c r="CL4" s="233"/>
      <c r="CM4" s="233"/>
      <c r="CN4" s="233"/>
      <c r="CO4" s="233"/>
      <c r="CP4" s="233"/>
      <c r="CQ4" s="233"/>
      <c r="CR4" s="233"/>
      <c r="CS4" s="233"/>
      <c r="CT4" s="229"/>
      <c r="CU4" s="225"/>
      <c r="CV4" s="225"/>
      <c r="CW4" s="232"/>
      <c r="CX4" s="232"/>
      <c r="CY4" s="232"/>
      <c r="CZ4" s="232"/>
      <c r="DA4" s="232"/>
      <c r="DB4" s="232"/>
      <c r="DC4" s="232"/>
      <c r="DD4" s="232"/>
      <c r="DE4" s="232"/>
      <c r="DF4" s="229"/>
      <c r="DG4" s="226"/>
      <c r="DH4" s="226"/>
      <c r="DI4" s="226"/>
      <c r="DJ4" s="226"/>
      <c r="DK4" s="226"/>
      <c r="DL4" s="226"/>
      <c r="DM4" s="226"/>
      <c r="DN4" s="226"/>
      <c r="DO4" s="226"/>
      <c r="DP4" s="226"/>
      <c r="DQ4" s="226"/>
      <c r="DR4" s="226"/>
      <c r="DS4" s="226"/>
      <c r="DT4" s="226"/>
      <c r="DU4" s="226"/>
      <c r="DV4" s="226"/>
      <c r="DW4" s="226"/>
      <c r="DX4" s="226"/>
      <c r="DY4" s="226"/>
      <c r="DZ4" s="226"/>
      <c r="EA4" s="226"/>
      <c r="EB4" s="118"/>
      <c r="EC4" s="118"/>
      <c r="ED4" s="229"/>
      <c r="EE4" s="271"/>
      <c r="EF4" s="229"/>
    </row>
    <row r="5" spans="3:136" hidden="1" x14ac:dyDescent="0.15">
      <c r="I5" s="257"/>
      <c r="J5" s="258"/>
      <c r="K5" s="235"/>
      <c r="L5" s="235"/>
      <c r="M5" s="235"/>
      <c r="N5" s="235"/>
      <c r="O5" s="235"/>
      <c r="P5" s="235"/>
      <c r="Q5" s="247"/>
      <c r="R5" s="244"/>
      <c r="S5" s="247"/>
      <c r="T5" s="247"/>
      <c r="U5" s="244"/>
      <c r="V5" s="247"/>
      <c r="W5" s="247"/>
      <c r="X5" s="244"/>
      <c r="Y5" s="247"/>
      <c r="Z5" s="247"/>
      <c r="AA5" s="247"/>
      <c r="AB5" s="244"/>
      <c r="AC5" s="238"/>
      <c r="AD5" s="238"/>
      <c r="AE5" s="238"/>
      <c r="AF5" s="238"/>
      <c r="AG5" s="238"/>
      <c r="AH5" s="111"/>
      <c r="AI5" s="238"/>
      <c r="AJ5" s="238"/>
      <c r="AK5" s="229"/>
      <c r="AL5" s="249"/>
      <c r="AM5" s="249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23"/>
      <c r="BE5" s="223"/>
      <c r="BF5" s="223"/>
      <c r="BG5" s="223"/>
      <c r="BH5" s="223"/>
      <c r="BI5" s="223"/>
      <c r="BJ5" s="223"/>
      <c r="BK5" s="223"/>
      <c r="BL5" s="223"/>
      <c r="BM5" s="223"/>
      <c r="BN5" s="223"/>
      <c r="BO5" s="223"/>
      <c r="BP5" s="223"/>
      <c r="BQ5" s="223"/>
      <c r="BR5" s="223"/>
      <c r="BS5" s="223"/>
      <c r="BT5" s="115"/>
      <c r="BU5" s="115"/>
      <c r="BV5" s="115"/>
      <c r="BW5" s="115"/>
      <c r="BX5" s="227"/>
      <c r="BY5" s="227"/>
      <c r="BZ5" s="227"/>
      <c r="CA5" s="227"/>
      <c r="CB5" s="227"/>
      <c r="CC5" s="217"/>
      <c r="CD5" s="217"/>
      <c r="CE5" s="217"/>
      <c r="CF5" s="217"/>
      <c r="CG5" s="217"/>
      <c r="CH5" s="229"/>
      <c r="CI5" s="225"/>
      <c r="CJ5" s="225"/>
      <c r="CK5" s="233"/>
      <c r="CL5" s="233"/>
      <c r="CM5" s="233"/>
      <c r="CN5" s="233"/>
      <c r="CO5" s="233"/>
      <c r="CP5" s="233"/>
      <c r="CQ5" s="233"/>
      <c r="CR5" s="233"/>
      <c r="CS5" s="233"/>
      <c r="CT5" s="229"/>
      <c r="CU5" s="225"/>
      <c r="CV5" s="225"/>
      <c r="CW5" s="232"/>
      <c r="CX5" s="232"/>
      <c r="CY5" s="232"/>
      <c r="CZ5" s="232"/>
      <c r="DA5" s="232"/>
      <c r="DB5" s="232"/>
      <c r="DC5" s="232"/>
      <c r="DD5" s="232"/>
      <c r="DE5" s="232"/>
      <c r="DF5" s="229"/>
      <c r="DG5" s="226"/>
      <c r="DH5" s="226"/>
      <c r="DI5" s="226"/>
      <c r="DJ5" s="226"/>
      <c r="DK5" s="226"/>
      <c r="DL5" s="226"/>
      <c r="DM5" s="226"/>
      <c r="DN5" s="226"/>
      <c r="DO5" s="226"/>
      <c r="DP5" s="226"/>
      <c r="DQ5" s="226"/>
      <c r="DR5" s="226"/>
      <c r="DS5" s="226"/>
      <c r="DT5" s="226"/>
      <c r="DU5" s="226"/>
      <c r="DV5" s="226"/>
      <c r="DW5" s="226"/>
      <c r="DX5" s="226"/>
      <c r="DY5" s="226"/>
      <c r="DZ5" s="226"/>
      <c r="EA5" s="226"/>
      <c r="EB5" s="118"/>
      <c r="EC5" s="118"/>
      <c r="ED5" s="229"/>
      <c r="EE5" s="271"/>
      <c r="EF5" s="229"/>
    </row>
    <row r="6" spans="3:136" hidden="1" x14ac:dyDescent="0.15">
      <c r="I6" s="257"/>
      <c r="J6" s="258"/>
      <c r="K6" s="235"/>
      <c r="L6" s="235"/>
      <c r="M6" s="235"/>
      <c r="N6" s="235"/>
      <c r="O6" s="235"/>
      <c r="P6" s="235"/>
      <c r="Q6" s="247"/>
      <c r="R6" s="244"/>
      <c r="S6" s="247"/>
      <c r="T6" s="247"/>
      <c r="U6" s="244"/>
      <c r="V6" s="247"/>
      <c r="W6" s="247"/>
      <c r="X6" s="244"/>
      <c r="Y6" s="247"/>
      <c r="Z6" s="247"/>
      <c r="AA6" s="247"/>
      <c r="AB6" s="244"/>
      <c r="AC6" s="238"/>
      <c r="AD6" s="238"/>
      <c r="AE6" s="238"/>
      <c r="AF6" s="238"/>
      <c r="AG6" s="238"/>
      <c r="AH6" s="111"/>
      <c r="AI6" s="238"/>
      <c r="AJ6" s="238"/>
      <c r="AK6" s="229"/>
      <c r="AL6" s="249"/>
      <c r="AM6" s="249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23"/>
      <c r="BE6" s="223"/>
      <c r="BF6" s="223"/>
      <c r="BG6" s="223"/>
      <c r="BH6" s="223"/>
      <c r="BI6" s="223"/>
      <c r="BJ6" s="223"/>
      <c r="BK6" s="223"/>
      <c r="BL6" s="223"/>
      <c r="BM6" s="223"/>
      <c r="BN6" s="223"/>
      <c r="BO6" s="223"/>
      <c r="BP6" s="223"/>
      <c r="BQ6" s="223"/>
      <c r="BR6" s="223"/>
      <c r="BS6" s="223"/>
      <c r="BT6" s="115"/>
      <c r="BU6" s="115"/>
      <c r="BV6" s="115"/>
      <c r="BW6" s="115"/>
      <c r="BX6" s="227"/>
      <c r="BY6" s="227"/>
      <c r="BZ6" s="227"/>
      <c r="CA6" s="227"/>
      <c r="CB6" s="227"/>
      <c r="CC6" s="217"/>
      <c r="CD6" s="217"/>
      <c r="CE6" s="217"/>
      <c r="CF6" s="217"/>
      <c r="CG6" s="217"/>
      <c r="CH6" s="229"/>
      <c r="CI6" s="225"/>
      <c r="CJ6" s="225"/>
      <c r="CK6" s="233"/>
      <c r="CL6" s="233"/>
      <c r="CM6" s="233"/>
      <c r="CN6" s="233"/>
      <c r="CO6" s="233"/>
      <c r="CP6" s="233"/>
      <c r="CQ6" s="233"/>
      <c r="CR6" s="233"/>
      <c r="CS6" s="233"/>
      <c r="CT6" s="229"/>
      <c r="CU6" s="225"/>
      <c r="CV6" s="225"/>
      <c r="CW6" s="232"/>
      <c r="CX6" s="232"/>
      <c r="CY6" s="232"/>
      <c r="CZ6" s="232"/>
      <c r="DA6" s="232"/>
      <c r="DB6" s="232"/>
      <c r="DC6" s="232"/>
      <c r="DD6" s="232"/>
      <c r="DE6" s="232"/>
      <c r="DF6" s="229"/>
      <c r="DG6" s="226"/>
      <c r="DH6" s="226"/>
      <c r="DI6" s="226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118"/>
      <c r="EC6" s="118"/>
      <c r="ED6" s="229"/>
      <c r="EE6" s="271"/>
      <c r="EF6" s="229"/>
    </row>
    <row r="7" spans="3:136" ht="15" customHeight="1" x14ac:dyDescent="0.15">
      <c r="C7" s="263" t="s">
        <v>5</v>
      </c>
      <c r="D7" s="263"/>
      <c r="E7" s="263"/>
      <c r="F7" s="253" t="s">
        <v>48</v>
      </c>
      <c r="G7" s="253"/>
      <c r="H7" s="253"/>
      <c r="I7" s="257"/>
      <c r="J7" s="258"/>
      <c r="K7" s="235"/>
      <c r="L7" s="235"/>
      <c r="M7" s="235"/>
      <c r="N7" s="235"/>
      <c r="O7" s="235"/>
      <c r="P7" s="235"/>
      <c r="Q7" s="247"/>
      <c r="R7" s="244"/>
      <c r="S7" s="247"/>
      <c r="T7" s="247"/>
      <c r="U7" s="244"/>
      <c r="V7" s="247"/>
      <c r="W7" s="247"/>
      <c r="X7" s="244"/>
      <c r="Y7" s="247"/>
      <c r="Z7" s="247"/>
      <c r="AA7" s="247"/>
      <c r="AB7" s="244"/>
      <c r="AC7" s="238"/>
      <c r="AD7" s="238"/>
      <c r="AE7" s="238"/>
      <c r="AF7" s="238"/>
      <c r="AG7" s="238"/>
      <c r="AH7" s="238" t="s">
        <v>872</v>
      </c>
      <c r="AI7" s="238"/>
      <c r="AJ7" s="238"/>
      <c r="AK7" s="229"/>
      <c r="AL7" s="249"/>
      <c r="AM7" s="249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23"/>
      <c r="BE7" s="223"/>
      <c r="BF7" s="223"/>
      <c r="BG7" s="223"/>
      <c r="BH7" s="223"/>
      <c r="BI7" s="223"/>
      <c r="BJ7" s="223"/>
      <c r="BK7" s="223"/>
      <c r="BL7" s="223"/>
      <c r="BM7" s="223"/>
      <c r="BN7" s="223"/>
      <c r="BO7" s="223"/>
      <c r="BP7" s="223"/>
      <c r="BQ7" s="223"/>
      <c r="BR7" s="223"/>
      <c r="BS7" s="223"/>
      <c r="BT7" s="222" t="s">
        <v>969</v>
      </c>
      <c r="BU7" s="222" t="s">
        <v>970</v>
      </c>
      <c r="BV7" s="222" t="s">
        <v>972</v>
      </c>
      <c r="BW7" s="222" t="s">
        <v>971</v>
      </c>
      <c r="BX7" s="227"/>
      <c r="BY7" s="227"/>
      <c r="BZ7" s="227"/>
      <c r="CA7" s="227"/>
      <c r="CB7" s="227"/>
      <c r="CC7" s="217"/>
      <c r="CD7" s="217"/>
      <c r="CE7" s="217"/>
      <c r="CF7" s="217"/>
      <c r="CG7" s="217"/>
      <c r="CH7" s="229"/>
      <c r="CI7" s="225"/>
      <c r="CJ7" s="225"/>
      <c r="CK7" s="233"/>
      <c r="CL7" s="233"/>
      <c r="CM7" s="233"/>
      <c r="CN7" s="233"/>
      <c r="CO7" s="233"/>
      <c r="CP7" s="233"/>
      <c r="CQ7" s="233"/>
      <c r="CR7" s="233"/>
      <c r="CS7" s="233"/>
      <c r="CT7" s="229"/>
      <c r="CU7" s="225"/>
      <c r="CV7" s="225"/>
      <c r="CW7" s="232"/>
      <c r="CX7" s="232"/>
      <c r="CY7" s="232"/>
      <c r="CZ7" s="232"/>
      <c r="DA7" s="232"/>
      <c r="DB7" s="232"/>
      <c r="DC7" s="232"/>
      <c r="DD7" s="232"/>
      <c r="DE7" s="232"/>
      <c r="DF7" s="229"/>
      <c r="DG7" s="226"/>
      <c r="DH7" s="226"/>
      <c r="DI7" s="226"/>
      <c r="DJ7" s="226"/>
      <c r="DK7" s="226"/>
      <c r="DL7" s="226"/>
      <c r="DM7" s="226"/>
      <c r="DN7" s="226"/>
      <c r="DO7" s="226"/>
      <c r="DP7" s="226"/>
      <c r="DQ7" s="226"/>
      <c r="DR7" s="226"/>
      <c r="DS7" s="226"/>
      <c r="DT7" s="226"/>
      <c r="DU7" s="226"/>
      <c r="DV7" s="226"/>
      <c r="DW7" s="226"/>
      <c r="DX7" s="226"/>
      <c r="DY7" s="226"/>
      <c r="DZ7" s="226"/>
      <c r="EA7" s="226"/>
      <c r="EB7" s="279" t="s">
        <v>973</v>
      </c>
      <c r="EC7" s="279" t="s">
        <v>974</v>
      </c>
      <c r="ED7" s="229"/>
      <c r="EE7" s="271"/>
      <c r="EF7" s="229"/>
    </row>
    <row r="8" spans="3:136" ht="11.4" customHeight="1" x14ac:dyDescent="0.15">
      <c r="C8" s="263"/>
      <c r="D8" s="263"/>
      <c r="E8" s="263"/>
      <c r="F8" s="253"/>
      <c r="G8" s="253"/>
      <c r="H8" s="253"/>
      <c r="I8" s="257"/>
      <c r="J8" s="258"/>
      <c r="K8" s="235"/>
      <c r="L8" s="235"/>
      <c r="M8" s="235"/>
      <c r="N8" s="235"/>
      <c r="O8" s="235"/>
      <c r="P8" s="235"/>
      <c r="Q8" s="247"/>
      <c r="R8" s="244"/>
      <c r="S8" s="247"/>
      <c r="T8" s="247"/>
      <c r="U8" s="244"/>
      <c r="V8" s="247"/>
      <c r="W8" s="247"/>
      <c r="X8" s="244"/>
      <c r="Y8" s="247"/>
      <c r="Z8" s="247"/>
      <c r="AA8" s="247"/>
      <c r="AB8" s="244"/>
      <c r="AC8" s="238"/>
      <c r="AD8" s="238"/>
      <c r="AE8" s="238"/>
      <c r="AF8" s="238"/>
      <c r="AG8" s="238"/>
      <c r="AH8" s="238"/>
      <c r="AI8" s="238"/>
      <c r="AJ8" s="238"/>
      <c r="AK8" s="229"/>
      <c r="AL8" s="249"/>
      <c r="AM8" s="249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23"/>
      <c r="BE8" s="223"/>
      <c r="BF8" s="223"/>
      <c r="BG8" s="223"/>
      <c r="BH8" s="223"/>
      <c r="BI8" s="223"/>
      <c r="BJ8" s="223"/>
      <c r="BK8" s="223"/>
      <c r="BL8" s="223"/>
      <c r="BM8" s="223"/>
      <c r="BN8" s="223"/>
      <c r="BO8" s="223"/>
      <c r="BP8" s="223"/>
      <c r="BQ8" s="223"/>
      <c r="BR8" s="223"/>
      <c r="BS8" s="223"/>
      <c r="BT8" s="223"/>
      <c r="BU8" s="223"/>
      <c r="BV8" s="223"/>
      <c r="BW8" s="223"/>
      <c r="BX8" s="227"/>
      <c r="BY8" s="227"/>
      <c r="BZ8" s="227"/>
      <c r="CA8" s="227"/>
      <c r="CB8" s="227"/>
      <c r="CC8" s="217"/>
      <c r="CD8" s="217"/>
      <c r="CE8" s="217"/>
      <c r="CF8" s="217"/>
      <c r="CG8" s="217"/>
      <c r="CH8" s="229"/>
      <c r="CI8" s="225"/>
      <c r="CJ8" s="225"/>
      <c r="CK8" s="233"/>
      <c r="CL8" s="233"/>
      <c r="CM8" s="233"/>
      <c r="CN8" s="233"/>
      <c r="CO8" s="233"/>
      <c r="CP8" s="233"/>
      <c r="CQ8" s="233"/>
      <c r="CR8" s="233"/>
      <c r="CS8" s="233"/>
      <c r="CT8" s="229"/>
      <c r="CU8" s="225"/>
      <c r="CV8" s="225"/>
      <c r="CW8" s="232"/>
      <c r="CX8" s="232"/>
      <c r="CY8" s="232"/>
      <c r="CZ8" s="232"/>
      <c r="DA8" s="232"/>
      <c r="DB8" s="232"/>
      <c r="DC8" s="232"/>
      <c r="DD8" s="232"/>
      <c r="DE8" s="232"/>
      <c r="DF8" s="229"/>
      <c r="DG8" s="226"/>
      <c r="DH8" s="226"/>
      <c r="DI8" s="226"/>
      <c r="DJ8" s="226"/>
      <c r="DK8" s="226"/>
      <c r="DL8" s="226"/>
      <c r="DM8" s="226"/>
      <c r="DN8" s="226"/>
      <c r="DO8" s="226"/>
      <c r="DP8" s="226"/>
      <c r="DQ8" s="226"/>
      <c r="DR8" s="226"/>
      <c r="DS8" s="226"/>
      <c r="DT8" s="226"/>
      <c r="DU8" s="226"/>
      <c r="DV8" s="226"/>
      <c r="DW8" s="226"/>
      <c r="DX8" s="226"/>
      <c r="DY8" s="226"/>
      <c r="DZ8" s="226"/>
      <c r="EA8" s="226"/>
      <c r="EB8" s="279"/>
      <c r="EC8" s="279"/>
      <c r="ED8" s="229"/>
      <c r="EE8" s="271"/>
      <c r="EF8" s="229"/>
    </row>
    <row r="9" spans="3:136" s="121" customFormat="1" ht="11.4" customHeight="1" x14ac:dyDescent="0.3">
      <c r="C9" s="263"/>
      <c r="D9" s="263"/>
      <c r="E9" s="263"/>
      <c r="F9" s="264" t="s">
        <v>6</v>
      </c>
      <c r="G9" s="254" t="s">
        <v>967</v>
      </c>
      <c r="H9" s="254"/>
      <c r="I9" s="257"/>
      <c r="J9" s="258"/>
      <c r="K9" s="235"/>
      <c r="L9" s="235"/>
      <c r="M9" s="235"/>
      <c r="N9" s="235"/>
      <c r="O9" s="235"/>
      <c r="P9" s="235"/>
      <c r="Q9" s="247"/>
      <c r="R9" s="244"/>
      <c r="S9" s="247"/>
      <c r="T9" s="247"/>
      <c r="U9" s="244"/>
      <c r="V9" s="247"/>
      <c r="W9" s="247"/>
      <c r="X9" s="244"/>
      <c r="Y9" s="247"/>
      <c r="Z9" s="247"/>
      <c r="AA9" s="247"/>
      <c r="AB9" s="244"/>
      <c r="AC9" s="238"/>
      <c r="AD9" s="238"/>
      <c r="AE9" s="238"/>
      <c r="AF9" s="238"/>
      <c r="AG9" s="238"/>
      <c r="AH9" s="238"/>
      <c r="AI9" s="238"/>
      <c r="AJ9" s="238"/>
      <c r="AK9" s="229"/>
      <c r="AL9" s="249"/>
      <c r="AM9" s="249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7"/>
      <c r="BY9" s="227"/>
      <c r="BZ9" s="227"/>
      <c r="CA9" s="227"/>
      <c r="CB9" s="227"/>
      <c r="CC9" s="218"/>
      <c r="CD9" s="218"/>
      <c r="CE9" s="218"/>
      <c r="CF9" s="218"/>
      <c r="CG9" s="218"/>
      <c r="CH9" s="229"/>
      <c r="CI9" s="225"/>
      <c r="CJ9" s="225"/>
      <c r="CK9" s="233"/>
      <c r="CL9" s="233"/>
      <c r="CM9" s="233"/>
      <c r="CN9" s="233"/>
      <c r="CO9" s="233"/>
      <c r="CP9" s="233"/>
      <c r="CQ9" s="233"/>
      <c r="CR9" s="233"/>
      <c r="CS9" s="233"/>
      <c r="CT9" s="229"/>
      <c r="CU9" s="225"/>
      <c r="CV9" s="225"/>
      <c r="CW9" s="232"/>
      <c r="CX9" s="232"/>
      <c r="CY9" s="232"/>
      <c r="CZ9" s="232"/>
      <c r="DA9" s="232"/>
      <c r="DB9" s="232"/>
      <c r="DC9" s="232"/>
      <c r="DD9" s="232"/>
      <c r="DE9" s="232"/>
      <c r="DF9" s="229"/>
      <c r="DG9" s="269" t="s">
        <v>90</v>
      </c>
      <c r="DH9" s="269"/>
      <c r="DI9" s="269"/>
      <c r="DJ9" s="269"/>
      <c r="DK9" s="269"/>
      <c r="DL9" s="269"/>
      <c r="DM9" s="269"/>
      <c r="DN9" s="269"/>
      <c r="DO9" s="269"/>
      <c r="DP9" s="269"/>
      <c r="DQ9" s="269" t="s">
        <v>91</v>
      </c>
      <c r="DR9" s="269"/>
      <c r="DS9" s="269"/>
      <c r="DT9" s="269"/>
      <c r="DU9" s="269"/>
      <c r="DV9" s="273" t="s">
        <v>92</v>
      </c>
      <c r="DW9" s="274"/>
      <c r="DX9" s="274"/>
      <c r="DY9" s="274"/>
      <c r="DZ9" s="274"/>
      <c r="EA9" s="275"/>
      <c r="EB9" s="280" t="s">
        <v>793</v>
      </c>
      <c r="EC9" s="281"/>
      <c r="ED9" s="229"/>
      <c r="EE9" s="271"/>
      <c r="EF9" s="229"/>
    </row>
    <row r="10" spans="3:136" ht="11.4" customHeight="1" x14ac:dyDescent="0.15">
      <c r="C10" s="263"/>
      <c r="D10" s="263"/>
      <c r="E10" s="263"/>
      <c r="F10" s="264"/>
      <c r="G10" s="254"/>
      <c r="H10" s="254"/>
      <c r="I10" s="259"/>
      <c r="J10" s="260"/>
      <c r="K10" s="235"/>
      <c r="L10" s="235"/>
      <c r="M10" s="235"/>
      <c r="N10" s="235"/>
      <c r="O10" s="235"/>
      <c r="P10" s="235"/>
      <c r="Q10" s="247"/>
      <c r="R10" s="244"/>
      <c r="S10" s="247"/>
      <c r="T10" s="247"/>
      <c r="U10" s="244"/>
      <c r="V10" s="247"/>
      <c r="W10" s="247"/>
      <c r="X10" s="244"/>
      <c r="Y10" s="247"/>
      <c r="Z10" s="247"/>
      <c r="AA10" s="247"/>
      <c r="AB10" s="244"/>
      <c r="AC10" s="238"/>
      <c r="AD10" s="238"/>
      <c r="AE10" s="238"/>
      <c r="AF10" s="238"/>
      <c r="AG10" s="238"/>
      <c r="AH10" s="238"/>
      <c r="AI10" s="238"/>
      <c r="AJ10" s="238"/>
      <c r="AK10" s="229"/>
      <c r="AL10" s="250" t="s">
        <v>10</v>
      </c>
      <c r="AM10" s="250"/>
      <c r="AN10" s="240" t="s">
        <v>11</v>
      </c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2"/>
      <c r="BD10" s="266" t="s">
        <v>23</v>
      </c>
      <c r="BE10" s="267"/>
      <c r="BF10" s="267"/>
      <c r="BG10" s="267"/>
      <c r="BH10" s="267"/>
      <c r="BI10" s="267"/>
      <c r="BJ10" s="267"/>
      <c r="BK10" s="267"/>
      <c r="BL10" s="267"/>
      <c r="BM10" s="267"/>
      <c r="BN10" s="267"/>
      <c r="BO10" s="267"/>
      <c r="BP10" s="267"/>
      <c r="BQ10" s="267"/>
      <c r="BR10" s="267"/>
      <c r="BS10" s="267"/>
      <c r="BT10" s="267"/>
      <c r="BU10" s="267"/>
      <c r="BV10" s="267"/>
      <c r="BW10" s="268"/>
      <c r="BX10" s="265" t="s">
        <v>24</v>
      </c>
      <c r="BY10" s="265"/>
      <c r="BZ10" s="265"/>
      <c r="CA10" s="265"/>
      <c r="CB10" s="265"/>
      <c r="CC10" s="219" t="s">
        <v>20</v>
      </c>
      <c r="CD10" s="220"/>
      <c r="CE10" s="220"/>
      <c r="CF10" s="220"/>
      <c r="CG10" s="221"/>
      <c r="CH10" s="229"/>
      <c r="CI10" s="225"/>
      <c r="CJ10" s="225"/>
      <c r="CK10" s="233"/>
      <c r="CL10" s="233"/>
      <c r="CM10" s="233"/>
      <c r="CN10" s="233"/>
      <c r="CO10" s="233"/>
      <c r="CP10" s="233"/>
      <c r="CQ10" s="233"/>
      <c r="CR10" s="233"/>
      <c r="CS10" s="233"/>
      <c r="CT10" s="229"/>
      <c r="CU10" s="225"/>
      <c r="CV10" s="225"/>
      <c r="CW10" s="232"/>
      <c r="CX10" s="232"/>
      <c r="CY10" s="232"/>
      <c r="CZ10" s="232"/>
      <c r="DA10" s="232"/>
      <c r="DB10" s="232"/>
      <c r="DC10" s="232"/>
      <c r="DD10" s="232"/>
      <c r="DE10" s="232"/>
      <c r="DF10" s="229"/>
      <c r="DG10" s="276" t="s">
        <v>75</v>
      </c>
      <c r="DH10" s="277"/>
      <c r="DI10" s="277"/>
      <c r="DJ10" s="277"/>
      <c r="DK10" s="277"/>
      <c r="DL10" s="277"/>
      <c r="DM10" s="277"/>
      <c r="DN10" s="277"/>
      <c r="DO10" s="277"/>
      <c r="DP10" s="277"/>
      <c r="DQ10" s="277"/>
      <c r="DR10" s="277"/>
      <c r="DS10" s="277"/>
      <c r="DT10" s="277"/>
      <c r="DU10" s="277"/>
      <c r="DV10" s="277"/>
      <c r="DW10" s="277"/>
      <c r="DX10" s="277"/>
      <c r="DY10" s="277"/>
      <c r="DZ10" s="277"/>
      <c r="EA10" s="277"/>
      <c r="EB10" s="277"/>
      <c r="EC10" s="278"/>
      <c r="ED10" s="229"/>
      <c r="EE10" s="271"/>
      <c r="EF10" s="229"/>
    </row>
    <row r="11" spans="3:136" ht="23.4" customHeight="1" x14ac:dyDescent="0.15">
      <c r="C11" s="251" t="s">
        <v>4</v>
      </c>
      <c r="D11" s="251"/>
      <c r="E11" s="251"/>
      <c r="F11" s="252" t="s">
        <v>32</v>
      </c>
      <c r="G11" s="252"/>
      <c r="H11" s="2" t="s">
        <v>103</v>
      </c>
      <c r="I11" s="261" t="s">
        <v>9</v>
      </c>
      <c r="J11" s="262"/>
      <c r="K11" s="235"/>
      <c r="L11" s="235"/>
      <c r="M11" s="235"/>
      <c r="N11" s="235"/>
      <c r="O11" s="235"/>
      <c r="P11" s="235"/>
      <c r="Q11" s="248"/>
      <c r="R11" s="245"/>
      <c r="S11" s="248"/>
      <c r="T11" s="248"/>
      <c r="U11" s="245"/>
      <c r="V11" s="248"/>
      <c r="W11" s="248"/>
      <c r="X11" s="245"/>
      <c r="Y11" s="248"/>
      <c r="Z11" s="248"/>
      <c r="AA11" s="248"/>
      <c r="AB11" s="245"/>
      <c r="AC11" s="239"/>
      <c r="AD11" s="239"/>
      <c r="AE11" s="239"/>
      <c r="AF11" s="239"/>
      <c r="AG11" s="239"/>
      <c r="AH11" s="239"/>
      <c r="AI11" s="239"/>
      <c r="AJ11" s="239"/>
      <c r="AK11" s="230"/>
      <c r="AL11" s="5" t="s">
        <v>846</v>
      </c>
      <c r="AM11" s="5" t="s">
        <v>847</v>
      </c>
      <c r="AN11" s="5" t="s">
        <v>848</v>
      </c>
      <c r="AO11" s="5" t="s">
        <v>849</v>
      </c>
      <c r="AP11" s="5" t="s">
        <v>850</v>
      </c>
      <c r="AQ11" s="5" t="s">
        <v>851</v>
      </c>
      <c r="AR11" s="5" t="s">
        <v>852</v>
      </c>
      <c r="AS11" s="5" t="s">
        <v>853</v>
      </c>
      <c r="AT11" s="5" t="s">
        <v>854</v>
      </c>
      <c r="AU11" s="5" t="s">
        <v>855</v>
      </c>
      <c r="AV11" s="5" t="s">
        <v>856</v>
      </c>
      <c r="AW11" s="5" t="s">
        <v>857</v>
      </c>
      <c r="AX11" s="5" t="s">
        <v>858</v>
      </c>
      <c r="AY11" s="5" t="s">
        <v>859</v>
      </c>
      <c r="AZ11" s="5" t="s">
        <v>860</v>
      </c>
      <c r="BA11" s="5" t="s">
        <v>861</v>
      </c>
      <c r="BB11" s="5" t="s">
        <v>862</v>
      </c>
      <c r="BC11" s="5" t="s">
        <v>863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6" t="s">
        <v>468</v>
      </c>
      <c r="BU11" s="116" t="s">
        <v>471</v>
      </c>
      <c r="BV11" s="116" t="s">
        <v>476</v>
      </c>
      <c r="BW11" s="116" t="s">
        <v>480</v>
      </c>
      <c r="BX11" s="93" t="s">
        <v>202</v>
      </c>
      <c r="BY11" s="93" t="s">
        <v>203</v>
      </c>
      <c r="BZ11" s="93" t="s">
        <v>204</v>
      </c>
      <c r="CA11" s="93" t="s">
        <v>205</v>
      </c>
      <c r="CB11" s="93" t="s">
        <v>206</v>
      </c>
      <c r="CC11" s="6" t="s">
        <v>192</v>
      </c>
      <c r="CD11" s="6" t="s">
        <v>193</v>
      </c>
      <c r="CE11" s="6" t="s">
        <v>194</v>
      </c>
      <c r="CF11" s="6" t="s">
        <v>195</v>
      </c>
      <c r="CG11" s="6" t="s">
        <v>196</v>
      </c>
      <c r="CH11" s="230"/>
      <c r="CI11" s="231" t="s">
        <v>40</v>
      </c>
      <c r="CJ11" s="231"/>
      <c r="CK11" s="234" t="s">
        <v>19</v>
      </c>
      <c r="CL11" s="234"/>
      <c r="CM11" s="234"/>
      <c r="CN11" s="234"/>
      <c r="CO11" s="234"/>
      <c r="CP11" s="234"/>
      <c r="CQ11" s="234"/>
      <c r="CR11" s="234"/>
      <c r="CS11" s="234"/>
      <c r="CT11" s="230"/>
      <c r="CU11" s="231" t="s">
        <v>40</v>
      </c>
      <c r="CV11" s="231"/>
      <c r="CW11" s="95"/>
      <c r="CX11" s="169"/>
      <c r="CY11" s="269" t="s">
        <v>47</v>
      </c>
      <c r="CZ11" s="269"/>
      <c r="DA11" s="269"/>
      <c r="DB11" s="269"/>
      <c r="DC11" s="269"/>
      <c r="DD11" s="269"/>
      <c r="DE11" s="101"/>
      <c r="DF11" s="230"/>
      <c r="DG11" s="1" t="s">
        <v>49</v>
      </c>
      <c r="DH11" s="1" t="s">
        <v>50</v>
      </c>
      <c r="DI11" s="1" t="s">
        <v>51</v>
      </c>
      <c r="DJ11" s="1" t="s">
        <v>52</v>
      </c>
      <c r="DK11" s="1" t="s">
        <v>53</v>
      </c>
      <c r="DL11" s="1" t="s">
        <v>54</v>
      </c>
      <c r="DM11" s="1" t="s">
        <v>55</v>
      </c>
      <c r="DN11" s="1" t="s">
        <v>56</v>
      </c>
      <c r="DO11" s="1" t="s">
        <v>57</v>
      </c>
      <c r="DP11" s="1" t="s">
        <v>58</v>
      </c>
      <c r="DQ11" s="1" t="s">
        <v>59</v>
      </c>
      <c r="DR11" s="1" t="s">
        <v>60</v>
      </c>
      <c r="DS11" s="1" t="s">
        <v>61</v>
      </c>
      <c r="DT11" s="1" t="s">
        <v>62</v>
      </c>
      <c r="DU11" s="1" t="s">
        <v>63</v>
      </c>
      <c r="DV11" s="1" t="s">
        <v>64</v>
      </c>
      <c r="DW11" s="1" t="s">
        <v>65</v>
      </c>
      <c r="DX11" s="1" t="s">
        <v>66</v>
      </c>
      <c r="DY11" s="1" t="s">
        <v>67</v>
      </c>
      <c r="DZ11" s="1" t="s">
        <v>68</v>
      </c>
      <c r="EA11" s="1" t="s">
        <v>170</v>
      </c>
      <c r="EB11" s="1" t="s">
        <v>975</v>
      </c>
      <c r="EC11" s="1" t="s">
        <v>976</v>
      </c>
      <c r="ED11" s="230"/>
      <c r="EE11" s="272"/>
      <c r="EF11" s="230"/>
    </row>
    <row r="12" spans="3:136" s="131" customFormat="1" ht="12.6" hidden="1" customHeight="1" x14ac:dyDescent="0.15">
      <c r="C12" s="139" t="str">
        <f>IFERROR(VLOOKUP(TEXT(InputData[[#This Row],[Date]],"yyyy-mm"),API_AccountingPeriod[text]:API_AccountingPeriod[Month],2,0),"Please Input Accounting Period")</f>
        <v>Please Input Accounting Period</v>
      </c>
      <c r="D12" s="139" t="e">
        <f>"Week_" &amp;WEEKNUM(InputData[[#This Row],[Date]])</f>
        <v>#VALUE!</v>
      </c>
      <c r="E12" s="140"/>
      <c r="F12" s="146"/>
      <c r="G12" s="167">
        <f>IFERROR(VLOOKUP(InputData[[#This Row],[Code Number]],API_CNUnit[text]:API_CNUnit[type],3,0),0)</f>
        <v>0</v>
      </c>
      <c r="H12" s="146"/>
      <c r="I12" s="146"/>
      <c r="J12" s="139" t="str">
        <f>IFERROR(VLOOKUP(InputData[[#This Row],[Code]],Classhours[[Column1]:[Code]],2,0),"")</f>
        <v/>
      </c>
      <c r="K12" s="143" t="e">
        <f>+InputData[[#This Row],[OB Activity]]</f>
        <v>#VALUE!</v>
      </c>
      <c r="L12" s="143" t="e">
        <f>+InputData[[#This Row],[Coal Activity]]</f>
        <v>#VALUE!</v>
      </c>
      <c r="M12" s="143" t="e">
        <f>SUM(InputData[[#This Row],[Travel Unit (Exca)]:[General Support]])</f>
        <v>#VALUE!</v>
      </c>
      <c r="N12" s="143" t="e">
        <f>SUM(InputData[[#This Row],[P2H]:[LAINNYA]])</f>
        <v>#VALUE!</v>
      </c>
      <c r="O12" s="143" t="e">
        <f>SUM(InputData[[#This Row],[HUJAN]:[PROBLEM COSTUMER]])</f>
        <v>#VALUE!</v>
      </c>
      <c r="P12" s="143" t="e">
        <f>SUM(InputData[[#This Row],[SCHEDULE SERVICE]:[ACCIDENT BREAKDOWN]])</f>
        <v>#VALUE!</v>
      </c>
      <c r="Q12" s="143" t="e">
        <f>IF(InputData[[#This Row],[Code]]="",720-SUM(InputData[[#This Row],[OB]:[BD]]),60-SUM(InputData[[#This Row],[OB]:[BD]]))</f>
        <v>#VALUE!</v>
      </c>
      <c r="R12" s="141"/>
      <c r="S12" s="143" t="e">
        <f>+InputData[[#This Row],[Vol OB]]</f>
        <v>#VALUE!</v>
      </c>
      <c r="T12" s="143" t="e">
        <f>+InputData[[#This Row],[Distance]]</f>
        <v>#VALUE!</v>
      </c>
      <c r="U12" s="141"/>
      <c r="V12" s="143" t="e">
        <f>+InputData[[#This Row],[Ton.Co.V]]</f>
        <v>#VALUE!</v>
      </c>
      <c r="W12" s="143" t="e">
        <f>+InputData[[#This Row],[Distance]]</f>
        <v>#VALUE!</v>
      </c>
      <c r="X12" s="141"/>
      <c r="Y12" s="143" t="e">
        <f>+SUM(InputData[[#This Row],[HARD DIGGING ]:[DOUBLE BENCH ]])</f>
        <v>#VALUE!</v>
      </c>
      <c r="Z12" s="143" t="e">
        <f>SUM(InputData[[#This Row],[FATIGUE CHECK ]:[DAMAGED ROAD ]])</f>
        <v>#VALUE!</v>
      </c>
      <c r="AA12" s="143" t="e">
        <f>SUM(InputData[[#This Row],[NARROW ACCESS ]:[WAITING SUPPORT DISPOSAL ]])</f>
        <v>#VALUE!</v>
      </c>
      <c r="AB12" s="141"/>
      <c r="AC12" s="147"/>
      <c r="AD12" s="143" t="str">
        <f>IFERROR(_xlfn.XLOOKUP(InputData[[#This Row],[NIK]],API_OperatorNIK[NIK+Name],API_OperatorNIK[employee_name]),"")</f>
        <v/>
      </c>
      <c r="AE12" s="130"/>
      <c r="AF12" s="130"/>
      <c r="AG12" s="144" t="e">
        <f>+InputData[[#This Row],[HMSP]]-InputData[[#This Row],[HMST]]</f>
        <v>#VALUE!</v>
      </c>
      <c r="AH12" s="144" t="e">
        <f>+InputData[[#This Row],[D.HM]]*60</f>
        <v>#VALUE!</v>
      </c>
      <c r="AI12" s="147"/>
      <c r="AJ12" s="143" t="str">
        <f>IFERROR(_xlfn.XLOOKUP(InputData[[#This Row],[nikpengawas]],API_SupervisorNIK[NIK+Name],API_SupervisorNIK[employee_name]),"")</f>
        <v/>
      </c>
      <c r="AK12" s="130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5"/>
      <c r="BY12" s="135"/>
      <c r="BZ12" s="135"/>
      <c r="CA12" s="135"/>
      <c r="CB12" s="135"/>
      <c r="CC12" s="136"/>
      <c r="CD12" s="136"/>
      <c r="CE12" s="136"/>
      <c r="CF12" s="136"/>
      <c r="CG12" s="136"/>
      <c r="CH12" s="130"/>
      <c r="CI12" s="147" t="s">
        <v>1040</v>
      </c>
      <c r="CJ12" s="180" t="s">
        <v>1276</v>
      </c>
      <c r="CK12" s="147"/>
      <c r="CL12" s="147"/>
      <c r="CM12" s="133"/>
      <c r="CN12" s="133"/>
      <c r="CO12" s="143" t="e">
        <f>SUMIF(API_CNUnit[text],InputData[[#This Row],[Code Number]],API_CNUnit[Capacity])*InputData[[#This Row],[Rit OB]]</f>
        <v>#VALUE!</v>
      </c>
      <c r="CP12" s="143" t="e">
        <f>SUMIFS(haulerpayload[Volume],haulerpayload[Hauler/loader],InputData[[#This Row],[Type Unit]],haulerpayload[Materi],InputData[[#This Row],[Mat.OB]])*InputData[[#This Row],[Rit Rehandling]]</f>
        <v>#VALUE!</v>
      </c>
      <c r="CQ12" s="133"/>
      <c r="CR12" s="143">
        <f>IFERROR(InputData[[#This Row],[Vol OB]]/(InputData[[#This Row],[OB]]/60),0)</f>
        <v>0</v>
      </c>
      <c r="CS12" s="143" t="e">
        <f>InputData[[#This Row],[Vol OB]]*InputData[[#This Row],[Distance]]</f>
        <v>#VALUE!</v>
      </c>
      <c r="CT12" s="130"/>
      <c r="CU12" s="147"/>
      <c r="CV12" s="147"/>
      <c r="CW12" s="147"/>
      <c r="CX12" s="147"/>
      <c r="CY12" s="133"/>
      <c r="CZ12" s="147"/>
      <c r="DA12" s="143">
        <f>IFERROR(SUMIF(API_CNUnit[text],InputData[[#This Row],[Code Number]],API_CNUnit[Capacity])*InputData[[#This Row],[Rit.Co.V]],0)</f>
        <v>0</v>
      </c>
      <c r="DB12" s="133"/>
      <c r="DC12" s="143">
        <f>+IFERROR((60/InputData[[#This Row],[Coal Activity]])*(InputData[[#This Row],[Ton.Co.V]]),0)</f>
        <v>0</v>
      </c>
      <c r="DD12" s="143" t="e">
        <f>+InputData[[#This Row],[Ton.Co.V]]*InputData[[#This Row],[Dist.Co.V]]</f>
        <v>#VALUE!</v>
      </c>
      <c r="DE12" s="143">
        <f>IFERROR(InputData[[#This Row],[Ton.Co.V]]/1.3,0)</f>
        <v>0</v>
      </c>
      <c r="DF12" s="130"/>
      <c r="DG12" s="137"/>
      <c r="DH12" s="137"/>
      <c r="DI12" s="137"/>
      <c r="DJ12" s="137"/>
      <c r="DK12" s="143" t="str">
        <f>IF($AP12="","",1)</f>
        <v/>
      </c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0"/>
      <c r="EE12" s="138"/>
      <c r="EF12" s="130"/>
    </row>
    <row r="13" spans="3:136" ht="27" x14ac:dyDescent="0.15">
      <c r="C13" s="91" t="s">
        <v>1216</v>
      </c>
      <c r="D13" s="91" t="s">
        <v>1</v>
      </c>
      <c r="E13" s="92" t="s">
        <v>2</v>
      </c>
      <c r="F13" s="92" t="s">
        <v>7</v>
      </c>
      <c r="G13" s="124" t="s">
        <v>8</v>
      </c>
      <c r="H13" s="125" t="s">
        <v>103</v>
      </c>
      <c r="I13" s="91" t="s">
        <v>232</v>
      </c>
      <c r="J13" s="124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4" t="s">
        <v>3</v>
      </c>
      <c r="AD13" s="124" t="s">
        <v>105</v>
      </c>
      <c r="AE13" s="124" t="s">
        <v>106</v>
      </c>
      <c r="AF13" s="124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559</v>
      </c>
      <c r="BD13" s="92" t="s">
        <v>152</v>
      </c>
      <c r="BE13" s="92" t="s">
        <v>153</v>
      </c>
      <c r="BF13" s="92" t="s">
        <v>154</v>
      </c>
      <c r="BG13" s="92" t="s">
        <v>155</v>
      </c>
      <c r="BH13" s="92" t="s">
        <v>156</v>
      </c>
      <c r="BI13" s="92" t="s">
        <v>157</v>
      </c>
      <c r="BJ13" s="92" t="s">
        <v>158</v>
      </c>
      <c r="BK13" s="92" t="s">
        <v>159</v>
      </c>
      <c r="BL13" s="92" t="s">
        <v>160</v>
      </c>
      <c r="BM13" s="92" t="s">
        <v>161</v>
      </c>
      <c r="BN13" s="92" t="s">
        <v>162</v>
      </c>
      <c r="BO13" s="92" t="s">
        <v>163</v>
      </c>
      <c r="BP13" s="92" t="s">
        <v>164</v>
      </c>
      <c r="BQ13" s="92" t="s">
        <v>165</v>
      </c>
      <c r="BR13" s="92" t="s">
        <v>166</v>
      </c>
      <c r="BS13" s="92" t="s">
        <v>167</v>
      </c>
      <c r="BT13" s="92" t="s">
        <v>969</v>
      </c>
      <c r="BU13" s="92" t="s">
        <v>970</v>
      </c>
      <c r="BV13" s="92" t="s">
        <v>972</v>
      </c>
      <c r="BW13" s="92" t="s">
        <v>971</v>
      </c>
      <c r="BX13" s="92" t="s">
        <v>197</v>
      </c>
      <c r="BY13" s="92" t="s">
        <v>198</v>
      </c>
      <c r="BZ13" s="92" t="s">
        <v>199</v>
      </c>
      <c r="CA13" s="92" t="s">
        <v>200</v>
      </c>
      <c r="CB13" s="92" t="s">
        <v>201</v>
      </c>
      <c r="CC13" s="92" t="s">
        <v>187</v>
      </c>
      <c r="CD13" s="92" t="s">
        <v>188</v>
      </c>
      <c r="CE13" s="92" t="s">
        <v>189</v>
      </c>
      <c r="CF13" s="92" t="s">
        <v>190</v>
      </c>
      <c r="CG13" s="92" t="s">
        <v>191</v>
      </c>
      <c r="CH13" s="92" t="s">
        <v>93</v>
      </c>
      <c r="CI13" s="92" t="s">
        <v>71</v>
      </c>
      <c r="CJ13" s="92" t="s">
        <v>72</v>
      </c>
      <c r="CK13" s="92" t="s">
        <v>73</v>
      </c>
      <c r="CL13" s="92" t="s">
        <v>74</v>
      </c>
      <c r="CM13" s="92" t="s">
        <v>35</v>
      </c>
      <c r="CN13" s="92" t="s">
        <v>977</v>
      </c>
      <c r="CO13" s="92" t="s">
        <v>36</v>
      </c>
      <c r="CP13" s="92" t="s">
        <v>978</v>
      </c>
      <c r="CQ13" s="92" t="s">
        <v>37</v>
      </c>
      <c r="CR13" s="92" t="s">
        <v>38</v>
      </c>
      <c r="CS13" s="92" t="s">
        <v>39</v>
      </c>
      <c r="CT13" s="92" t="s">
        <v>97</v>
      </c>
      <c r="CU13" s="92" t="s">
        <v>538</v>
      </c>
      <c r="CV13" s="92" t="s">
        <v>539</v>
      </c>
      <c r="CW13" s="92" t="s">
        <v>537</v>
      </c>
      <c r="CX13" s="92" t="s">
        <v>1195</v>
      </c>
      <c r="CY13" s="92" t="s">
        <v>41</v>
      </c>
      <c r="CZ13" s="92" t="s">
        <v>46</v>
      </c>
      <c r="DA13" s="92" t="s">
        <v>42</v>
      </c>
      <c r="DB13" s="92" t="s">
        <v>43</v>
      </c>
      <c r="DC13" s="92" t="s">
        <v>44</v>
      </c>
      <c r="DD13" s="92" t="s">
        <v>45</v>
      </c>
      <c r="DE13" s="92" t="s">
        <v>844</v>
      </c>
      <c r="DF13" s="92" t="s">
        <v>98</v>
      </c>
      <c r="DG13" s="92" t="s">
        <v>109</v>
      </c>
      <c r="DH13" s="92" t="s">
        <v>110</v>
      </c>
      <c r="DI13" s="92" t="s">
        <v>111</v>
      </c>
      <c r="DJ13" s="92" t="s">
        <v>112</v>
      </c>
      <c r="DK13" s="92" t="s">
        <v>113</v>
      </c>
      <c r="DL13" s="92" t="s">
        <v>114</v>
      </c>
      <c r="DM13" s="92" t="s">
        <v>115</v>
      </c>
      <c r="DN13" s="92" t="s">
        <v>116</v>
      </c>
      <c r="DO13" s="92" t="s">
        <v>117</v>
      </c>
      <c r="DP13" s="92" t="s">
        <v>118</v>
      </c>
      <c r="DQ13" s="92" t="s">
        <v>119</v>
      </c>
      <c r="DR13" s="92" t="s">
        <v>120</v>
      </c>
      <c r="DS13" s="92" t="s">
        <v>121</v>
      </c>
      <c r="DT13" s="92" t="s">
        <v>122</v>
      </c>
      <c r="DU13" s="92" t="s">
        <v>123</v>
      </c>
      <c r="DV13" s="92" t="s">
        <v>124</v>
      </c>
      <c r="DW13" s="92" t="s">
        <v>125</v>
      </c>
      <c r="DX13" s="92" t="s">
        <v>126</v>
      </c>
      <c r="DY13" s="92" t="s">
        <v>127</v>
      </c>
      <c r="DZ13" s="92" t="s">
        <v>128</v>
      </c>
      <c r="EA13" s="92" t="s">
        <v>129</v>
      </c>
      <c r="EB13" s="92" t="s">
        <v>973</v>
      </c>
      <c r="EC13" s="92" t="s">
        <v>974</v>
      </c>
      <c r="ED13" s="92" t="s">
        <v>94</v>
      </c>
      <c r="EE13" s="124" t="s">
        <v>557</v>
      </c>
      <c r="EF13" s="91" t="s">
        <v>558</v>
      </c>
    </row>
    <row r="14" spans="3:136" x14ac:dyDescent="0.15">
      <c r="C14" s="7" t="str">
        <f>IFERROR(VLOOKUP(TEXT(InputData[[#This Row],[Date]],"yyyy-mm"),API_AccountingPeriod[text]:API_AccountingPeriod[Month],2,0),"Please Input Accounting Period")</f>
        <v>August 2021</v>
      </c>
      <c r="D14" s="139" t="str">
        <f>"Week_" &amp;WEEKNUM(InputData[[#This Row],[Date]])</f>
        <v>Week_32</v>
      </c>
      <c r="E14" s="152">
        <v>44410</v>
      </c>
      <c r="F14" s="153" t="s">
        <v>399</v>
      </c>
      <c r="G14" s="154" t="str">
        <f>IFERROR(VLOOKUP(InputData[[#This Row],[Code Number]],API_CNUnit[text]:API_CNUnit[type],3,0),0)</f>
        <v>DUMP TRUCK 60T</v>
      </c>
      <c r="H14" s="3" t="s">
        <v>209</v>
      </c>
      <c r="I14" s="3" t="s">
        <v>513</v>
      </c>
      <c r="J14" s="7" t="str">
        <f>IFERROR(VLOOKUP(InputData[[#This Row],[Code]],Classhours[[Column1]:[Code]],2,0),"")</f>
        <v>9:00-10:00</v>
      </c>
      <c r="K14" s="8">
        <f>+InputData[[#This Row],[OB Activity]]</f>
        <v>0</v>
      </c>
      <c r="L14" s="8">
        <f>+InputData[[#This Row],[Coal Activity]]</f>
        <v>60</v>
      </c>
      <c r="M14" s="8">
        <f>SUM(InputData[[#This Row],[Travel Unit (Exca)]:[General Support]])</f>
        <v>0</v>
      </c>
      <c r="N14" s="8">
        <f>SUM(InputData[[#This Row],[P2H]:[LAINNYA]])</f>
        <v>0</v>
      </c>
      <c r="O14" s="8">
        <f>SUM(InputData[[#This Row],[HUJAN]:[PROBLEM COSTUMER]])</f>
        <v>0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0</v>
      </c>
      <c r="R14" s="9"/>
      <c r="S14" s="8">
        <f>+InputData[[#This Row],[Vol OB]]</f>
        <v>0</v>
      </c>
      <c r="T14" s="8">
        <f>+InputData[[#This Row],[Distance]]</f>
        <v>0</v>
      </c>
      <c r="U14" s="9"/>
      <c r="V14" s="8">
        <f>+InputData[[#This Row],[Ton.Co.V]]</f>
        <v>100</v>
      </c>
      <c r="W14" s="8">
        <f>+InputData[[#This Row],[Distance]]</f>
        <v>0</v>
      </c>
      <c r="X14" s="9"/>
      <c r="Y14" s="8">
        <f>+SUM(InputData[[#This Row],[HARD DIGGING ]:[DOUBLE BENCH ]])</f>
        <v>0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 t="s">
        <v>1004</v>
      </c>
      <c r="AD14" s="8" t="str">
        <f>IFERROR(_xlfn.XLOOKUP(InputData[[#This Row],[NIK]],API_OperatorNIK[NIK+Name],API_OperatorNIK[employee_name]),"")</f>
        <v>Andi Amiluddin</v>
      </c>
      <c r="AE14" s="10">
        <v>1</v>
      </c>
      <c r="AF14" s="10">
        <v>20</v>
      </c>
      <c r="AG14" s="105">
        <f>+InputData[[#This Row],[HMSP]]-InputData[[#This Row],[HMST]]</f>
        <v>19</v>
      </c>
      <c r="AH14" s="105">
        <f>+InputData[[#This Row],[D.HM]]*60</f>
        <v>1140</v>
      </c>
      <c r="AI14" s="10" t="s">
        <v>1296</v>
      </c>
      <c r="AJ14" s="8" t="str">
        <f>IFERROR(_xlfn.XLOOKUP(InputData[[#This Row],[nikpengawas]],API_SupervisorNIK[NIK+Name],API_SupervisorNIK[employee_name]),"")</f>
        <v>Lukman</v>
      </c>
      <c r="AK14" s="10"/>
      <c r="AL14" s="12"/>
      <c r="AM14" s="12">
        <v>60</v>
      </c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0"/>
      <c r="CI14" s="147"/>
      <c r="CJ14" s="147"/>
      <c r="CK14" s="147"/>
      <c r="CL14" s="168"/>
      <c r="CM14" s="12"/>
      <c r="CN14" s="12"/>
      <c r="CO14" s="8">
        <f>SUMIF(API_CNUnit[text],InputData[[#This Row],[Code Number]],API_CNUnit[Capacity])*InputData[[#This Row],[Rit OB]]</f>
        <v>0</v>
      </c>
      <c r="CP14" s="8">
        <f>SUMIF(API_CNUnit[text],InputData[[#This Row],[Code Number]],API_CNUnit[Capacity])*InputData[[#This Row],[Rit Rehandling]]</f>
        <v>0</v>
      </c>
      <c r="CQ14" s="12"/>
      <c r="CR14" s="181">
        <f>IFERROR(InputData[[#This Row],[Vol OB]]/(InputData[[#This Row],[OB]]/60),0)</f>
        <v>0</v>
      </c>
      <c r="CS14" s="8">
        <f>InputData[[#This Row],[Vol OB]]*InputData[[#This Row],[Distance]]</f>
        <v>0</v>
      </c>
      <c r="CT14" s="11"/>
      <c r="CU14" s="10" t="s">
        <v>1043</v>
      </c>
      <c r="CV14" s="12" t="s">
        <v>1283</v>
      </c>
      <c r="CW14" s="147" t="s">
        <v>287</v>
      </c>
      <c r="CX14" s="170" t="s">
        <v>546</v>
      </c>
      <c r="CY14" s="12">
        <v>4</v>
      </c>
      <c r="CZ14" s="147"/>
      <c r="DA14" s="8">
        <f>IFERROR(SUMIF(API_CNUnit[text],InputData[[#This Row],[Code Number]],API_CNUnit[Capacity])*InputData[[#This Row],[Rit.Co.V]],0)</f>
        <v>100</v>
      </c>
      <c r="DB14" s="12">
        <v>300</v>
      </c>
      <c r="DC14" s="8">
        <f>+IFERROR((60/InputData[[#This Row],[Coal Activity]])*(InputData[[#This Row],[Ton.Co.V]]),0)</f>
        <v>100</v>
      </c>
      <c r="DD14" s="8">
        <f>+InputData[[#This Row],[Ton.Co.V]]*InputData[[#This Row],[Dist.Co.V]]</f>
        <v>30000</v>
      </c>
      <c r="DE14" s="8">
        <f>IFERROR(InputData[[#This Row],[Ton.Co.V]]/1.3,0)</f>
        <v>76.92307692307692</v>
      </c>
      <c r="DF14" s="11"/>
      <c r="DG14" s="12"/>
      <c r="DH14" s="12"/>
      <c r="DI14" s="12"/>
      <c r="DJ14" s="12"/>
      <c r="DK14" s="8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1"/>
      <c r="EE14" s="96"/>
      <c r="EF14" s="11"/>
    </row>
    <row r="15" spans="3:136" x14ac:dyDescent="0.15">
      <c r="C15" s="183" t="str">
        <f>IFERROR(VLOOKUP(TEXT(InputData[[#This Row],[Date]],"yyyy-mm"),API_AccountingPeriod[text]:API_AccountingPeriod[Month],2,0),"Please Input Accounting Period")</f>
        <v>August 2021</v>
      </c>
      <c r="D15" s="184" t="str">
        <f>"Week_" &amp;WEEKNUM(InputData[[#This Row],[Date]])</f>
        <v>Week_32</v>
      </c>
      <c r="E15" s="185">
        <v>44410</v>
      </c>
      <c r="F15" s="186" t="s">
        <v>399</v>
      </c>
      <c r="G15" s="187" t="str">
        <f>IFERROR(VLOOKUP(InputData[[#This Row],[Code Number]],API_CNUnit[text]:API_CNUnit[type],3,0),0)</f>
        <v>DUMP TRUCK 60T</v>
      </c>
      <c r="H15" s="3" t="s">
        <v>209</v>
      </c>
      <c r="I15" s="4" t="s">
        <v>510</v>
      </c>
      <c r="J15" s="188" t="str">
        <f>IFERROR(VLOOKUP(InputData[[#This Row],[Code]],Classhours[[Column1]:[Code]],2,0),"")</f>
        <v>6:00-7:00</v>
      </c>
      <c r="K15" s="189">
        <f>+InputData[[#This Row],[OB Activity]]</f>
        <v>0</v>
      </c>
      <c r="L15" s="189">
        <f>+InputData[[#This Row],[Coal Activity]]</f>
        <v>0</v>
      </c>
      <c r="M15" s="189">
        <f>SUM(InputData[[#This Row],[Travel Unit (Exca)]:[General Support]])</f>
        <v>0</v>
      </c>
      <c r="N15" s="189">
        <f>SUM(InputData[[#This Row],[P2H]:[LAINNYA]])</f>
        <v>60</v>
      </c>
      <c r="O15" s="189">
        <f>SUM(InputData[[#This Row],[HUJAN]:[PROBLEM COSTUMER]])</f>
        <v>0</v>
      </c>
      <c r="P15" s="189">
        <f>SUM(InputData[[#This Row],[SCHEDULE SERVICE]:[ACCIDENT BREAKDOWN]])</f>
        <v>0</v>
      </c>
      <c r="Q15" s="189">
        <f>IF(InputData[[#This Row],[Code]]="",720-SUM(InputData[[#This Row],[OB]:[BD]]),60-SUM(InputData[[#This Row],[OB]:[BD]]))</f>
        <v>0</v>
      </c>
      <c r="R15" s="190"/>
      <c r="S15" s="189">
        <f>+InputData[[#This Row],[Vol OB]]</f>
        <v>0</v>
      </c>
      <c r="T15" s="189">
        <f>+InputData[[#This Row],[Distance]]</f>
        <v>0</v>
      </c>
      <c r="U15" s="190"/>
      <c r="V15" s="189">
        <f>+InputData[[#This Row],[Ton.Co.V]]</f>
        <v>0</v>
      </c>
      <c r="W15" s="189">
        <f>+InputData[[#This Row],[Distance]]</f>
        <v>0</v>
      </c>
      <c r="X15" s="190"/>
      <c r="Y15" s="189">
        <f>+SUM(InputData[[#This Row],[HARD DIGGING ]:[DOUBLE BENCH ]])</f>
        <v>0</v>
      </c>
      <c r="Z15" s="189">
        <f>SUM(InputData[[#This Row],[FATIGUE CHECK ]:[DAMAGED ROAD ]])</f>
        <v>0</v>
      </c>
      <c r="AA15" s="189">
        <f>SUM(InputData[[#This Row],[NARROW ACCESS ]:[WAITING SUPPORT DISPOSAL ]])</f>
        <v>0</v>
      </c>
      <c r="AB15" s="190"/>
      <c r="AC15" s="10" t="s">
        <v>1004</v>
      </c>
      <c r="AD15" s="189" t="str">
        <f>IFERROR(_xlfn.XLOOKUP(InputData[[#This Row],[NIK]],API_OperatorNIK[NIK+Name],API_OperatorNIK[employee_name]),"")</f>
        <v>Andi Amiluddin</v>
      </c>
      <c r="AE15" s="10">
        <v>1</v>
      </c>
      <c r="AF15" s="10">
        <v>20</v>
      </c>
      <c r="AG15" s="114">
        <f>+InputData[[#This Row],[HMSP]]-InputData[[#This Row],[HMST]]</f>
        <v>19</v>
      </c>
      <c r="AH15" s="114">
        <f>+InputData[[#This Row],[D.HM]]*60</f>
        <v>1140</v>
      </c>
      <c r="AI15" s="10" t="s">
        <v>1296</v>
      </c>
      <c r="AJ15" s="189" t="str">
        <f>IFERROR(_xlfn.XLOOKUP(InputData[[#This Row],[nikpengawas]],API_SupervisorNIK[NIK+Name],API_SupervisorNIK[employee_name]),"")</f>
        <v>Lukman</v>
      </c>
      <c r="AK15" s="170"/>
      <c r="AL15" s="191"/>
      <c r="AM15" s="191"/>
      <c r="AN15" s="191"/>
      <c r="AO15" s="191"/>
      <c r="AP15" s="191"/>
      <c r="AQ15" s="191"/>
      <c r="AR15" s="191"/>
      <c r="AS15" s="191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1"/>
      <c r="BE15" s="191"/>
      <c r="BF15" s="191"/>
      <c r="BG15" s="191"/>
      <c r="BH15" s="191"/>
      <c r="BI15" s="191"/>
      <c r="BJ15" s="191"/>
      <c r="BK15" s="191"/>
      <c r="BL15" s="191"/>
      <c r="BM15" s="191">
        <v>60</v>
      </c>
      <c r="BN15" s="191"/>
      <c r="BO15" s="191"/>
      <c r="BP15" s="191"/>
      <c r="BQ15" s="191"/>
      <c r="BR15" s="191"/>
      <c r="BS15" s="191"/>
      <c r="BT15" s="191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70"/>
      <c r="CI15" s="192"/>
      <c r="CJ15" s="192"/>
      <c r="CK15" s="192"/>
      <c r="CL15" s="193"/>
      <c r="CM15" s="182"/>
      <c r="CN15" s="191"/>
      <c r="CO15" s="189">
        <f>SUMIF(API_CNUnit[text],InputData[[#This Row],[Code Number]],API_CNUnit[Capacity])*InputData[[#This Row],[Rit OB]]</f>
        <v>0</v>
      </c>
      <c r="CP15" s="189">
        <f>SUMIF(API_CNUnit[text],InputData[[#This Row],[Code Number]],API_CNUnit[Capacity])*InputData[[#This Row],[Rit Rehandling]]</f>
        <v>0</v>
      </c>
      <c r="CQ15" s="191"/>
      <c r="CR15" s="194">
        <f>IFERROR(InputData[[#This Row],[Vol OB]]/(InputData[[#This Row],[OB]]/60),0)</f>
        <v>0</v>
      </c>
      <c r="CS15" s="189">
        <f>InputData[[#This Row],[Vol OB]]*InputData[[#This Row],[Distance]]</f>
        <v>0</v>
      </c>
      <c r="CT15" s="195"/>
      <c r="CU15" s="191" t="s">
        <v>1043</v>
      </c>
      <c r="CV15" s="191" t="s">
        <v>1283</v>
      </c>
      <c r="CW15" s="192"/>
      <c r="CX15" s="170"/>
      <c r="CY15" s="182"/>
      <c r="CZ15" s="192"/>
      <c r="DA15" s="189">
        <f>IFERROR(SUMIF(API_CNUnit[text],InputData[[#This Row],[Code Number]],API_CNUnit[Capacity])*InputData[[#This Row],[Rit.Co.V]],0)</f>
        <v>0</v>
      </c>
      <c r="DB15" s="191"/>
      <c r="DC15" s="189">
        <f>+IFERROR((60/InputData[[#This Row],[Coal Activity]])*(InputData[[#This Row],[Ton.Co.V]]),0)</f>
        <v>0</v>
      </c>
      <c r="DD15" s="189">
        <f>+InputData[[#This Row],[Ton.Co.V]]*InputData[[#This Row],[Dist.Co.V]]</f>
        <v>0</v>
      </c>
      <c r="DE15" s="189">
        <f>IFERROR(InputData[[#This Row],[Ton.Co.V]]/1.3,0)</f>
        <v>0</v>
      </c>
      <c r="DF15" s="195"/>
      <c r="DG15" s="191"/>
      <c r="DH15" s="191"/>
      <c r="DI15" s="191"/>
      <c r="DJ15" s="191"/>
      <c r="DK15" s="189"/>
      <c r="DL15" s="191"/>
      <c r="DM15" s="191"/>
      <c r="DN15" s="191"/>
      <c r="DO15" s="191"/>
      <c r="DP15" s="191"/>
      <c r="DQ15" s="191"/>
      <c r="DR15" s="191"/>
      <c r="DS15" s="191"/>
      <c r="DT15" s="191"/>
      <c r="DU15" s="191"/>
      <c r="DV15" s="191"/>
      <c r="DW15" s="191"/>
      <c r="DX15" s="191"/>
      <c r="DY15" s="191"/>
      <c r="DZ15" s="191"/>
      <c r="EA15" s="191"/>
      <c r="EB15" s="191"/>
      <c r="EC15" s="191"/>
      <c r="ED15" s="195"/>
      <c r="EE15" s="196"/>
      <c r="EF15" s="195"/>
    </row>
    <row r="16" spans="3:136" x14ac:dyDescent="0.15">
      <c r="C16" s="183" t="str">
        <f>IFERROR(VLOOKUP(TEXT(InputData[[#This Row],[Date]],"yyyy-mm"),API_AccountingPeriod[text]:API_AccountingPeriod[Month],2,0),"Please Input Accounting Period")</f>
        <v>August 2021</v>
      </c>
      <c r="D16" s="184" t="str">
        <f>"Week_" &amp;WEEKNUM(InputData[[#This Row],[Date]])</f>
        <v>Week_32</v>
      </c>
      <c r="E16" s="185">
        <v>44410</v>
      </c>
      <c r="F16" s="153" t="s">
        <v>399</v>
      </c>
      <c r="G16" s="187" t="str">
        <f>IFERROR(VLOOKUP(InputData[[#This Row],[Code Number]],API_CNUnit[text]:API_CNUnit[type],3,0),0)</f>
        <v>DUMP TRUCK 60T</v>
      </c>
      <c r="H16" s="3" t="s">
        <v>209</v>
      </c>
      <c r="I16" s="4" t="s">
        <v>511</v>
      </c>
      <c r="J16" s="188" t="str">
        <f>IFERROR(VLOOKUP(InputData[[#This Row],[Code]],Classhours[[Column1]:[Code]],2,0),"")</f>
        <v>7:00-8:00</v>
      </c>
      <c r="K16" s="189">
        <f>+InputData[[#This Row],[OB Activity]]</f>
        <v>0</v>
      </c>
      <c r="L16" s="189">
        <f>+InputData[[#This Row],[Coal Activity]]</f>
        <v>0</v>
      </c>
      <c r="M16" s="189">
        <f>SUM(InputData[[#This Row],[Travel Unit (Exca)]:[General Support]])</f>
        <v>0</v>
      </c>
      <c r="N16" s="189">
        <f>SUM(InputData[[#This Row],[P2H]:[LAINNYA]])</f>
        <v>60</v>
      </c>
      <c r="O16" s="189">
        <f>SUM(InputData[[#This Row],[HUJAN]:[PROBLEM COSTUMER]])</f>
        <v>0</v>
      </c>
      <c r="P16" s="189">
        <f>SUM(InputData[[#This Row],[SCHEDULE SERVICE]:[ACCIDENT BREAKDOWN]])</f>
        <v>0</v>
      </c>
      <c r="Q16" s="189">
        <f>IF(InputData[[#This Row],[Code]]="",720-SUM(InputData[[#This Row],[OB]:[BD]]),60-SUM(InputData[[#This Row],[OB]:[BD]]))</f>
        <v>0</v>
      </c>
      <c r="R16" s="190"/>
      <c r="S16" s="189">
        <f>+InputData[[#This Row],[Vol OB]]</f>
        <v>0</v>
      </c>
      <c r="T16" s="189">
        <f>+InputData[[#This Row],[Distance]]</f>
        <v>0</v>
      </c>
      <c r="U16" s="190"/>
      <c r="V16" s="189">
        <f>+InputData[[#This Row],[Ton.Co.V]]</f>
        <v>0</v>
      </c>
      <c r="W16" s="189">
        <f>+InputData[[#This Row],[Distance]]</f>
        <v>0</v>
      </c>
      <c r="X16" s="190"/>
      <c r="Y16" s="189">
        <f>+SUM(InputData[[#This Row],[HARD DIGGING ]:[DOUBLE BENCH ]])</f>
        <v>0</v>
      </c>
      <c r="Z16" s="189">
        <f>SUM(InputData[[#This Row],[FATIGUE CHECK ]:[DAMAGED ROAD ]])</f>
        <v>0</v>
      </c>
      <c r="AA16" s="189">
        <f>SUM(InputData[[#This Row],[NARROW ACCESS ]:[WAITING SUPPORT DISPOSAL ]])</f>
        <v>0</v>
      </c>
      <c r="AB16" s="190"/>
      <c r="AC16" s="10" t="s">
        <v>1004</v>
      </c>
      <c r="AD16" s="189" t="str">
        <f>IFERROR(_xlfn.XLOOKUP(InputData[[#This Row],[NIK]],API_OperatorNIK[NIK+Name],API_OperatorNIK[employee_name]),"")</f>
        <v>Andi Amiluddin</v>
      </c>
      <c r="AE16" s="10">
        <v>1</v>
      </c>
      <c r="AF16" s="10">
        <v>20</v>
      </c>
      <c r="AG16" s="114">
        <f>+InputData[[#This Row],[HMSP]]-InputData[[#This Row],[HMST]]</f>
        <v>19</v>
      </c>
      <c r="AH16" s="114">
        <f>+InputData[[#This Row],[D.HM]]*60</f>
        <v>1140</v>
      </c>
      <c r="AI16" s="10" t="s">
        <v>1296</v>
      </c>
      <c r="AJ16" s="189" t="str">
        <f>IFERROR(_xlfn.XLOOKUP(InputData[[#This Row],[nikpengawas]],API_SupervisorNIK[NIK+Name],API_SupervisorNIK[employee_name]),"")</f>
        <v>Lukman</v>
      </c>
      <c r="AK16" s="170"/>
      <c r="AL16" s="191"/>
      <c r="AM16" s="191"/>
      <c r="AN16" s="191"/>
      <c r="AO16" s="191"/>
      <c r="AP16" s="191"/>
      <c r="AQ16" s="191"/>
      <c r="AR16" s="191"/>
      <c r="AS16" s="191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1"/>
      <c r="BE16" s="191"/>
      <c r="BF16" s="191"/>
      <c r="BG16" s="191"/>
      <c r="BH16" s="191"/>
      <c r="BI16" s="191"/>
      <c r="BJ16" s="191"/>
      <c r="BK16" s="191"/>
      <c r="BL16" s="191"/>
      <c r="BM16" s="191">
        <v>60</v>
      </c>
      <c r="BN16" s="191"/>
      <c r="BO16" s="191"/>
      <c r="BP16" s="191"/>
      <c r="BQ16" s="191"/>
      <c r="BR16" s="191"/>
      <c r="BS16" s="191"/>
      <c r="BT16" s="191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70"/>
      <c r="CI16" s="147"/>
      <c r="CJ16" s="147"/>
      <c r="CK16" s="192"/>
      <c r="CL16" s="193"/>
      <c r="CM16" s="182"/>
      <c r="CN16" s="191"/>
      <c r="CO16" s="189">
        <f>SUMIF(API_CNUnit[text],InputData[[#This Row],[Code Number]],API_CNUnit[Capacity])*InputData[[#This Row],[Rit OB]]</f>
        <v>0</v>
      </c>
      <c r="CP16" s="189">
        <f>SUMIF(API_CNUnit[text],InputData[[#This Row],[Code Number]],API_CNUnit[Capacity])*InputData[[#This Row],[Rit Rehandling]]</f>
        <v>0</v>
      </c>
      <c r="CQ16" s="191"/>
      <c r="CR16" s="194">
        <f>IFERROR(InputData[[#This Row],[Vol OB]]/(InputData[[#This Row],[OB]]/60),0)</f>
        <v>0</v>
      </c>
      <c r="CS16" s="189">
        <f>InputData[[#This Row],[Vol OB]]*InputData[[#This Row],[Distance]]</f>
        <v>0</v>
      </c>
      <c r="CT16" s="195"/>
      <c r="CU16" s="191" t="s">
        <v>1043</v>
      </c>
      <c r="CV16" s="12" t="s">
        <v>1283</v>
      </c>
      <c r="CW16" s="192"/>
      <c r="CX16" s="170"/>
      <c r="CY16" s="182"/>
      <c r="CZ16" s="192"/>
      <c r="DA16" s="189">
        <f>IFERROR(SUMIF(API_CNUnit[text],InputData[[#This Row],[Code Number]],API_CNUnit[Capacity])*InputData[[#This Row],[Rit.Co.V]],0)</f>
        <v>0</v>
      </c>
      <c r="DB16" s="191"/>
      <c r="DC16" s="189">
        <f>+IFERROR((60/InputData[[#This Row],[Coal Activity]])*(InputData[[#This Row],[Ton.Co.V]]),0)</f>
        <v>0</v>
      </c>
      <c r="DD16" s="189">
        <f>+InputData[[#This Row],[Ton.Co.V]]*InputData[[#This Row],[Dist.Co.V]]</f>
        <v>0</v>
      </c>
      <c r="DE16" s="189">
        <f>IFERROR(InputData[[#This Row],[Ton.Co.V]]/1.3,0)</f>
        <v>0</v>
      </c>
      <c r="DF16" s="195"/>
      <c r="DG16" s="191"/>
      <c r="DH16" s="191"/>
      <c r="DI16" s="191"/>
      <c r="DJ16" s="191"/>
      <c r="DK16" s="189"/>
      <c r="DL16" s="191"/>
      <c r="DM16" s="191"/>
      <c r="DN16" s="191"/>
      <c r="DO16" s="191"/>
      <c r="DP16" s="191"/>
      <c r="DQ16" s="191"/>
      <c r="DR16" s="191"/>
      <c r="DS16" s="191"/>
      <c r="DT16" s="191"/>
      <c r="DU16" s="191"/>
      <c r="DV16" s="191"/>
      <c r="DW16" s="191"/>
      <c r="DX16" s="191"/>
      <c r="DY16" s="191"/>
      <c r="DZ16" s="191"/>
      <c r="EA16" s="191"/>
      <c r="EB16" s="191"/>
      <c r="EC16" s="191"/>
      <c r="ED16" s="195"/>
      <c r="EE16" s="196"/>
      <c r="EF16" s="195"/>
    </row>
    <row r="17" spans="3:136" x14ac:dyDescent="0.15">
      <c r="C17" s="183" t="str">
        <f>IFERROR(VLOOKUP(TEXT(InputData[[#This Row],[Date]],"yyyy-mm"),API_AccountingPeriod[text]:API_AccountingPeriod[Month],2,0),"Please Input Accounting Period")</f>
        <v>August 2021</v>
      </c>
      <c r="D17" s="184" t="str">
        <f>"Week_" &amp;WEEKNUM(InputData[[#This Row],[Date]])</f>
        <v>Week_32</v>
      </c>
      <c r="E17" s="185">
        <v>44410</v>
      </c>
      <c r="F17" s="186" t="s">
        <v>399</v>
      </c>
      <c r="G17" s="187" t="str">
        <f>IFERROR(VLOOKUP(InputData[[#This Row],[Code Number]],API_CNUnit[text]:API_CNUnit[type],3,0),0)</f>
        <v>DUMP TRUCK 60T</v>
      </c>
      <c r="H17" s="3" t="s">
        <v>209</v>
      </c>
      <c r="I17" s="4" t="s">
        <v>512</v>
      </c>
      <c r="J17" s="188" t="str">
        <f>IFERROR(VLOOKUP(InputData[[#This Row],[Code]],Classhours[[Column1]:[Code]],2,0),"")</f>
        <v>8:00-9:00</v>
      </c>
      <c r="K17" s="189">
        <f>+InputData[[#This Row],[OB Activity]]</f>
        <v>0</v>
      </c>
      <c r="L17" s="189">
        <f>+InputData[[#This Row],[Coal Activity]]</f>
        <v>0</v>
      </c>
      <c r="M17" s="189">
        <f>SUM(InputData[[#This Row],[Travel Unit (Exca)]:[General Support]])</f>
        <v>0</v>
      </c>
      <c r="N17" s="189">
        <f>SUM(InputData[[#This Row],[P2H]:[LAINNYA]])</f>
        <v>60</v>
      </c>
      <c r="O17" s="189">
        <f>SUM(InputData[[#This Row],[HUJAN]:[PROBLEM COSTUMER]])</f>
        <v>0</v>
      </c>
      <c r="P17" s="189">
        <f>SUM(InputData[[#This Row],[SCHEDULE SERVICE]:[ACCIDENT BREAKDOWN]])</f>
        <v>0</v>
      </c>
      <c r="Q17" s="189">
        <f>IF(InputData[[#This Row],[Code]]="",720-SUM(InputData[[#This Row],[OB]:[BD]]),60-SUM(InputData[[#This Row],[OB]:[BD]]))</f>
        <v>0</v>
      </c>
      <c r="R17" s="190"/>
      <c r="S17" s="189">
        <f>+InputData[[#This Row],[Vol OB]]</f>
        <v>0</v>
      </c>
      <c r="T17" s="189">
        <f>+InputData[[#This Row],[Distance]]</f>
        <v>0</v>
      </c>
      <c r="U17" s="190"/>
      <c r="V17" s="189">
        <f>+InputData[[#This Row],[Ton.Co.V]]</f>
        <v>0</v>
      </c>
      <c r="W17" s="189">
        <f>+InputData[[#This Row],[Distance]]</f>
        <v>0</v>
      </c>
      <c r="X17" s="190"/>
      <c r="Y17" s="189">
        <f>+SUM(InputData[[#This Row],[HARD DIGGING ]:[DOUBLE BENCH ]])</f>
        <v>0</v>
      </c>
      <c r="Z17" s="189">
        <f>SUM(InputData[[#This Row],[FATIGUE CHECK ]:[DAMAGED ROAD ]])</f>
        <v>0</v>
      </c>
      <c r="AA17" s="189">
        <f>SUM(InputData[[#This Row],[NARROW ACCESS ]:[WAITING SUPPORT DISPOSAL ]])</f>
        <v>0</v>
      </c>
      <c r="AB17" s="190"/>
      <c r="AC17" s="10" t="s">
        <v>1004</v>
      </c>
      <c r="AD17" s="189" t="str">
        <f>IFERROR(_xlfn.XLOOKUP(InputData[[#This Row],[NIK]],API_OperatorNIK[NIK+Name],API_OperatorNIK[employee_name]),"")</f>
        <v>Andi Amiluddin</v>
      </c>
      <c r="AE17" s="10">
        <v>1</v>
      </c>
      <c r="AF17" s="10">
        <v>20</v>
      </c>
      <c r="AG17" s="114">
        <f>+InputData[[#This Row],[HMSP]]-InputData[[#This Row],[HMST]]</f>
        <v>19</v>
      </c>
      <c r="AH17" s="114">
        <f>+InputData[[#This Row],[D.HM]]*60</f>
        <v>1140</v>
      </c>
      <c r="AI17" s="10" t="s">
        <v>1296</v>
      </c>
      <c r="AJ17" s="189" t="str">
        <f>IFERROR(_xlfn.XLOOKUP(InputData[[#This Row],[nikpengawas]],API_SupervisorNIK[NIK+Name],API_SupervisorNIK[employee_name]),"")</f>
        <v>Lukman</v>
      </c>
      <c r="AK17" s="170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  <c r="BK17" s="191"/>
      <c r="BL17" s="191"/>
      <c r="BM17" s="191">
        <v>60</v>
      </c>
      <c r="BN17" s="191"/>
      <c r="BO17" s="191"/>
      <c r="BP17" s="191"/>
      <c r="BQ17" s="191"/>
      <c r="BR17" s="191"/>
      <c r="BS17" s="191"/>
      <c r="BT17" s="191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70"/>
      <c r="CI17" s="192"/>
      <c r="CJ17" s="192"/>
      <c r="CK17" s="192"/>
      <c r="CL17" s="193"/>
      <c r="CM17" s="182"/>
      <c r="CN17" s="191"/>
      <c r="CO17" s="189">
        <f>SUMIF(API_CNUnit[text],InputData[[#This Row],[Code Number]],API_CNUnit[Capacity])*InputData[[#This Row],[Rit OB]]</f>
        <v>0</v>
      </c>
      <c r="CP17" s="189">
        <f>SUMIF(API_CNUnit[text],InputData[[#This Row],[Code Number]],API_CNUnit[Capacity])*InputData[[#This Row],[Rit Rehandling]]</f>
        <v>0</v>
      </c>
      <c r="CQ17" s="191"/>
      <c r="CR17" s="194">
        <f>IFERROR(InputData[[#This Row],[Vol OB]]/(InputData[[#This Row],[OB]]/60),0)</f>
        <v>0</v>
      </c>
      <c r="CS17" s="189">
        <f>InputData[[#This Row],[Vol OB]]*InputData[[#This Row],[Distance]]</f>
        <v>0</v>
      </c>
      <c r="CT17" s="195"/>
      <c r="CU17" s="191" t="s">
        <v>1043</v>
      </c>
      <c r="CV17" s="191" t="s">
        <v>1283</v>
      </c>
      <c r="CW17" s="192"/>
      <c r="CX17" s="170"/>
      <c r="CY17" s="182"/>
      <c r="CZ17" s="192"/>
      <c r="DA17" s="189">
        <f>IFERROR(SUMIF(API_CNUnit[text],InputData[[#This Row],[Code Number]],API_CNUnit[Capacity])*InputData[[#This Row],[Rit.Co.V]],0)</f>
        <v>0</v>
      </c>
      <c r="DB17" s="191"/>
      <c r="DC17" s="189">
        <f>+IFERROR((60/InputData[[#This Row],[Coal Activity]])*(InputData[[#This Row],[Ton.Co.V]]),0)</f>
        <v>0</v>
      </c>
      <c r="DD17" s="189">
        <f>+InputData[[#This Row],[Ton.Co.V]]*InputData[[#This Row],[Dist.Co.V]]</f>
        <v>0</v>
      </c>
      <c r="DE17" s="189">
        <f>IFERROR(InputData[[#This Row],[Ton.Co.V]]/1.3,0)</f>
        <v>0</v>
      </c>
      <c r="DF17" s="195"/>
      <c r="DG17" s="191"/>
      <c r="DH17" s="191"/>
      <c r="DI17" s="191"/>
      <c r="DJ17" s="191"/>
      <c r="DK17" s="189"/>
      <c r="DL17" s="191"/>
      <c r="DM17" s="191"/>
      <c r="DN17" s="191"/>
      <c r="DO17" s="191"/>
      <c r="DP17" s="191"/>
      <c r="DQ17" s="191"/>
      <c r="DR17" s="191"/>
      <c r="DS17" s="191"/>
      <c r="DT17" s="191"/>
      <c r="DU17" s="191"/>
      <c r="DV17" s="191"/>
      <c r="DW17" s="191"/>
      <c r="DX17" s="191"/>
      <c r="DY17" s="191"/>
      <c r="DZ17" s="191"/>
      <c r="EA17" s="191"/>
      <c r="EB17" s="191"/>
      <c r="EC17" s="191"/>
      <c r="ED17" s="195"/>
      <c r="EE17" s="196"/>
      <c r="EF17" s="195"/>
    </row>
    <row r="18" spans="3:136" x14ac:dyDescent="0.15">
      <c r="C18" s="183" t="str">
        <f>IFERROR(VLOOKUP(TEXT(InputData[[#This Row],[Date]],"yyyy-mm"),API_AccountingPeriod[text]:API_AccountingPeriod[Month],2,0),"Please Input Accounting Period")</f>
        <v>August 2021</v>
      </c>
      <c r="D18" s="184" t="str">
        <f>"Week_" &amp;WEEKNUM(InputData[[#This Row],[Date]])</f>
        <v>Week_32</v>
      </c>
      <c r="E18" s="185">
        <v>44410</v>
      </c>
      <c r="F18" s="153" t="s">
        <v>399</v>
      </c>
      <c r="G18" s="187" t="str">
        <f>IFERROR(VLOOKUP(InputData[[#This Row],[Code Number]],API_CNUnit[text]:API_CNUnit[type],3,0),0)</f>
        <v>DUMP TRUCK 60T</v>
      </c>
      <c r="H18" s="3" t="s">
        <v>209</v>
      </c>
      <c r="I18" s="4" t="s">
        <v>513</v>
      </c>
      <c r="J18" s="188" t="str">
        <f>IFERROR(VLOOKUP(InputData[[#This Row],[Code]],Classhours[[Column1]:[Code]],2,0),"")</f>
        <v>9:00-10:00</v>
      </c>
      <c r="K18" s="189">
        <f>+InputData[[#This Row],[OB Activity]]</f>
        <v>0</v>
      </c>
      <c r="L18" s="189">
        <f>+InputData[[#This Row],[Coal Activity]]</f>
        <v>0</v>
      </c>
      <c r="M18" s="189">
        <f>SUM(InputData[[#This Row],[Travel Unit (Exca)]:[General Support]])</f>
        <v>0</v>
      </c>
      <c r="N18" s="189">
        <f>SUM(InputData[[#This Row],[P2H]:[LAINNYA]])</f>
        <v>0</v>
      </c>
      <c r="O18" s="189">
        <f>SUM(InputData[[#This Row],[HUJAN]:[PROBLEM COSTUMER]])</f>
        <v>0</v>
      </c>
      <c r="P18" s="189">
        <f>SUM(InputData[[#This Row],[SCHEDULE SERVICE]:[ACCIDENT BREAKDOWN]])</f>
        <v>0</v>
      </c>
      <c r="Q18" s="189">
        <f>IF(InputData[[#This Row],[Code]]="",720-SUM(InputData[[#This Row],[OB]:[BD]]),60-SUM(InputData[[#This Row],[OB]:[BD]]))</f>
        <v>60</v>
      </c>
      <c r="R18" s="190"/>
      <c r="S18" s="189">
        <f>+InputData[[#This Row],[Vol OB]]</f>
        <v>0</v>
      </c>
      <c r="T18" s="189">
        <f>+InputData[[#This Row],[Distance]]</f>
        <v>0</v>
      </c>
      <c r="U18" s="190"/>
      <c r="V18" s="189">
        <f>+InputData[[#This Row],[Ton.Co.V]]</f>
        <v>75</v>
      </c>
      <c r="W18" s="189">
        <f>+InputData[[#This Row],[Distance]]</f>
        <v>0</v>
      </c>
      <c r="X18" s="190"/>
      <c r="Y18" s="189">
        <f>+SUM(InputData[[#This Row],[HARD DIGGING ]:[DOUBLE BENCH ]])</f>
        <v>0</v>
      </c>
      <c r="Z18" s="189">
        <f>SUM(InputData[[#This Row],[FATIGUE CHECK ]:[DAMAGED ROAD ]])</f>
        <v>0</v>
      </c>
      <c r="AA18" s="189">
        <f>SUM(InputData[[#This Row],[NARROW ACCESS ]:[WAITING SUPPORT DISPOSAL ]])</f>
        <v>0</v>
      </c>
      <c r="AB18" s="190"/>
      <c r="AC18" s="10" t="s">
        <v>1004</v>
      </c>
      <c r="AD18" s="189" t="str">
        <f>IFERROR(_xlfn.XLOOKUP(InputData[[#This Row],[NIK]],API_OperatorNIK[NIK+Name],API_OperatorNIK[employee_name]),"")</f>
        <v>Andi Amiluddin</v>
      </c>
      <c r="AE18" s="10">
        <v>1</v>
      </c>
      <c r="AF18" s="10">
        <v>20</v>
      </c>
      <c r="AG18" s="114">
        <f>+InputData[[#This Row],[HMSP]]-InputData[[#This Row],[HMST]]</f>
        <v>19</v>
      </c>
      <c r="AH18" s="114">
        <f>+InputData[[#This Row],[D.HM]]*60</f>
        <v>1140</v>
      </c>
      <c r="AI18" s="10" t="s">
        <v>1296</v>
      </c>
      <c r="AJ18" s="189" t="str">
        <f>IFERROR(_xlfn.XLOOKUP(InputData[[#This Row],[nikpengawas]],API_SupervisorNIK[NIK+Name],API_SupervisorNIK[employee_name]),"")</f>
        <v>Lukman</v>
      </c>
      <c r="AK18" s="170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  <c r="BK18" s="191"/>
      <c r="BL18" s="191"/>
      <c r="BM18" s="191"/>
      <c r="BN18" s="191"/>
      <c r="BO18" s="191"/>
      <c r="BP18" s="191"/>
      <c r="BQ18" s="191"/>
      <c r="BR18" s="191"/>
      <c r="BS18" s="191"/>
      <c r="BT18" s="191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70"/>
      <c r="CI18" s="147"/>
      <c r="CJ18" s="147"/>
      <c r="CK18" s="192"/>
      <c r="CL18" s="193"/>
      <c r="CM18" s="182"/>
      <c r="CN18" s="191"/>
      <c r="CO18" s="189">
        <f>SUMIF(API_CNUnit[text],InputData[[#This Row],[Code Number]],API_CNUnit[Capacity])*InputData[[#This Row],[Rit OB]]</f>
        <v>0</v>
      </c>
      <c r="CP18" s="189">
        <f>SUMIF(API_CNUnit[text],InputData[[#This Row],[Code Number]],API_CNUnit[Capacity])*InputData[[#This Row],[Rit Rehandling]]</f>
        <v>0</v>
      </c>
      <c r="CQ18" s="191"/>
      <c r="CR18" s="194">
        <f>IFERROR(InputData[[#This Row],[Vol OB]]/(InputData[[#This Row],[OB]]/60),0)</f>
        <v>0</v>
      </c>
      <c r="CS18" s="189">
        <f>InputData[[#This Row],[Vol OB]]*InputData[[#This Row],[Distance]]</f>
        <v>0</v>
      </c>
      <c r="CT18" s="195"/>
      <c r="CU18" s="191" t="s">
        <v>1043</v>
      </c>
      <c r="CV18" s="12" t="s">
        <v>1283</v>
      </c>
      <c r="CW18" s="192" t="s">
        <v>340</v>
      </c>
      <c r="CX18" s="170" t="s">
        <v>546</v>
      </c>
      <c r="CY18" s="182">
        <v>3</v>
      </c>
      <c r="CZ18" s="192"/>
      <c r="DA18" s="189">
        <f>IFERROR(SUMIF(API_CNUnit[text],InputData[[#This Row],[Code Number]],API_CNUnit[Capacity])*InputData[[#This Row],[Rit.Co.V]],0)</f>
        <v>75</v>
      </c>
      <c r="DB18" s="191">
        <v>300</v>
      </c>
      <c r="DC18" s="189">
        <f>+IFERROR((60/InputData[[#This Row],[Coal Activity]])*(InputData[[#This Row],[Ton.Co.V]]),0)</f>
        <v>0</v>
      </c>
      <c r="DD18" s="189">
        <f>+InputData[[#This Row],[Ton.Co.V]]*InputData[[#This Row],[Dist.Co.V]]</f>
        <v>22500</v>
      </c>
      <c r="DE18" s="189">
        <f>IFERROR(InputData[[#This Row],[Ton.Co.V]]/1.3,0)</f>
        <v>57.692307692307693</v>
      </c>
      <c r="DF18" s="195"/>
      <c r="DG18" s="191"/>
      <c r="DH18" s="191"/>
      <c r="DI18" s="191"/>
      <c r="DJ18" s="191"/>
      <c r="DK18" s="189"/>
      <c r="DL18" s="191"/>
      <c r="DM18" s="191"/>
      <c r="DN18" s="191"/>
      <c r="DO18" s="191"/>
      <c r="DP18" s="191"/>
      <c r="DQ18" s="191"/>
      <c r="DR18" s="191"/>
      <c r="DS18" s="191"/>
      <c r="DT18" s="191"/>
      <c r="DU18" s="191"/>
      <c r="DV18" s="191"/>
      <c r="DW18" s="191"/>
      <c r="DX18" s="191"/>
      <c r="DY18" s="191"/>
      <c r="DZ18" s="191"/>
      <c r="EA18" s="191"/>
      <c r="EB18" s="191"/>
      <c r="EC18" s="191"/>
      <c r="ED18" s="195"/>
      <c r="EE18" s="196"/>
      <c r="EF18" s="195"/>
    </row>
    <row r="19" spans="3:136" x14ac:dyDescent="0.15">
      <c r="C19" s="183" t="str">
        <f>IFERROR(VLOOKUP(TEXT(InputData[[#This Row],[Date]],"yyyy-mm"),API_AccountingPeriod[text]:API_AccountingPeriod[Month],2,0),"Please Input Accounting Period")</f>
        <v>August 2021</v>
      </c>
      <c r="D19" s="184" t="str">
        <f>"Week_" &amp;WEEKNUM(InputData[[#This Row],[Date]])</f>
        <v>Week_32</v>
      </c>
      <c r="E19" s="185">
        <v>44410</v>
      </c>
      <c r="F19" s="186" t="s">
        <v>399</v>
      </c>
      <c r="G19" s="187" t="str">
        <f>IFERROR(VLOOKUP(InputData[[#This Row],[Code Number]],API_CNUnit[text]:API_CNUnit[type],3,0),0)</f>
        <v>DUMP TRUCK 60T</v>
      </c>
      <c r="H19" s="3" t="s">
        <v>209</v>
      </c>
      <c r="I19" s="4" t="s">
        <v>514</v>
      </c>
      <c r="J19" s="188" t="str">
        <f>IFERROR(VLOOKUP(InputData[[#This Row],[Code]],Classhours[[Column1]:[Code]],2,0),"")</f>
        <v>10:00-11:00</v>
      </c>
      <c r="K19" s="189">
        <f>+InputData[[#This Row],[OB Activity]]</f>
        <v>0</v>
      </c>
      <c r="L19" s="189">
        <f>+InputData[[#This Row],[Coal Activity]]</f>
        <v>60</v>
      </c>
      <c r="M19" s="189">
        <f>SUM(InputData[[#This Row],[Travel Unit (Exca)]:[General Support]])</f>
        <v>0</v>
      </c>
      <c r="N19" s="189">
        <f>SUM(InputData[[#This Row],[P2H]:[LAINNYA]])</f>
        <v>0</v>
      </c>
      <c r="O19" s="189">
        <f>SUM(InputData[[#This Row],[HUJAN]:[PROBLEM COSTUMER]])</f>
        <v>0</v>
      </c>
      <c r="P19" s="189">
        <f>SUM(InputData[[#This Row],[SCHEDULE SERVICE]:[ACCIDENT BREAKDOWN]])</f>
        <v>0</v>
      </c>
      <c r="Q19" s="189">
        <f>IF(InputData[[#This Row],[Code]]="",720-SUM(InputData[[#This Row],[OB]:[BD]]),60-SUM(InputData[[#This Row],[OB]:[BD]]))</f>
        <v>0</v>
      </c>
      <c r="R19" s="190"/>
      <c r="S19" s="189">
        <f>+InputData[[#This Row],[Vol OB]]</f>
        <v>0</v>
      </c>
      <c r="T19" s="189">
        <f>+InputData[[#This Row],[Distance]]</f>
        <v>0</v>
      </c>
      <c r="U19" s="190"/>
      <c r="V19" s="189">
        <f>+InputData[[#This Row],[Ton.Co.V]]</f>
        <v>250</v>
      </c>
      <c r="W19" s="189">
        <f>+InputData[[#This Row],[Distance]]</f>
        <v>0</v>
      </c>
      <c r="X19" s="190"/>
      <c r="Y19" s="189">
        <f>+SUM(InputData[[#This Row],[HARD DIGGING ]:[DOUBLE BENCH ]])</f>
        <v>0</v>
      </c>
      <c r="Z19" s="189">
        <f>SUM(InputData[[#This Row],[FATIGUE CHECK ]:[DAMAGED ROAD ]])</f>
        <v>0</v>
      </c>
      <c r="AA19" s="189">
        <f>SUM(InputData[[#This Row],[NARROW ACCESS ]:[WAITING SUPPORT DISPOSAL ]])</f>
        <v>0</v>
      </c>
      <c r="AB19" s="190"/>
      <c r="AC19" s="10" t="s">
        <v>1004</v>
      </c>
      <c r="AD19" s="189" t="str">
        <f>IFERROR(_xlfn.XLOOKUP(InputData[[#This Row],[NIK]],API_OperatorNIK[NIK+Name],API_OperatorNIK[employee_name]),"")</f>
        <v>Andi Amiluddin</v>
      </c>
      <c r="AE19" s="10">
        <v>1</v>
      </c>
      <c r="AF19" s="10">
        <v>20</v>
      </c>
      <c r="AG19" s="114">
        <f>+InputData[[#This Row],[HMSP]]-InputData[[#This Row],[HMST]]</f>
        <v>19</v>
      </c>
      <c r="AH19" s="114">
        <f>+InputData[[#This Row],[D.HM]]*60</f>
        <v>1140</v>
      </c>
      <c r="AI19" s="10" t="s">
        <v>1296</v>
      </c>
      <c r="AJ19" s="189" t="str">
        <f>IFERROR(_xlfn.XLOOKUP(InputData[[#This Row],[nikpengawas]],API_SupervisorNIK[NIK+Name],API_SupervisorNIK[employee_name]),"")</f>
        <v>Lukman</v>
      </c>
      <c r="AK19" s="170"/>
      <c r="AL19" s="191"/>
      <c r="AM19" s="191">
        <v>60</v>
      </c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  <c r="BK19" s="191"/>
      <c r="BL19" s="191"/>
      <c r="BM19" s="191"/>
      <c r="BN19" s="191"/>
      <c r="BO19" s="191"/>
      <c r="BP19" s="191"/>
      <c r="BQ19" s="191"/>
      <c r="BR19" s="191"/>
      <c r="BS19" s="191"/>
      <c r="BT19" s="191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70"/>
      <c r="CI19" s="192"/>
      <c r="CJ19" s="192"/>
      <c r="CK19" s="192"/>
      <c r="CL19" s="193"/>
      <c r="CM19" s="182"/>
      <c r="CN19" s="191"/>
      <c r="CO19" s="189">
        <f>SUMIF(API_CNUnit[text],InputData[[#This Row],[Code Number]],API_CNUnit[Capacity])*InputData[[#This Row],[Rit OB]]</f>
        <v>0</v>
      </c>
      <c r="CP19" s="189">
        <f>SUMIF(API_CNUnit[text],InputData[[#This Row],[Code Number]],API_CNUnit[Capacity])*InputData[[#This Row],[Rit Rehandling]]</f>
        <v>0</v>
      </c>
      <c r="CQ19" s="191"/>
      <c r="CR19" s="194">
        <f>IFERROR(InputData[[#This Row],[Vol OB]]/(InputData[[#This Row],[OB]]/60),0)</f>
        <v>0</v>
      </c>
      <c r="CS19" s="189">
        <f>InputData[[#This Row],[Vol OB]]*InputData[[#This Row],[Distance]]</f>
        <v>0</v>
      </c>
      <c r="CT19" s="195"/>
      <c r="CU19" s="191" t="s">
        <v>1043</v>
      </c>
      <c r="CV19" s="191" t="s">
        <v>1283</v>
      </c>
      <c r="CW19" s="192" t="s">
        <v>287</v>
      </c>
      <c r="CX19" s="170" t="s">
        <v>546</v>
      </c>
      <c r="CY19" s="182">
        <v>10</v>
      </c>
      <c r="CZ19" s="192"/>
      <c r="DA19" s="189">
        <f>IFERROR(SUMIF(API_CNUnit[text],InputData[[#This Row],[Code Number]],API_CNUnit[Capacity])*InputData[[#This Row],[Rit.Co.V]],0)</f>
        <v>250</v>
      </c>
      <c r="DB19" s="191">
        <v>300</v>
      </c>
      <c r="DC19" s="189">
        <f>+IFERROR((60/InputData[[#This Row],[Coal Activity]])*(InputData[[#This Row],[Ton.Co.V]]),0)</f>
        <v>250</v>
      </c>
      <c r="DD19" s="189">
        <f>+InputData[[#This Row],[Ton.Co.V]]*InputData[[#This Row],[Dist.Co.V]]</f>
        <v>75000</v>
      </c>
      <c r="DE19" s="189">
        <f>IFERROR(InputData[[#This Row],[Ton.Co.V]]/1.3,0)</f>
        <v>192.30769230769229</v>
      </c>
      <c r="DF19" s="195"/>
      <c r="DG19" s="191"/>
      <c r="DH19" s="191"/>
      <c r="DI19" s="191"/>
      <c r="DJ19" s="191"/>
      <c r="DK19" s="189"/>
      <c r="DL19" s="191"/>
      <c r="DM19" s="191"/>
      <c r="DN19" s="191"/>
      <c r="DO19" s="191"/>
      <c r="DP19" s="191"/>
      <c r="DQ19" s="191"/>
      <c r="DR19" s="191"/>
      <c r="DS19" s="191"/>
      <c r="DT19" s="191"/>
      <c r="DU19" s="191"/>
      <c r="DV19" s="191"/>
      <c r="DW19" s="191"/>
      <c r="DX19" s="191"/>
      <c r="DY19" s="191"/>
      <c r="DZ19" s="191"/>
      <c r="EA19" s="191"/>
      <c r="EB19" s="191"/>
      <c r="EC19" s="191"/>
      <c r="ED19" s="195"/>
      <c r="EE19" s="196"/>
      <c r="EF19" s="195"/>
    </row>
    <row r="20" spans="3:136" x14ac:dyDescent="0.15">
      <c r="C20" s="183" t="str">
        <f>IFERROR(VLOOKUP(TEXT(InputData[[#This Row],[Date]],"yyyy-mm"),API_AccountingPeriod[text]:API_AccountingPeriod[Month],2,0),"Please Input Accounting Period")</f>
        <v>August 2021</v>
      </c>
      <c r="D20" s="184" t="str">
        <f>"Week_" &amp;WEEKNUM(InputData[[#This Row],[Date]])</f>
        <v>Week_32</v>
      </c>
      <c r="E20" s="185">
        <v>44410</v>
      </c>
      <c r="F20" s="153" t="s">
        <v>399</v>
      </c>
      <c r="G20" s="187" t="str">
        <f>IFERROR(VLOOKUP(InputData[[#This Row],[Code Number]],API_CNUnit[text]:API_CNUnit[type],3,0),0)</f>
        <v>DUMP TRUCK 60T</v>
      </c>
      <c r="H20" s="3" t="s">
        <v>209</v>
      </c>
      <c r="I20" s="4" t="s">
        <v>514</v>
      </c>
      <c r="J20" s="188" t="str">
        <f>IFERROR(VLOOKUP(InputData[[#This Row],[Code]],Classhours[[Column1]:[Code]],2,0),"")</f>
        <v>10:00-11:00</v>
      </c>
      <c r="K20" s="189">
        <f>+InputData[[#This Row],[OB Activity]]</f>
        <v>0</v>
      </c>
      <c r="L20" s="189">
        <f>+InputData[[#This Row],[Coal Activity]]</f>
        <v>0</v>
      </c>
      <c r="M20" s="189">
        <f>SUM(InputData[[#This Row],[Travel Unit (Exca)]:[General Support]])</f>
        <v>0</v>
      </c>
      <c r="N20" s="189">
        <f>SUM(InputData[[#This Row],[P2H]:[LAINNYA]])</f>
        <v>0</v>
      </c>
      <c r="O20" s="189">
        <f>SUM(InputData[[#This Row],[HUJAN]:[PROBLEM COSTUMER]])</f>
        <v>0</v>
      </c>
      <c r="P20" s="189">
        <f>SUM(InputData[[#This Row],[SCHEDULE SERVICE]:[ACCIDENT BREAKDOWN]])</f>
        <v>0</v>
      </c>
      <c r="Q20" s="189">
        <f>IF(InputData[[#This Row],[Code]]="",720-SUM(InputData[[#This Row],[OB]:[BD]]),60-SUM(InputData[[#This Row],[OB]:[BD]]))</f>
        <v>60</v>
      </c>
      <c r="R20" s="190"/>
      <c r="S20" s="189">
        <f>+InputData[[#This Row],[Vol OB]]</f>
        <v>0</v>
      </c>
      <c r="T20" s="189">
        <f>+InputData[[#This Row],[Distance]]</f>
        <v>0</v>
      </c>
      <c r="U20" s="190"/>
      <c r="V20" s="189">
        <f>+InputData[[#This Row],[Ton.Co.V]]</f>
        <v>50</v>
      </c>
      <c r="W20" s="189">
        <f>+InputData[[#This Row],[Distance]]</f>
        <v>0</v>
      </c>
      <c r="X20" s="190"/>
      <c r="Y20" s="189">
        <f>+SUM(InputData[[#This Row],[HARD DIGGING ]:[DOUBLE BENCH ]])</f>
        <v>0</v>
      </c>
      <c r="Z20" s="189">
        <f>SUM(InputData[[#This Row],[FATIGUE CHECK ]:[DAMAGED ROAD ]])</f>
        <v>0</v>
      </c>
      <c r="AA20" s="189">
        <f>SUM(InputData[[#This Row],[NARROW ACCESS ]:[WAITING SUPPORT DISPOSAL ]])</f>
        <v>0</v>
      </c>
      <c r="AB20" s="190"/>
      <c r="AC20" s="10" t="s">
        <v>1004</v>
      </c>
      <c r="AD20" s="189" t="str">
        <f>IFERROR(_xlfn.XLOOKUP(InputData[[#This Row],[NIK]],API_OperatorNIK[NIK+Name],API_OperatorNIK[employee_name]),"")</f>
        <v>Andi Amiluddin</v>
      </c>
      <c r="AE20" s="10">
        <v>1</v>
      </c>
      <c r="AF20" s="10">
        <v>20</v>
      </c>
      <c r="AG20" s="114">
        <f>+InputData[[#This Row],[HMSP]]-InputData[[#This Row],[HMST]]</f>
        <v>19</v>
      </c>
      <c r="AH20" s="114">
        <f>+InputData[[#This Row],[D.HM]]*60</f>
        <v>1140</v>
      </c>
      <c r="AI20" s="10" t="s">
        <v>1296</v>
      </c>
      <c r="AJ20" s="189" t="str">
        <f>IFERROR(_xlfn.XLOOKUP(InputData[[#This Row],[nikpengawas]],API_SupervisorNIK[NIK+Name],API_SupervisorNIK[employee_name]),"")</f>
        <v>Lukman</v>
      </c>
      <c r="AK20" s="170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  <c r="BK20" s="191"/>
      <c r="BL20" s="191"/>
      <c r="BM20" s="191"/>
      <c r="BN20" s="191"/>
      <c r="BO20" s="191"/>
      <c r="BP20" s="191"/>
      <c r="BQ20" s="191"/>
      <c r="BR20" s="191"/>
      <c r="BS20" s="191"/>
      <c r="BT20" s="191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70"/>
      <c r="CI20" s="147"/>
      <c r="CJ20" s="147"/>
      <c r="CK20" s="192"/>
      <c r="CL20" s="193"/>
      <c r="CM20" s="182"/>
      <c r="CN20" s="191"/>
      <c r="CO20" s="189">
        <f>SUMIF(API_CNUnit[text],InputData[[#This Row],[Code Number]],API_CNUnit[Capacity])*InputData[[#This Row],[Rit OB]]</f>
        <v>0</v>
      </c>
      <c r="CP20" s="189">
        <f>SUMIF(API_CNUnit[text],InputData[[#This Row],[Code Number]],API_CNUnit[Capacity])*InputData[[#This Row],[Rit Rehandling]]</f>
        <v>0</v>
      </c>
      <c r="CQ20" s="191"/>
      <c r="CR20" s="194">
        <f>IFERROR(InputData[[#This Row],[Vol OB]]/(InputData[[#This Row],[OB]]/60),0)</f>
        <v>0</v>
      </c>
      <c r="CS20" s="189">
        <f>InputData[[#This Row],[Vol OB]]*InputData[[#This Row],[Distance]]</f>
        <v>0</v>
      </c>
      <c r="CT20" s="195"/>
      <c r="CU20" s="191" t="s">
        <v>1043</v>
      </c>
      <c r="CV20" s="12" t="s">
        <v>1283</v>
      </c>
      <c r="CW20" s="192" t="s">
        <v>340</v>
      </c>
      <c r="CX20" s="170" t="s">
        <v>546</v>
      </c>
      <c r="CY20" s="182">
        <v>2</v>
      </c>
      <c r="CZ20" s="192"/>
      <c r="DA20" s="189">
        <f>IFERROR(SUMIF(API_CNUnit[text],InputData[[#This Row],[Code Number]],API_CNUnit[Capacity])*InputData[[#This Row],[Rit.Co.V]],0)</f>
        <v>50</v>
      </c>
      <c r="DB20" s="191">
        <v>300</v>
      </c>
      <c r="DC20" s="189">
        <f>+IFERROR((60/InputData[[#This Row],[Coal Activity]])*(InputData[[#This Row],[Ton.Co.V]]),0)</f>
        <v>0</v>
      </c>
      <c r="DD20" s="189">
        <f>+InputData[[#This Row],[Ton.Co.V]]*InputData[[#This Row],[Dist.Co.V]]</f>
        <v>15000</v>
      </c>
      <c r="DE20" s="189">
        <f>IFERROR(InputData[[#This Row],[Ton.Co.V]]/1.3,0)</f>
        <v>38.46153846153846</v>
      </c>
      <c r="DF20" s="195"/>
      <c r="DG20" s="191"/>
      <c r="DH20" s="191"/>
      <c r="DI20" s="191"/>
      <c r="DJ20" s="191"/>
      <c r="DK20" s="189"/>
      <c r="DL20" s="191"/>
      <c r="DM20" s="191"/>
      <c r="DN20" s="191"/>
      <c r="DO20" s="191"/>
      <c r="DP20" s="191"/>
      <c r="DQ20" s="191"/>
      <c r="DR20" s="191"/>
      <c r="DS20" s="191"/>
      <c r="DT20" s="191"/>
      <c r="DU20" s="191"/>
      <c r="DV20" s="191"/>
      <c r="DW20" s="191"/>
      <c r="DX20" s="191"/>
      <c r="DY20" s="191"/>
      <c r="DZ20" s="191"/>
      <c r="EA20" s="191"/>
      <c r="EB20" s="191"/>
      <c r="EC20" s="191"/>
      <c r="ED20" s="195"/>
      <c r="EE20" s="196"/>
      <c r="EF20" s="195"/>
    </row>
    <row r="21" spans="3:136" x14ac:dyDescent="0.15">
      <c r="C21" s="183" t="str">
        <f>IFERROR(VLOOKUP(TEXT(InputData[[#This Row],[Date]],"yyyy-mm"),API_AccountingPeriod[text]:API_AccountingPeriod[Month],2,0),"Please Input Accounting Period")</f>
        <v>August 2021</v>
      </c>
      <c r="D21" s="184" t="str">
        <f>"Week_" &amp;WEEKNUM(InputData[[#This Row],[Date]])</f>
        <v>Week_32</v>
      </c>
      <c r="E21" s="185">
        <v>44410</v>
      </c>
      <c r="F21" s="186" t="s">
        <v>399</v>
      </c>
      <c r="G21" s="187" t="str">
        <f>IFERROR(VLOOKUP(InputData[[#This Row],[Code Number]],API_CNUnit[text]:API_CNUnit[type],3,0),0)</f>
        <v>DUMP TRUCK 60T</v>
      </c>
      <c r="H21" s="3" t="s">
        <v>209</v>
      </c>
      <c r="I21" s="4" t="s">
        <v>515</v>
      </c>
      <c r="J21" s="188" t="str">
        <f>IFERROR(VLOOKUP(InputData[[#This Row],[Code]],Classhours[[Column1]:[Code]],2,0),"")</f>
        <v>11:00-12:00</v>
      </c>
      <c r="K21" s="189">
        <f>+InputData[[#This Row],[OB Activity]]</f>
        <v>0</v>
      </c>
      <c r="L21" s="189">
        <f>+InputData[[#This Row],[Coal Activity]]</f>
        <v>60</v>
      </c>
      <c r="M21" s="189">
        <f>SUM(InputData[[#This Row],[Travel Unit (Exca)]:[General Support]])</f>
        <v>0</v>
      </c>
      <c r="N21" s="189">
        <f>SUM(InputData[[#This Row],[P2H]:[LAINNYA]])</f>
        <v>0</v>
      </c>
      <c r="O21" s="189">
        <f>SUM(InputData[[#This Row],[HUJAN]:[PROBLEM COSTUMER]])</f>
        <v>0</v>
      </c>
      <c r="P21" s="189">
        <f>SUM(InputData[[#This Row],[SCHEDULE SERVICE]:[ACCIDENT BREAKDOWN]])</f>
        <v>0</v>
      </c>
      <c r="Q21" s="189">
        <f>IF(InputData[[#This Row],[Code]]="",720-SUM(InputData[[#This Row],[OB]:[BD]]),60-SUM(InputData[[#This Row],[OB]:[BD]]))</f>
        <v>0</v>
      </c>
      <c r="R21" s="190"/>
      <c r="S21" s="189">
        <f>+InputData[[#This Row],[Vol OB]]</f>
        <v>0</v>
      </c>
      <c r="T21" s="189">
        <f>+InputData[[#This Row],[Distance]]</f>
        <v>0</v>
      </c>
      <c r="U21" s="190"/>
      <c r="V21" s="189">
        <f>+InputData[[#This Row],[Ton.Co.V]]</f>
        <v>150</v>
      </c>
      <c r="W21" s="189">
        <f>+InputData[[#This Row],[Distance]]</f>
        <v>0</v>
      </c>
      <c r="X21" s="190"/>
      <c r="Y21" s="189">
        <f>+SUM(InputData[[#This Row],[HARD DIGGING ]:[DOUBLE BENCH ]])</f>
        <v>0</v>
      </c>
      <c r="Z21" s="189">
        <f>SUM(InputData[[#This Row],[FATIGUE CHECK ]:[DAMAGED ROAD ]])</f>
        <v>0</v>
      </c>
      <c r="AA21" s="189">
        <f>SUM(InputData[[#This Row],[NARROW ACCESS ]:[WAITING SUPPORT DISPOSAL ]])</f>
        <v>0</v>
      </c>
      <c r="AB21" s="190"/>
      <c r="AC21" s="10" t="s">
        <v>1004</v>
      </c>
      <c r="AD21" s="189" t="str">
        <f>IFERROR(_xlfn.XLOOKUP(InputData[[#This Row],[NIK]],API_OperatorNIK[NIK+Name],API_OperatorNIK[employee_name]),"")</f>
        <v>Andi Amiluddin</v>
      </c>
      <c r="AE21" s="10">
        <v>1</v>
      </c>
      <c r="AF21" s="10">
        <v>20</v>
      </c>
      <c r="AG21" s="114">
        <f>+InputData[[#This Row],[HMSP]]-InputData[[#This Row],[HMST]]</f>
        <v>19</v>
      </c>
      <c r="AH21" s="114">
        <f>+InputData[[#This Row],[D.HM]]*60</f>
        <v>1140</v>
      </c>
      <c r="AI21" s="10" t="s">
        <v>1296</v>
      </c>
      <c r="AJ21" s="189" t="str">
        <f>IFERROR(_xlfn.XLOOKUP(InputData[[#This Row],[nikpengawas]],API_SupervisorNIK[NIK+Name],API_SupervisorNIK[employee_name]),"")</f>
        <v>Lukman</v>
      </c>
      <c r="AK21" s="170"/>
      <c r="AL21" s="191"/>
      <c r="AM21" s="191">
        <v>60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/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70"/>
      <c r="CI21" s="192"/>
      <c r="CJ21" s="192"/>
      <c r="CK21" s="192"/>
      <c r="CL21" s="193"/>
      <c r="CM21" s="182"/>
      <c r="CN21" s="191"/>
      <c r="CO21" s="189">
        <f>SUMIF(API_CNUnit[text],InputData[[#This Row],[Code Number]],API_CNUnit[Capacity])*InputData[[#This Row],[Rit OB]]</f>
        <v>0</v>
      </c>
      <c r="CP21" s="189">
        <f>SUMIF(API_CNUnit[text],InputData[[#This Row],[Code Number]],API_CNUnit[Capacity])*InputData[[#This Row],[Rit Rehandling]]</f>
        <v>0</v>
      </c>
      <c r="CQ21" s="191"/>
      <c r="CR21" s="194">
        <f>IFERROR(InputData[[#This Row],[Vol OB]]/(InputData[[#This Row],[OB]]/60),0)</f>
        <v>0</v>
      </c>
      <c r="CS21" s="189">
        <f>InputData[[#This Row],[Vol OB]]*InputData[[#This Row],[Distance]]</f>
        <v>0</v>
      </c>
      <c r="CT21" s="195"/>
      <c r="CU21" s="191" t="s">
        <v>1043</v>
      </c>
      <c r="CV21" s="191" t="s">
        <v>1283</v>
      </c>
      <c r="CW21" s="192" t="s">
        <v>287</v>
      </c>
      <c r="CX21" s="170" t="s">
        <v>546</v>
      </c>
      <c r="CY21" s="182">
        <v>6</v>
      </c>
      <c r="CZ21" s="192"/>
      <c r="DA21" s="189">
        <f>IFERROR(SUMIF(API_CNUnit[text],InputData[[#This Row],[Code Number]],API_CNUnit[Capacity])*InputData[[#This Row],[Rit.Co.V]],0)</f>
        <v>150</v>
      </c>
      <c r="DB21" s="191">
        <v>300</v>
      </c>
      <c r="DC21" s="189">
        <f>+IFERROR((60/InputData[[#This Row],[Coal Activity]])*(InputData[[#This Row],[Ton.Co.V]]),0)</f>
        <v>150</v>
      </c>
      <c r="DD21" s="189">
        <f>+InputData[[#This Row],[Ton.Co.V]]*InputData[[#This Row],[Dist.Co.V]]</f>
        <v>45000</v>
      </c>
      <c r="DE21" s="189">
        <f>IFERROR(InputData[[#This Row],[Ton.Co.V]]/1.3,0)</f>
        <v>115.38461538461539</v>
      </c>
      <c r="DF21" s="195"/>
      <c r="DG21" s="191"/>
      <c r="DH21" s="191"/>
      <c r="DI21" s="191"/>
      <c r="DJ21" s="191"/>
      <c r="DK21" s="189"/>
      <c r="DL21" s="191"/>
      <c r="DM21" s="191"/>
      <c r="DN21" s="191"/>
      <c r="DO21" s="191"/>
      <c r="DP21" s="191"/>
      <c r="DQ21" s="191"/>
      <c r="DR21" s="191"/>
      <c r="DS21" s="191"/>
      <c r="DT21" s="191"/>
      <c r="DU21" s="191"/>
      <c r="DV21" s="191"/>
      <c r="DW21" s="191"/>
      <c r="DX21" s="191"/>
      <c r="DY21" s="191"/>
      <c r="DZ21" s="191"/>
      <c r="EA21" s="191"/>
      <c r="EB21" s="191"/>
      <c r="EC21" s="191"/>
      <c r="ED21" s="195"/>
      <c r="EE21" s="196"/>
      <c r="EF21" s="195"/>
    </row>
    <row r="22" spans="3:136" x14ac:dyDescent="0.15">
      <c r="C22" s="183" t="str">
        <f>IFERROR(VLOOKUP(TEXT(InputData[[#This Row],[Date]],"yyyy-mm"),API_AccountingPeriod[text]:API_AccountingPeriod[Month],2,0),"Please Input Accounting Period")</f>
        <v>August 2021</v>
      </c>
      <c r="D22" s="184" t="str">
        <f>"Week_" &amp;WEEKNUM(InputData[[#This Row],[Date]])</f>
        <v>Week_32</v>
      </c>
      <c r="E22" s="185">
        <v>44410</v>
      </c>
      <c r="F22" s="153" t="s">
        <v>399</v>
      </c>
      <c r="G22" s="187" t="str">
        <f>IFERROR(VLOOKUP(InputData[[#This Row],[Code Number]],API_CNUnit[text]:API_CNUnit[type],3,0),0)</f>
        <v>DUMP TRUCK 60T</v>
      </c>
      <c r="H22" s="3" t="s">
        <v>209</v>
      </c>
      <c r="I22" s="4" t="s">
        <v>515</v>
      </c>
      <c r="J22" s="188" t="str">
        <f>IFERROR(VLOOKUP(InputData[[#This Row],[Code]],Classhours[[Column1]:[Code]],2,0),"")</f>
        <v>11:00-12:00</v>
      </c>
      <c r="K22" s="189">
        <f>+InputData[[#This Row],[OB Activity]]</f>
        <v>0</v>
      </c>
      <c r="L22" s="189">
        <f>+InputData[[#This Row],[Coal Activity]]</f>
        <v>0</v>
      </c>
      <c r="M22" s="189">
        <f>SUM(InputData[[#This Row],[Travel Unit (Exca)]:[General Support]])</f>
        <v>0</v>
      </c>
      <c r="N22" s="189">
        <f>SUM(InputData[[#This Row],[P2H]:[LAINNYA]])</f>
        <v>0</v>
      </c>
      <c r="O22" s="189">
        <f>SUM(InputData[[#This Row],[HUJAN]:[PROBLEM COSTUMER]])</f>
        <v>0</v>
      </c>
      <c r="P22" s="189">
        <f>SUM(InputData[[#This Row],[SCHEDULE SERVICE]:[ACCIDENT BREAKDOWN]])</f>
        <v>0</v>
      </c>
      <c r="Q22" s="189">
        <f>IF(InputData[[#This Row],[Code]]="",720-SUM(InputData[[#This Row],[OB]:[BD]]),60-SUM(InputData[[#This Row],[OB]:[BD]]))</f>
        <v>60</v>
      </c>
      <c r="R22" s="190"/>
      <c r="S22" s="189">
        <f>+InputData[[#This Row],[Vol OB]]</f>
        <v>0</v>
      </c>
      <c r="T22" s="189">
        <f>+InputData[[#This Row],[Distance]]</f>
        <v>0</v>
      </c>
      <c r="U22" s="190"/>
      <c r="V22" s="189">
        <f>+InputData[[#This Row],[Ton.Co.V]]</f>
        <v>100</v>
      </c>
      <c r="W22" s="189">
        <f>+InputData[[#This Row],[Distance]]</f>
        <v>0</v>
      </c>
      <c r="X22" s="190"/>
      <c r="Y22" s="189">
        <f>+SUM(InputData[[#This Row],[HARD DIGGING ]:[DOUBLE BENCH ]])</f>
        <v>0</v>
      </c>
      <c r="Z22" s="189">
        <f>SUM(InputData[[#This Row],[FATIGUE CHECK ]:[DAMAGED ROAD ]])</f>
        <v>0</v>
      </c>
      <c r="AA22" s="189">
        <f>SUM(InputData[[#This Row],[NARROW ACCESS ]:[WAITING SUPPORT DISPOSAL ]])</f>
        <v>0</v>
      </c>
      <c r="AB22" s="190"/>
      <c r="AC22" s="10" t="s">
        <v>1004</v>
      </c>
      <c r="AD22" s="189" t="str">
        <f>IFERROR(_xlfn.XLOOKUP(InputData[[#This Row],[NIK]],API_OperatorNIK[NIK+Name],API_OperatorNIK[employee_name]),"")</f>
        <v>Andi Amiluddin</v>
      </c>
      <c r="AE22" s="10">
        <v>1</v>
      </c>
      <c r="AF22" s="10">
        <v>20</v>
      </c>
      <c r="AG22" s="114">
        <f>+InputData[[#This Row],[HMSP]]-InputData[[#This Row],[HMST]]</f>
        <v>19</v>
      </c>
      <c r="AH22" s="114">
        <f>+InputData[[#This Row],[D.HM]]*60</f>
        <v>1140</v>
      </c>
      <c r="AI22" s="10" t="s">
        <v>1296</v>
      </c>
      <c r="AJ22" s="189" t="str">
        <f>IFERROR(_xlfn.XLOOKUP(InputData[[#This Row],[nikpengawas]],API_SupervisorNIK[NIK+Name],API_SupervisorNIK[employee_name]),"")</f>
        <v>Lukman</v>
      </c>
      <c r="AK22" s="170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70"/>
      <c r="CI22" s="147"/>
      <c r="CJ22" s="147"/>
      <c r="CK22" s="192"/>
      <c r="CL22" s="193"/>
      <c r="CM22" s="182"/>
      <c r="CN22" s="191"/>
      <c r="CO22" s="189">
        <f>SUMIF(API_CNUnit[text],InputData[[#This Row],[Code Number]],API_CNUnit[Capacity])*InputData[[#This Row],[Rit OB]]</f>
        <v>0</v>
      </c>
      <c r="CP22" s="189">
        <f>SUMIF(API_CNUnit[text],InputData[[#This Row],[Code Number]],API_CNUnit[Capacity])*InputData[[#This Row],[Rit Rehandling]]</f>
        <v>0</v>
      </c>
      <c r="CQ22" s="191"/>
      <c r="CR22" s="194">
        <f>IFERROR(InputData[[#This Row],[Vol OB]]/(InputData[[#This Row],[OB]]/60),0)</f>
        <v>0</v>
      </c>
      <c r="CS22" s="189">
        <f>InputData[[#This Row],[Vol OB]]*InputData[[#This Row],[Distance]]</f>
        <v>0</v>
      </c>
      <c r="CT22" s="195"/>
      <c r="CU22" s="191" t="s">
        <v>1043</v>
      </c>
      <c r="CV22" s="12" t="s">
        <v>1283</v>
      </c>
      <c r="CW22" s="192" t="s">
        <v>340</v>
      </c>
      <c r="CX22" s="170" t="s">
        <v>546</v>
      </c>
      <c r="CY22" s="182">
        <v>4</v>
      </c>
      <c r="CZ22" s="192"/>
      <c r="DA22" s="189">
        <f>IFERROR(SUMIF(API_CNUnit[text],InputData[[#This Row],[Code Number]],API_CNUnit[Capacity])*InputData[[#This Row],[Rit.Co.V]],0)</f>
        <v>100</v>
      </c>
      <c r="DB22" s="191">
        <v>300</v>
      </c>
      <c r="DC22" s="189">
        <f>+IFERROR((60/InputData[[#This Row],[Coal Activity]])*(InputData[[#This Row],[Ton.Co.V]]),0)</f>
        <v>0</v>
      </c>
      <c r="DD22" s="189">
        <f>+InputData[[#This Row],[Ton.Co.V]]*InputData[[#This Row],[Dist.Co.V]]</f>
        <v>30000</v>
      </c>
      <c r="DE22" s="189">
        <f>IFERROR(InputData[[#This Row],[Ton.Co.V]]/1.3,0)</f>
        <v>76.92307692307692</v>
      </c>
      <c r="DF22" s="195"/>
      <c r="DG22" s="191"/>
      <c r="DH22" s="191"/>
      <c r="DI22" s="191"/>
      <c r="DJ22" s="191"/>
      <c r="DK22" s="189"/>
      <c r="DL22" s="191"/>
      <c r="DM22" s="191"/>
      <c r="DN22" s="191"/>
      <c r="DO22" s="191"/>
      <c r="DP22" s="191"/>
      <c r="DQ22" s="191"/>
      <c r="DR22" s="191"/>
      <c r="DS22" s="191"/>
      <c r="DT22" s="191"/>
      <c r="DU22" s="191"/>
      <c r="DV22" s="191"/>
      <c r="DW22" s="191"/>
      <c r="DX22" s="191"/>
      <c r="DY22" s="191"/>
      <c r="DZ22" s="191"/>
      <c r="EA22" s="191"/>
      <c r="EB22" s="191"/>
      <c r="EC22" s="191"/>
      <c r="ED22" s="195"/>
      <c r="EE22" s="196"/>
      <c r="EF22" s="195"/>
    </row>
    <row r="23" spans="3:136" x14ac:dyDescent="0.15">
      <c r="C23" s="183" t="str">
        <f>IFERROR(VLOOKUP(TEXT(InputData[[#This Row],[Date]],"yyyy-mm"),API_AccountingPeriod[text]:API_AccountingPeriod[Month],2,0),"Please Input Accounting Period")</f>
        <v>August 2021</v>
      </c>
      <c r="D23" s="184" t="str">
        <f>"Week_" &amp;WEEKNUM(InputData[[#This Row],[Date]])</f>
        <v>Week_32</v>
      </c>
      <c r="E23" s="185">
        <v>44410</v>
      </c>
      <c r="F23" s="186" t="s">
        <v>399</v>
      </c>
      <c r="G23" s="187" t="str">
        <f>IFERROR(VLOOKUP(InputData[[#This Row],[Code Number]],API_CNUnit[text]:API_CNUnit[type],3,0),0)</f>
        <v>DUMP TRUCK 60T</v>
      </c>
      <c r="H23" s="3" t="s">
        <v>209</v>
      </c>
      <c r="I23" s="4" t="s">
        <v>516</v>
      </c>
      <c r="J23" s="188" t="str">
        <f>IFERROR(VLOOKUP(InputData[[#This Row],[Code]],Classhours[[Column1]:[Code]],2,0),"")</f>
        <v>12:00-13:00</v>
      </c>
      <c r="K23" s="189">
        <f>+InputData[[#This Row],[OB Activity]]</f>
        <v>0</v>
      </c>
      <c r="L23" s="189">
        <f>+InputData[[#This Row],[Coal Activity]]</f>
        <v>0</v>
      </c>
      <c r="M23" s="189">
        <f>SUM(InputData[[#This Row],[Travel Unit (Exca)]:[General Support]])</f>
        <v>0</v>
      </c>
      <c r="N23" s="189">
        <f>SUM(InputData[[#This Row],[P2H]:[LAINNYA]])</f>
        <v>60</v>
      </c>
      <c r="O23" s="189">
        <f>SUM(InputData[[#This Row],[HUJAN]:[PROBLEM COSTUMER]])</f>
        <v>0</v>
      </c>
      <c r="P23" s="189">
        <f>SUM(InputData[[#This Row],[SCHEDULE SERVICE]:[ACCIDENT BREAKDOWN]])</f>
        <v>0</v>
      </c>
      <c r="Q23" s="189">
        <f>IF(InputData[[#This Row],[Code]]="",720-SUM(InputData[[#This Row],[OB]:[BD]]),60-SUM(InputData[[#This Row],[OB]:[BD]]))</f>
        <v>0</v>
      </c>
      <c r="R23" s="190"/>
      <c r="S23" s="189">
        <f>+InputData[[#This Row],[Vol OB]]</f>
        <v>0</v>
      </c>
      <c r="T23" s="189">
        <f>+InputData[[#This Row],[Distance]]</f>
        <v>0</v>
      </c>
      <c r="U23" s="190"/>
      <c r="V23" s="189">
        <f>+InputData[[#This Row],[Ton.Co.V]]</f>
        <v>0</v>
      </c>
      <c r="W23" s="189">
        <f>+InputData[[#This Row],[Distance]]</f>
        <v>0</v>
      </c>
      <c r="X23" s="190"/>
      <c r="Y23" s="189">
        <f>+SUM(InputData[[#This Row],[HARD DIGGING ]:[DOUBLE BENCH ]])</f>
        <v>0</v>
      </c>
      <c r="Z23" s="189">
        <f>SUM(InputData[[#This Row],[FATIGUE CHECK ]:[DAMAGED ROAD ]])</f>
        <v>0</v>
      </c>
      <c r="AA23" s="189">
        <f>SUM(InputData[[#This Row],[NARROW ACCESS ]:[WAITING SUPPORT DISPOSAL ]])</f>
        <v>0</v>
      </c>
      <c r="AB23" s="190"/>
      <c r="AC23" s="10" t="s">
        <v>1004</v>
      </c>
      <c r="AD23" s="189" t="str">
        <f>IFERROR(_xlfn.XLOOKUP(InputData[[#This Row],[NIK]],API_OperatorNIK[NIK+Name],API_OperatorNIK[employee_name]),"")</f>
        <v>Andi Amiluddin</v>
      </c>
      <c r="AE23" s="10">
        <v>1</v>
      </c>
      <c r="AF23" s="10">
        <v>20</v>
      </c>
      <c r="AG23" s="114">
        <f>+InputData[[#This Row],[HMSP]]-InputData[[#This Row],[HMST]]</f>
        <v>19</v>
      </c>
      <c r="AH23" s="114">
        <f>+InputData[[#This Row],[D.HM]]*60</f>
        <v>1140</v>
      </c>
      <c r="AI23" s="10" t="s">
        <v>1296</v>
      </c>
      <c r="AJ23" s="189" t="str">
        <f>IFERROR(_xlfn.XLOOKUP(InputData[[#This Row],[nikpengawas]],API_SupervisorNIK[NIK+Name],API_SupervisorNIK[employee_name]),"")</f>
        <v>Lukman</v>
      </c>
      <c r="AK23" s="170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>
        <v>60</v>
      </c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70"/>
      <c r="CI23" s="192"/>
      <c r="CJ23" s="192"/>
      <c r="CK23" s="192"/>
      <c r="CL23" s="193"/>
      <c r="CM23" s="182"/>
      <c r="CN23" s="191"/>
      <c r="CO23" s="189">
        <f>SUMIF(API_CNUnit[text],InputData[[#This Row],[Code Number]],API_CNUnit[Capacity])*InputData[[#This Row],[Rit OB]]</f>
        <v>0</v>
      </c>
      <c r="CP23" s="189">
        <f>SUMIF(API_CNUnit[text],InputData[[#This Row],[Code Number]],API_CNUnit[Capacity])*InputData[[#This Row],[Rit Rehandling]]</f>
        <v>0</v>
      </c>
      <c r="CQ23" s="191"/>
      <c r="CR23" s="194">
        <f>IFERROR(InputData[[#This Row],[Vol OB]]/(InputData[[#This Row],[OB]]/60),0)</f>
        <v>0</v>
      </c>
      <c r="CS23" s="189">
        <f>InputData[[#This Row],[Vol OB]]*InputData[[#This Row],[Distance]]</f>
        <v>0</v>
      </c>
      <c r="CT23" s="195"/>
      <c r="CU23" s="191" t="s">
        <v>1043</v>
      </c>
      <c r="CV23" s="191" t="s">
        <v>1283</v>
      </c>
      <c r="CW23" s="192"/>
      <c r="CX23" s="170"/>
      <c r="CY23" s="182"/>
      <c r="CZ23" s="192"/>
      <c r="DA23" s="189">
        <f>IFERROR(SUMIF(API_CNUnit[text],InputData[[#This Row],[Code Number]],API_CNUnit[Capacity])*InputData[[#This Row],[Rit.Co.V]],0)</f>
        <v>0</v>
      </c>
      <c r="DB23" s="191"/>
      <c r="DC23" s="189">
        <f>+IFERROR((60/InputData[[#This Row],[Coal Activity]])*(InputData[[#This Row],[Ton.Co.V]]),0)</f>
        <v>0</v>
      </c>
      <c r="DD23" s="189">
        <f>+InputData[[#This Row],[Ton.Co.V]]*InputData[[#This Row],[Dist.Co.V]]</f>
        <v>0</v>
      </c>
      <c r="DE23" s="189">
        <f>IFERROR(InputData[[#This Row],[Ton.Co.V]]/1.3,0)</f>
        <v>0</v>
      </c>
      <c r="DF23" s="195"/>
      <c r="DG23" s="191"/>
      <c r="DH23" s="191"/>
      <c r="DI23" s="191"/>
      <c r="DJ23" s="191"/>
      <c r="DK23" s="189"/>
      <c r="DL23" s="191"/>
      <c r="DM23" s="191"/>
      <c r="DN23" s="191"/>
      <c r="DO23" s="191"/>
      <c r="DP23" s="191"/>
      <c r="DQ23" s="191"/>
      <c r="DR23" s="191"/>
      <c r="DS23" s="191"/>
      <c r="DT23" s="191"/>
      <c r="DU23" s="191"/>
      <c r="DV23" s="191"/>
      <c r="DW23" s="191"/>
      <c r="DX23" s="191"/>
      <c r="DY23" s="191"/>
      <c r="DZ23" s="191"/>
      <c r="EA23" s="191"/>
      <c r="EB23" s="191"/>
      <c r="EC23" s="191"/>
      <c r="ED23" s="195"/>
      <c r="EE23" s="196"/>
      <c r="EF23" s="195"/>
    </row>
    <row r="24" spans="3:136" x14ac:dyDescent="0.15">
      <c r="C24" s="183" t="str">
        <f>IFERROR(VLOOKUP(TEXT(InputData[[#This Row],[Date]],"yyyy-mm"),API_AccountingPeriod[text]:API_AccountingPeriod[Month],2,0),"Please Input Accounting Period")</f>
        <v>August 2021</v>
      </c>
      <c r="D24" s="184" t="str">
        <f>"Week_" &amp;WEEKNUM(InputData[[#This Row],[Date]])</f>
        <v>Week_32</v>
      </c>
      <c r="E24" s="185">
        <v>44410</v>
      </c>
      <c r="F24" s="153" t="s">
        <v>399</v>
      </c>
      <c r="G24" s="187" t="str">
        <f>IFERROR(VLOOKUP(InputData[[#This Row],[Code Number]],API_CNUnit[text]:API_CNUnit[type],3,0),0)</f>
        <v>DUMP TRUCK 60T</v>
      </c>
      <c r="H24" s="3" t="s">
        <v>209</v>
      </c>
      <c r="I24" s="4" t="s">
        <v>517</v>
      </c>
      <c r="J24" s="188" t="str">
        <f>IFERROR(VLOOKUP(InputData[[#This Row],[Code]],Classhours[[Column1]:[Code]],2,0),"")</f>
        <v>13:00-14:00</v>
      </c>
      <c r="K24" s="189">
        <f>+InputData[[#This Row],[OB Activity]]</f>
        <v>0</v>
      </c>
      <c r="L24" s="189">
        <f>+InputData[[#This Row],[Coal Activity]]</f>
        <v>60</v>
      </c>
      <c r="M24" s="189">
        <f>SUM(InputData[[#This Row],[Travel Unit (Exca)]:[General Support]])</f>
        <v>0</v>
      </c>
      <c r="N24" s="189">
        <f>SUM(InputData[[#This Row],[P2H]:[LAINNYA]])</f>
        <v>0</v>
      </c>
      <c r="O24" s="189">
        <f>SUM(InputData[[#This Row],[HUJAN]:[PROBLEM COSTUMER]])</f>
        <v>0</v>
      </c>
      <c r="P24" s="189">
        <f>SUM(InputData[[#This Row],[SCHEDULE SERVICE]:[ACCIDENT BREAKDOWN]])</f>
        <v>0</v>
      </c>
      <c r="Q24" s="189">
        <f>IF(InputData[[#This Row],[Code]]="",720-SUM(InputData[[#This Row],[OB]:[BD]]),60-SUM(InputData[[#This Row],[OB]:[BD]]))</f>
        <v>0</v>
      </c>
      <c r="R24" s="190"/>
      <c r="S24" s="189">
        <f>+InputData[[#This Row],[Vol OB]]</f>
        <v>0</v>
      </c>
      <c r="T24" s="189">
        <f>+InputData[[#This Row],[Distance]]</f>
        <v>0</v>
      </c>
      <c r="U24" s="190"/>
      <c r="V24" s="189">
        <f>+InputData[[#This Row],[Ton.Co.V]]</f>
        <v>250</v>
      </c>
      <c r="W24" s="189">
        <f>+InputData[[#This Row],[Distance]]</f>
        <v>0</v>
      </c>
      <c r="X24" s="190"/>
      <c r="Y24" s="189">
        <f>+SUM(InputData[[#This Row],[HARD DIGGING ]:[DOUBLE BENCH ]])</f>
        <v>0</v>
      </c>
      <c r="Z24" s="189">
        <f>SUM(InputData[[#This Row],[FATIGUE CHECK ]:[DAMAGED ROAD ]])</f>
        <v>0</v>
      </c>
      <c r="AA24" s="189">
        <f>SUM(InputData[[#This Row],[NARROW ACCESS ]:[WAITING SUPPORT DISPOSAL ]])</f>
        <v>0</v>
      </c>
      <c r="AB24" s="190"/>
      <c r="AC24" s="10" t="s">
        <v>1004</v>
      </c>
      <c r="AD24" s="189" t="str">
        <f>IFERROR(_xlfn.XLOOKUP(InputData[[#This Row],[NIK]],API_OperatorNIK[NIK+Name],API_OperatorNIK[employee_name]),"")</f>
        <v>Andi Amiluddin</v>
      </c>
      <c r="AE24" s="10">
        <v>1</v>
      </c>
      <c r="AF24" s="10">
        <v>20</v>
      </c>
      <c r="AG24" s="114">
        <f>+InputData[[#This Row],[HMSP]]-InputData[[#This Row],[HMST]]</f>
        <v>19</v>
      </c>
      <c r="AH24" s="114">
        <f>+InputData[[#This Row],[D.HM]]*60</f>
        <v>1140</v>
      </c>
      <c r="AI24" s="10" t="s">
        <v>1296</v>
      </c>
      <c r="AJ24" s="189" t="str">
        <f>IFERROR(_xlfn.XLOOKUP(InputData[[#This Row],[nikpengawas]],API_SupervisorNIK[NIK+Name],API_SupervisorNIK[employee_name]),"")</f>
        <v>Lukman</v>
      </c>
      <c r="AK24" s="170"/>
      <c r="AL24" s="191"/>
      <c r="AM24" s="191">
        <v>60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70"/>
      <c r="CI24" s="147"/>
      <c r="CJ24" s="147"/>
      <c r="CK24" s="192"/>
      <c r="CL24" s="193"/>
      <c r="CM24" s="182"/>
      <c r="CN24" s="191"/>
      <c r="CO24" s="189">
        <f>SUMIF(API_CNUnit[text],InputData[[#This Row],[Code Number]],API_CNUnit[Capacity])*InputData[[#This Row],[Rit OB]]</f>
        <v>0</v>
      </c>
      <c r="CP24" s="189">
        <f>SUMIF(API_CNUnit[text],InputData[[#This Row],[Code Number]],API_CNUnit[Capacity])*InputData[[#This Row],[Rit Rehandling]]</f>
        <v>0</v>
      </c>
      <c r="CQ24" s="191"/>
      <c r="CR24" s="194">
        <f>IFERROR(InputData[[#This Row],[Vol OB]]/(InputData[[#This Row],[OB]]/60),0)</f>
        <v>0</v>
      </c>
      <c r="CS24" s="189">
        <f>InputData[[#This Row],[Vol OB]]*InputData[[#This Row],[Distance]]</f>
        <v>0</v>
      </c>
      <c r="CT24" s="195"/>
      <c r="CU24" s="191" t="s">
        <v>1043</v>
      </c>
      <c r="CV24" s="12" t="s">
        <v>1283</v>
      </c>
      <c r="CW24" s="192" t="s">
        <v>287</v>
      </c>
      <c r="CX24" s="170" t="s">
        <v>546</v>
      </c>
      <c r="CY24" s="182">
        <v>10</v>
      </c>
      <c r="CZ24" s="192"/>
      <c r="DA24" s="189">
        <f>IFERROR(SUMIF(API_CNUnit[text],InputData[[#This Row],[Code Number]],API_CNUnit[Capacity])*InputData[[#This Row],[Rit.Co.V]],0)</f>
        <v>250</v>
      </c>
      <c r="DB24" s="191">
        <v>300</v>
      </c>
      <c r="DC24" s="189">
        <f>+IFERROR((60/InputData[[#This Row],[Coal Activity]])*(InputData[[#This Row],[Ton.Co.V]]),0)</f>
        <v>250</v>
      </c>
      <c r="DD24" s="189">
        <f>+InputData[[#This Row],[Ton.Co.V]]*InputData[[#This Row],[Dist.Co.V]]</f>
        <v>75000</v>
      </c>
      <c r="DE24" s="189">
        <f>IFERROR(InputData[[#This Row],[Ton.Co.V]]/1.3,0)</f>
        <v>192.30769230769229</v>
      </c>
      <c r="DF24" s="195"/>
      <c r="DG24" s="191"/>
      <c r="DH24" s="191"/>
      <c r="DI24" s="191"/>
      <c r="DJ24" s="191"/>
      <c r="DK24" s="189"/>
      <c r="DL24" s="191"/>
      <c r="DM24" s="191"/>
      <c r="DN24" s="191"/>
      <c r="DO24" s="191"/>
      <c r="DP24" s="191"/>
      <c r="DQ24" s="191"/>
      <c r="DR24" s="191"/>
      <c r="DS24" s="191"/>
      <c r="DT24" s="191"/>
      <c r="DU24" s="191"/>
      <c r="DV24" s="191"/>
      <c r="DW24" s="191"/>
      <c r="DX24" s="191"/>
      <c r="DY24" s="191"/>
      <c r="DZ24" s="191"/>
      <c r="EA24" s="191"/>
      <c r="EB24" s="191"/>
      <c r="EC24" s="191"/>
      <c r="ED24" s="195"/>
      <c r="EE24" s="196"/>
      <c r="EF24" s="195"/>
    </row>
    <row r="25" spans="3:136" x14ac:dyDescent="0.15">
      <c r="C25" s="183" t="str">
        <f>IFERROR(VLOOKUP(TEXT(InputData[[#This Row],[Date]],"yyyy-mm"),API_AccountingPeriod[text]:API_AccountingPeriod[Month],2,0),"Please Input Accounting Period")</f>
        <v>August 2021</v>
      </c>
      <c r="D25" s="184" t="str">
        <f>"Week_" &amp;WEEKNUM(InputData[[#This Row],[Date]])</f>
        <v>Week_32</v>
      </c>
      <c r="E25" s="185">
        <v>44410</v>
      </c>
      <c r="F25" s="186" t="s">
        <v>399</v>
      </c>
      <c r="G25" s="187" t="str">
        <f>IFERROR(VLOOKUP(InputData[[#This Row],[Code Number]],API_CNUnit[text]:API_CNUnit[type],3,0),0)</f>
        <v>DUMP TRUCK 60T</v>
      </c>
      <c r="H25" s="3" t="s">
        <v>209</v>
      </c>
      <c r="I25" s="4" t="s">
        <v>517</v>
      </c>
      <c r="J25" s="188" t="str">
        <f>IFERROR(VLOOKUP(InputData[[#This Row],[Code]],Classhours[[Column1]:[Code]],2,0),"")</f>
        <v>13:00-14:00</v>
      </c>
      <c r="K25" s="189">
        <f>+InputData[[#This Row],[OB Activity]]</f>
        <v>0</v>
      </c>
      <c r="L25" s="189">
        <f>+InputData[[#This Row],[Coal Activity]]</f>
        <v>0</v>
      </c>
      <c r="M25" s="189">
        <f>SUM(InputData[[#This Row],[Travel Unit (Exca)]:[General Support]])</f>
        <v>0</v>
      </c>
      <c r="N25" s="189">
        <f>SUM(InputData[[#This Row],[P2H]:[LAINNYA]])</f>
        <v>0</v>
      </c>
      <c r="O25" s="189">
        <f>SUM(InputData[[#This Row],[HUJAN]:[PROBLEM COSTUMER]])</f>
        <v>0</v>
      </c>
      <c r="P25" s="189">
        <f>SUM(InputData[[#This Row],[SCHEDULE SERVICE]:[ACCIDENT BREAKDOWN]])</f>
        <v>0</v>
      </c>
      <c r="Q25" s="189">
        <f>IF(InputData[[#This Row],[Code]]="",720-SUM(InputData[[#This Row],[OB]:[BD]]),60-SUM(InputData[[#This Row],[OB]:[BD]]))</f>
        <v>60</v>
      </c>
      <c r="R25" s="190"/>
      <c r="S25" s="189">
        <f>+InputData[[#This Row],[Vol OB]]</f>
        <v>0</v>
      </c>
      <c r="T25" s="189">
        <f>+InputData[[#This Row],[Distance]]</f>
        <v>0</v>
      </c>
      <c r="U25" s="190"/>
      <c r="V25" s="189">
        <f>+InputData[[#This Row],[Ton.Co.V]]</f>
        <v>75</v>
      </c>
      <c r="W25" s="189">
        <f>+InputData[[#This Row],[Distance]]</f>
        <v>0</v>
      </c>
      <c r="X25" s="190"/>
      <c r="Y25" s="189">
        <f>+SUM(InputData[[#This Row],[HARD DIGGING ]:[DOUBLE BENCH ]])</f>
        <v>0</v>
      </c>
      <c r="Z25" s="189">
        <f>SUM(InputData[[#This Row],[FATIGUE CHECK ]:[DAMAGED ROAD ]])</f>
        <v>0</v>
      </c>
      <c r="AA25" s="189">
        <f>SUM(InputData[[#This Row],[NARROW ACCESS ]:[WAITING SUPPORT DISPOSAL ]])</f>
        <v>0</v>
      </c>
      <c r="AB25" s="190"/>
      <c r="AC25" s="10" t="s">
        <v>1004</v>
      </c>
      <c r="AD25" s="189" t="str">
        <f>IFERROR(_xlfn.XLOOKUP(InputData[[#This Row],[NIK]],API_OperatorNIK[NIK+Name],API_OperatorNIK[employee_name]),"")</f>
        <v>Andi Amiluddin</v>
      </c>
      <c r="AE25" s="10">
        <v>1</v>
      </c>
      <c r="AF25" s="10">
        <v>20</v>
      </c>
      <c r="AG25" s="114">
        <f>+InputData[[#This Row],[HMSP]]-InputData[[#This Row],[HMST]]</f>
        <v>19</v>
      </c>
      <c r="AH25" s="114">
        <f>+InputData[[#This Row],[D.HM]]*60</f>
        <v>1140</v>
      </c>
      <c r="AI25" s="10" t="s">
        <v>1296</v>
      </c>
      <c r="AJ25" s="189" t="str">
        <f>IFERROR(_xlfn.XLOOKUP(InputData[[#This Row],[nikpengawas]],API_SupervisorNIK[NIK+Name],API_SupervisorNIK[employee_name]),"")</f>
        <v>Lukman</v>
      </c>
      <c r="AK25" s="170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70"/>
      <c r="CI25" s="192"/>
      <c r="CJ25" s="192"/>
      <c r="CK25" s="192"/>
      <c r="CL25" s="193"/>
      <c r="CM25" s="182"/>
      <c r="CN25" s="191"/>
      <c r="CO25" s="189">
        <f>SUMIF(API_CNUnit[text],InputData[[#This Row],[Code Number]],API_CNUnit[Capacity])*InputData[[#This Row],[Rit OB]]</f>
        <v>0</v>
      </c>
      <c r="CP25" s="189">
        <f>SUMIF(API_CNUnit[text],InputData[[#This Row],[Code Number]],API_CNUnit[Capacity])*InputData[[#This Row],[Rit Rehandling]]</f>
        <v>0</v>
      </c>
      <c r="CQ25" s="191"/>
      <c r="CR25" s="194">
        <f>IFERROR(InputData[[#This Row],[Vol OB]]/(InputData[[#This Row],[OB]]/60),0)</f>
        <v>0</v>
      </c>
      <c r="CS25" s="189">
        <f>InputData[[#This Row],[Vol OB]]*InputData[[#This Row],[Distance]]</f>
        <v>0</v>
      </c>
      <c r="CT25" s="195"/>
      <c r="CU25" s="191" t="s">
        <v>1043</v>
      </c>
      <c r="CV25" s="191" t="s">
        <v>1283</v>
      </c>
      <c r="CW25" s="192" t="s">
        <v>340</v>
      </c>
      <c r="CX25" s="170" t="s">
        <v>546</v>
      </c>
      <c r="CY25" s="182">
        <v>3</v>
      </c>
      <c r="CZ25" s="192"/>
      <c r="DA25" s="189">
        <f>IFERROR(SUMIF(API_CNUnit[text],InputData[[#This Row],[Code Number]],API_CNUnit[Capacity])*InputData[[#This Row],[Rit.Co.V]],0)</f>
        <v>75</v>
      </c>
      <c r="DB25" s="191">
        <v>300</v>
      </c>
      <c r="DC25" s="189">
        <f>+IFERROR((60/InputData[[#This Row],[Coal Activity]])*(InputData[[#This Row],[Ton.Co.V]]),0)</f>
        <v>0</v>
      </c>
      <c r="DD25" s="189">
        <f>+InputData[[#This Row],[Ton.Co.V]]*InputData[[#This Row],[Dist.Co.V]]</f>
        <v>22500</v>
      </c>
      <c r="DE25" s="189">
        <f>IFERROR(InputData[[#This Row],[Ton.Co.V]]/1.3,0)</f>
        <v>57.692307692307693</v>
      </c>
      <c r="DF25" s="195"/>
      <c r="DG25" s="191"/>
      <c r="DH25" s="191"/>
      <c r="DI25" s="191"/>
      <c r="DJ25" s="191"/>
      <c r="DK25" s="189"/>
      <c r="DL25" s="191"/>
      <c r="DM25" s="191"/>
      <c r="DN25" s="191"/>
      <c r="DO25" s="191"/>
      <c r="DP25" s="191"/>
      <c r="DQ25" s="191"/>
      <c r="DR25" s="191"/>
      <c r="DS25" s="191"/>
      <c r="DT25" s="191"/>
      <c r="DU25" s="191"/>
      <c r="DV25" s="191"/>
      <c r="DW25" s="191"/>
      <c r="DX25" s="191"/>
      <c r="DY25" s="191"/>
      <c r="DZ25" s="191"/>
      <c r="EA25" s="191"/>
      <c r="EB25" s="191"/>
      <c r="EC25" s="191"/>
      <c r="ED25" s="195"/>
      <c r="EE25" s="196"/>
      <c r="EF25" s="195"/>
    </row>
    <row r="26" spans="3:136" x14ac:dyDescent="0.15">
      <c r="C26" s="183" t="str">
        <f>IFERROR(VLOOKUP(TEXT(InputData[[#This Row],[Date]],"yyyy-mm"),API_AccountingPeriod[text]:API_AccountingPeriod[Month],2,0),"Please Input Accounting Period")</f>
        <v>August 2021</v>
      </c>
      <c r="D26" s="184" t="str">
        <f>"Week_" &amp;WEEKNUM(InputData[[#This Row],[Date]])</f>
        <v>Week_32</v>
      </c>
      <c r="E26" s="185">
        <v>44410</v>
      </c>
      <c r="F26" s="153" t="s">
        <v>399</v>
      </c>
      <c r="G26" s="187" t="str">
        <f>IFERROR(VLOOKUP(InputData[[#This Row],[Code Number]],API_CNUnit[text]:API_CNUnit[type],3,0),0)</f>
        <v>DUMP TRUCK 60T</v>
      </c>
      <c r="H26" s="3" t="s">
        <v>209</v>
      </c>
      <c r="I26" s="4" t="s">
        <v>518</v>
      </c>
      <c r="J26" s="188" t="str">
        <f>IFERROR(VLOOKUP(InputData[[#This Row],[Code]],Classhours[[Column1]:[Code]],2,0),"")</f>
        <v>14:00-15:00</v>
      </c>
      <c r="K26" s="189">
        <f>+InputData[[#This Row],[OB Activity]]</f>
        <v>0</v>
      </c>
      <c r="L26" s="189">
        <f>+InputData[[#This Row],[Coal Activity]]</f>
        <v>60</v>
      </c>
      <c r="M26" s="189">
        <f>SUM(InputData[[#This Row],[Travel Unit (Exca)]:[General Support]])</f>
        <v>0</v>
      </c>
      <c r="N26" s="189">
        <f>SUM(InputData[[#This Row],[P2H]:[LAINNYA]])</f>
        <v>0</v>
      </c>
      <c r="O26" s="189">
        <f>SUM(InputData[[#This Row],[HUJAN]:[PROBLEM COSTUMER]])</f>
        <v>0</v>
      </c>
      <c r="P26" s="189">
        <f>SUM(InputData[[#This Row],[SCHEDULE SERVICE]:[ACCIDENT BREAKDOWN]])</f>
        <v>0</v>
      </c>
      <c r="Q26" s="189">
        <f>IF(InputData[[#This Row],[Code]]="",720-SUM(InputData[[#This Row],[OB]:[BD]]),60-SUM(InputData[[#This Row],[OB]:[BD]]))</f>
        <v>0</v>
      </c>
      <c r="R26" s="190"/>
      <c r="S26" s="189">
        <f>+InputData[[#This Row],[Vol OB]]</f>
        <v>0</v>
      </c>
      <c r="T26" s="189">
        <f>+InputData[[#This Row],[Distance]]</f>
        <v>0</v>
      </c>
      <c r="U26" s="190"/>
      <c r="V26" s="189">
        <f>+InputData[[#This Row],[Ton.Co.V]]</f>
        <v>150</v>
      </c>
      <c r="W26" s="189">
        <f>+InputData[[#This Row],[Distance]]</f>
        <v>0</v>
      </c>
      <c r="X26" s="190"/>
      <c r="Y26" s="189">
        <f>+SUM(InputData[[#This Row],[HARD DIGGING ]:[DOUBLE BENCH ]])</f>
        <v>0</v>
      </c>
      <c r="Z26" s="189">
        <f>SUM(InputData[[#This Row],[FATIGUE CHECK ]:[DAMAGED ROAD ]])</f>
        <v>0</v>
      </c>
      <c r="AA26" s="189">
        <f>SUM(InputData[[#This Row],[NARROW ACCESS ]:[WAITING SUPPORT DISPOSAL ]])</f>
        <v>0</v>
      </c>
      <c r="AB26" s="190"/>
      <c r="AC26" s="10" t="s">
        <v>1004</v>
      </c>
      <c r="AD26" s="189" t="str">
        <f>IFERROR(_xlfn.XLOOKUP(InputData[[#This Row],[NIK]],API_OperatorNIK[NIK+Name],API_OperatorNIK[employee_name]),"")</f>
        <v>Andi Amiluddin</v>
      </c>
      <c r="AE26" s="10">
        <v>1</v>
      </c>
      <c r="AF26" s="10">
        <v>20</v>
      </c>
      <c r="AG26" s="114">
        <f>+InputData[[#This Row],[HMSP]]-InputData[[#This Row],[HMST]]</f>
        <v>19</v>
      </c>
      <c r="AH26" s="114">
        <f>+InputData[[#This Row],[D.HM]]*60</f>
        <v>1140</v>
      </c>
      <c r="AI26" s="10" t="s">
        <v>1296</v>
      </c>
      <c r="AJ26" s="189" t="str">
        <f>IFERROR(_xlfn.XLOOKUP(InputData[[#This Row],[nikpengawas]],API_SupervisorNIK[NIK+Name],API_SupervisorNIK[employee_name]),"")</f>
        <v>Lukman</v>
      </c>
      <c r="AK26" s="170"/>
      <c r="AL26" s="191"/>
      <c r="AM26" s="191">
        <v>60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70"/>
      <c r="CI26" s="147"/>
      <c r="CJ26" s="147"/>
      <c r="CK26" s="192"/>
      <c r="CL26" s="193"/>
      <c r="CM26" s="182"/>
      <c r="CN26" s="191"/>
      <c r="CO26" s="189">
        <f>SUMIF(API_CNUnit[text],InputData[[#This Row],[Code Number]],API_CNUnit[Capacity])*InputData[[#This Row],[Rit OB]]</f>
        <v>0</v>
      </c>
      <c r="CP26" s="189">
        <f>SUMIF(API_CNUnit[text],InputData[[#This Row],[Code Number]],API_CNUnit[Capacity])*InputData[[#This Row],[Rit Rehandling]]</f>
        <v>0</v>
      </c>
      <c r="CQ26" s="191"/>
      <c r="CR26" s="194">
        <f>IFERROR(InputData[[#This Row],[Vol OB]]/(InputData[[#This Row],[OB]]/60),0)</f>
        <v>0</v>
      </c>
      <c r="CS26" s="189">
        <f>InputData[[#This Row],[Vol OB]]*InputData[[#This Row],[Distance]]</f>
        <v>0</v>
      </c>
      <c r="CT26" s="195"/>
      <c r="CU26" s="191" t="s">
        <v>1043</v>
      </c>
      <c r="CV26" s="12" t="s">
        <v>1283</v>
      </c>
      <c r="CW26" s="192" t="s">
        <v>287</v>
      </c>
      <c r="CX26" s="170" t="s">
        <v>546</v>
      </c>
      <c r="CY26" s="182">
        <v>6</v>
      </c>
      <c r="CZ26" s="192"/>
      <c r="DA26" s="189">
        <f>IFERROR(SUMIF(API_CNUnit[text],InputData[[#This Row],[Code Number]],API_CNUnit[Capacity])*InputData[[#This Row],[Rit.Co.V]],0)</f>
        <v>150</v>
      </c>
      <c r="DB26" s="191">
        <v>300</v>
      </c>
      <c r="DC26" s="189">
        <f>+IFERROR((60/InputData[[#This Row],[Coal Activity]])*(InputData[[#This Row],[Ton.Co.V]]),0)</f>
        <v>150</v>
      </c>
      <c r="DD26" s="189">
        <f>+InputData[[#This Row],[Ton.Co.V]]*InputData[[#This Row],[Dist.Co.V]]</f>
        <v>45000</v>
      </c>
      <c r="DE26" s="189">
        <f>IFERROR(InputData[[#This Row],[Ton.Co.V]]/1.3,0)</f>
        <v>115.38461538461539</v>
      </c>
      <c r="DF26" s="195"/>
      <c r="DG26" s="191"/>
      <c r="DH26" s="191"/>
      <c r="DI26" s="191"/>
      <c r="DJ26" s="191"/>
      <c r="DK26" s="189"/>
      <c r="DL26" s="191"/>
      <c r="DM26" s="191"/>
      <c r="DN26" s="191"/>
      <c r="DO26" s="191"/>
      <c r="DP26" s="191"/>
      <c r="DQ26" s="191"/>
      <c r="DR26" s="191"/>
      <c r="DS26" s="191"/>
      <c r="DT26" s="191"/>
      <c r="DU26" s="191"/>
      <c r="DV26" s="191"/>
      <c r="DW26" s="191"/>
      <c r="DX26" s="191"/>
      <c r="DY26" s="191"/>
      <c r="DZ26" s="191"/>
      <c r="EA26" s="191"/>
      <c r="EB26" s="191"/>
      <c r="EC26" s="191"/>
      <c r="ED26" s="195"/>
      <c r="EE26" s="196"/>
      <c r="EF26" s="195"/>
    </row>
    <row r="27" spans="3:136" x14ac:dyDescent="0.15">
      <c r="C27" s="183" t="str">
        <f>IFERROR(VLOOKUP(TEXT(InputData[[#This Row],[Date]],"yyyy-mm"),API_AccountingPeriod[text]:API_AccountingPeriod[Month],2,0),"Please Input Accounting Period")</f>
        <v>August 2021</v>
      </c>
      <c r="D27" s="184" t="str">
        <f>"Week_" &amp;WEEKNUM(InputData[[#This Row],[Date]])</f>
        <v>Week_32</v>
      </c>
      <c r="E27" s="185">
        <v>44410</v>
      </c>
      <c r="F27" s="186" t="s">
        <v>399</v>
      </c>
      <c r="G27" s="187" t="str">
        <f>IFERROR(VLOOKUP(InputData[[#This Row],[Code Number]],API_CNUnit[text]:API_CNUnit[type],3,0),0)</f>
        <v>DUMP TRUCK 60T</v>
      </c>
      <c r="H27" s="3" t="s">
        <v>209</v>
      </c>
      <c r="I27" s="4" t="s">
        <v>518</v>
      </c>
      <c r="J27" s="188" t="str">
        <f>IFERROR(VLOOKUP(InputData[[#This Row],[Code]],Classhours[[Column1]:[Code]],2,0),"")</f>
        <v>14:00-15:00</v>
      </c>
      <c r="K27" s="189">
        <f>+InputData[[#This Row],[OB Activity]]</f>
        <v>0</v>
      </c>
      <c r="L27" s="189">
        <f>+InputData[[#This Row],[Coal Activity]]</f>
        <v>0</v>
      </c>
      <c r="M27" s="189">
        <f>SUM(InputData[[#This Row],[Travel Unit (Exca)]:[General Support]])</f>
        <v>0</v>
      </c>
      <c r="N27" s="189">
        <f>SUM(InputData[[#This Row],[P2H]:[LAINNYA]])</f>
        <v>0</v>
      </c>
      <c r="O27" s="189">
        <f>SUM(InputData[[#This Row],[HUJAN]:[PROBLEM COSTUMER]])</f>
        <v>0</v>
      </c>
      <c r="P27" s="189">
        <f>SUM(InputData[[#This Row],[SCHEDULE SERVICE]:[ACCIDENT BREAKDOWN]])</f>
        <v>0</v>
      </c>
      <c r="Q27" s="189">
        <f>IF(InputData[[#This Row],[Code]]="",720-SUM(InputData[[#This Row],[OB]:[BD]]),60-SUM(InputData[[#This Row],[OB]:[BD]]))</f>
        <v>60</v>
      </c>
      <c r="R27" s="190"/>
      <c r="S27" s="189">
        <f>+InputData[[#This Row],[Vol OB]]</f>
        <v>0</v>
      </c>
      <c r="T27" s="189">
        <f>+InputData[[#This Row],[Distance]]</f>
        <v>0</v>
      </c>
      <c r="U27" s="190"/>
      <c r="V27" s="189">
        <f>+InputData[[#This Row],[Ton.Co.V]]</f>
        <v>50</v>
      </c>
      <c r="W27" s="189">
        <f>+InputData[[#This Row],[Distance]]</f>
        <v>0</v>
      </c>
      <c r="X27" s="190"/>
      <c r="Y27" s="189">
        <f>+SUM(InputData[[#This Row],[HARD DIGGING ]:[DOUBLE BENCH ]])</f>
        <v>0</v>
      </c>
      <c r="Z27" s="189">
        <f>SUM(InputData[[#This Row],[FATIGUE CHECK ]:[DAMAGED ROAD ]])</f>
        <v>0</v>
      </c>
      <c r="AA27" s="189">
        <f>SUM(InputData[[#This Row],[NARROW ACCESS ]:[WAITING SUPPORT DISPOSAL ]])</f>
        <v>0</v>
      </c>
      <c r="AB27" s="190"/>
      <c r="AC27" s="10" t="s">
        <v>1004</v>
      </c>
      <c r="AD27" s="189" t="str">
        <f>IFERROR(_xlfn.XLOOKUP(InputData[[#This Row],[NIK]],API_OperatorNIK[NIK+Name],API_OperatorNIK[employee_name]),"")</f>
        <v>Andi Amiluddin</v>
      </c>
      <c r="AE27" s="10">
        <v>1</v>
      </c>
      <c r="AF27" s="10">
        <v>20</v>
      </c>
      <c r="AG27" s="114">
        <f>+InputData[[#This Row],[HMSP]]-InputData[[#This Row],[HMST]]</f>
        <v>19</v>
      </c>
      <c r="AH27" s="114">
        <f>+InputData[[#This Row],[D.HM]]*60</f>
        <v>1140</v>
      </c>
      <c r="AI27" s="10" t="s">
        <v>1296</v>
      </c>
      <c r="AJ27" s="189" t="str">
        <f>IFERROR(_xlfn.XLOOKUP(InputData[[#This Row],[nikpengawas]],API_SupervisorNIK[NIK+Name],API_SupervisorNIK[employee_name]),"")</f>
        <v>Lukman</v>
      </c>
      <c r="AK27" s="170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70"/>
      <c r="CI27" s="192"/>
      <c r="CJ27" s="192"/>
      <c r="CK27" s="192"/>
      <c r="CL27" s="193"/>
      <c r="CM27" s="182"/>
      <c r="CN27" s="191"/>
      <c r="CO27" s="189">
        <f>SUMIF(API_CNUnit[text],InputData[[#This Row],[Code Number]],API_CNUnit[Capacity])*InputData[[#This Row],[Rit OB]]</f>
        <v>0</v>
      </c>
      <c r="CP27" s="189">
        <f>SUMIF(API_CNUnit[text],InputData[[#This Row],[Code Number]],API_CNUnit[Capacity])*InputData[[#This Row],[Rit Rehandling]]</f>
        <v>0</v>
      </c>
      <c r="CQ27" s="191"/>
      <c r="CR27" s="194">
        <f>IFERROR(InputData[[#This Row],[Vol OB]]/(InputData[[#This Row],[OB]]/60),0)</f>
        <v>0</v>
      </c>
      <c r="CS27" s="189">
        <f>InputData[[#This Row],[Vol OB]]*InputData[[#This Row],[Distance]]</f>
        <v>0</v>
      </c>
      <c r="CT27" s="195"/>
      <c r="CU27" s="191" t="s">
        <v>1043</v>
      </c>
      <c r="CV27" s="191" t="s">
        <v>1283</v>
      </c>
      <c r="CW27" s="192" t="s">
        <v>340</v>
      </c>
      <c r="CX27" s="170" t="s">
        <v>546</v>
      </c>
      <c r="CY27" s="182">
        <v>2</v>
      </c>
      <c r="CZ27" s="192"/>
      <c r="DA27" s="189">
        <f>IFERROR(SUMIF(API_CNUnit[text],InputData[[#This Row],[Code Number]],API_CNUnit[Capacity])*InputData[[#This Row],[Rit.Co.V]],0)</f>
        <v>50</v>
      </c>
      <c r="DB27" s="191">
        <v>300</v>
      </c>
      <c r="DC27" s="189">
        <f>+IFERROR((60/InputData[[#This Row],[Coal Activity]])*(InputData[[#This Row],[Ton.Co.V]]),0)</f>
        <v>0</v>
      </c>
      <c r="DD27" s="189">
        <f>+InputData[[#This Row],[Ton.Co.V]]*InputData[[#This Row],[Dist.Co.V]]</f>
        <v>15000</v>
      </c>
      <c r="DE27" s="189">
        <f>IFERROR(InputData[[#This Row],[Ton.Co.V]]/1.3,0)</f>
        <v>38.46153846153846</v>
      </c>
      <c r="DF27" s="195"/>
      <c r="DG27" s="191"/>
      <c r="DH27" s="191"/>
      <c r="DI27" s="191"/>
      <c r="DJ27" s="191"/>
      <c r="DK27" s="189"/>
      <c r="DL27" s="191"/>
      <c r="DM27" s="191"/>
      <c r="DN27" s="191"/>
      <c r="DO27" s="191"/>
      <c r="DP27" s="191"/>
      <c r="DQ27" s="191"/>
      <c r="DR27" s="191"/>
      <c r="DS27" s="191"/>
      <c r="DT27" s="191"/>
      <c r="DU27" s="191"/>
      <c r="DV27" s="191"/>
      <c r="DW27" s="191"/>
      <c r="DX27" s="191"/>
      <c r="DY27" s="191"/>
      <c r="DZ27" s="191"/>
      <c r="EA27" s="191"/>
      <c r="EB27" s="191"/>
      <c r="EC27" s="191"/>
      <c r="ED27" s="195"/>
      <c r="EE27" s="196"/>
      <c r="EF27" s="195"/>
    </row>
    <row r="28" spans="3:136" x14ac:dyDescent="0.15">
      <c r="C28" s="183" t="str">
        <f>IFERROR(VLOOKUP(TEXT(InputData[[#This Row],[Date]],"yyyy-mm"),API_AccountingPeriod[text]:API_AccountingPeriod[Month],2,0),"Please Input Accounting Period")</f>
        <v>August 2021</v>
      </c>
      <c r="D28" s="184" t="str">
        <f>"Week_" &amp;WEEKNUM(InputData[[#This Row],[Date]])</f>
        <v>Week_32</v>
      </c>
      <c r="E28" s="185">
        <v>44410</v>
      </c>
      <c r="F28" s="153" t="s">
        <v>399</v>
      </c>
      <c r="G28" s="187" t="str">
        <f>IFERROR(VLOOKUP(InputData[[#This Row],[Code Number]],API_CNUnit[text]:API_CNUnit[type],3,0),0)</f>
        <v>DUMP TRUCK 60T</v>
      </c>
      <c r="H28" s="3" t="s">
        <v>209</v>
      </c>
      <c r="I28" s="4" t="s">
        <v>21</v>
      </c>
      <c r="J28" s="188" t="str">
        <f>IFERROR(VLOOKUP(InputData[[#This Row],[Code]],Classhours[[Column1]:[Code]],2,0),"")</f>
        <v>15:00-16:00</v>
      </c>
      <c r="K28" s="189">
        <f>+InputData[[#This Row],[OB Activity]]</f>
        <v>0</v>
      </c>
      <c r="L28" s="189">
        <f>+InputData[[#This Row],[Coal Activity]]</f>
        <v>60</v>
      </c>
      <c r="M28" s="189">
        <f>SUM(InputData[[#This Row],[Travel Unit (Exca)]:[General Support]])</f>
        <v>0</v>
      </c>
      <c r="N28" s="189">
        <f>SUM(InputData[[#This Row],[P2H]:[LAINNYA]])</f>
        <v>0</v>
      </c>
      <c r="O28" s="189">
        <f>SUM(InputData[[#This Row],[HUJAN]:[PROBLEM COSTUMER]])</f>
        <v>0</v>
      </c>
      <c r="P28" s="189">
        <f>SUM(InputData[[#This Row],[SCHEDULE SERVICE]:[ACCIDENT BREAKDOWN]])</f>
        <v>0</v>
      </c>
      <c r="Q28" s="189">
        <f>IF(InputData[[#This Row],[Code]]="",720-SUM(InputData[[#This Row],[OB]:[BD]]),60-SUM(InputData[[#This Row],[OB]:[BD]]))</f>
        <v>0</v>
      </c>
      <c r="R28" s="190"/>
      <c r="S28" s="189">
        <f>+InputData[[#This Row],[Vol OB]]</f>
        <v>0</v>
      </c>
      <c r="T28" s="189">
        <f>+InputData[[#This Row],[Distance]]</f>
        <v>0</v>
      </c>
      <c r="U28" s="190"/>
      <c r="V28" s="189">
        <f>+InputData[[#This Row],[Ton.Co.V]]</f>
        <v>200</v>
      </c>
      <c r="W28" s="189">
        <f>+InputData[[#This Row],[Distance]]</f>
        <v>0</v>
      </c>
      <c r="X28" s="190"/>
      <c r="Y28" s="189">
        <f>+SUM(InputData[[#This Row],[HARD DIGGING ]:[DOUBLE BENCH ]])</f>
        <v>1</v>
      </c>
      <c r="Z28" s="189">
        <f>SUM(InputData[[#This Row],[FATIGUE CHECK ]:[DAMAGED ROAD ]])</f>
        <v>0</v>
      </c>
      <c r="AA28" s="189">
        <f>SUM(InputData[[#This Row],[NARROW ACCESS ]:[WAITING SUPPORT DISPOSAL ]])</f>
        <v>0</v>
      </c>
      <c r="AB28" s="190"/>
      <c r="AC28" s="10" t="s">
        <v>1004</v>
      </c>
      <c r="AD28" s="189" t="str">
        <f>IFERROR(_xlfn.XLOOKUP(InputData[[#This Row],[NIK]],API_OperatorNIK[NIK+Name],API_OperatorNIK[employee_name]),"")</f>
        <v>Andi Amiluddin</v>
      </c>
      <c r="AE28" s="10">
        <v>1</v>
      </c>
      <c r="AF28" s="10">
        <v>20</v>
      </c>
      <c r="AG28" s="114">
        <f>+InputData[[#This Row],[HMSP]]-InputData[[#This Row],[HMST]]</f>
        <v>19</v>
      </c>
      <c r="AH28" s="114">
        <f>+InputData[[#This Row],[D.HM]]*60</f>
        <v>1140</v>
      </c>
      <c r="AI28" s="10" t="s">
        <v>1296</v>
      </c>
      <c r="AJ28" s="189" t="str">
        <f>IFERROR(_xlfn.XLOOKUP(InputData[[#This Row],[nikpengawas]],API_SupervisorNIK[NIK+Name],API_SupervisorNIK[employee_name]),"")</f>
        <v>Lukman</v>
      </c>
      <c r="AK28" s="170"/>
      <c r="AL28" s="191"/>
      <c r="AM28" s="191">
        <v>60</v>
      </c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70"/>
      <c r="CI28" s="147"/>
      <c r="CJ28" s="147"/>
      <c r="CK28" s="192"/>
      <c r="CL28" s="193"/>
      <c r="CM28" s="182"/>
      <c r="CN28" s="191"/>
      <c r="CO28" s="189">
        <f>SUMIF(API_CNUnit[text],InputData[[#This Row],[Code Number]],API_CNUnit[Capacity])*InputData[[#This Row],[Rit OB]]</f>
        <v>0</v>
      </c>
      <c r="CP28" s="189">
        <f>SUMIF(API_CNUnit[text],InputData[[#This Row],[Code Number]],API_CNUnit[Capacity])*InputData[[#This Row],[Rit Rehandling]]</f>
        <v>0</v>
      </c>
      <c r="CQ28" s="191"/>
      <c r="CR28" s="194">
        <f>IFERROR(InputData[[#This Row],[Vol OB]]/(InputData[[#This Row],[OB]]/60),0)</f>
        <v>0</v>
      </c>
      <c r="CS28" s="189">
        <f>InputData[[#This Row],[Vol OB]]*InputData[[#This Row],[Distance]]</f>
        <v>0</v>
      </c>
      <c r="CT28" s="195"/>
      <c r="CU28" s="191" t="s">
        <v>1043</v>
      </c>
      <c r="CV28" s="12" t="s">
        <v>1283</v>
      </c>
      <c r="CW28" s="192" t="s">
        <v>287</v>
      </c>
      <c r="CX28" s="170" t="s">
        <v>546</v>
      </c>
      <c r="CY28" s="182">
        <v>8</v>
      </c>
      <c r="CZ28" s="192"/>
      <c r="DA28" s="189">
        <f>IFERROR(SUMIF(API_CNUnit[text],InputData[[#This Row],[Code Number]],API_CNUnit[Capacity])*InputData[[#This Row],[Rit.Co.V]],0)</f>
        <v>200</v>
      </c>
      <c r="DB28" s="191">
        <v>300</v>
      </c>
      <c r="DC28" s="189">
        <f>+IFERROR((60/InputData[[#This Row],[Coal Activity]])*(InputData[[#This Row],[Ton.Co.V]]),0)</f>
        <v>200</v>
      </c>
      <c r="DD28" s="189">
        <f>+InputData[[#This Row],[Ton.Co.V]]*InputData[[#This Row],[Dist.Co.V]]</f>
        <v>60000</v>
      </c>
      <c r="DE28" s="189">
        <f>IFERROR(InputData[[#This Row],[Ton.Co.V]]/1.3,0)</f>
        <v>153.84615384615384</v>
      </c>
      <c r="DF28" s="195"/>
      <c r="DG28" s="191"/>
      <c r="DH28" s="191">
        <v>1</v>
      </c>
      <c r="DI28" s="191"/>
      <c r="DJ28" s="191"/>
      <c r="DK28" s="189"/>
      <c r="DL28" s="191"/>
      <c r="DM28" s="191"/>
      <c r="DN28" s="191"/>
      <c r="DO28" s="191"/>
      <c r="DP28" s="191"/>
      <c r="DQ28" s="191"/>
      <c r="DR28" s="191"/>
      <c r="DS28" s="191"/>
      <c r="DT28" s="191"/>
      <c r="DU28" s="191"/>
      <c r="DV28" s="191"/>
      <c r="DW28" s="191"/>
      <c r="DX28" s="191"/>
      <c r="DY28" s="191"/>
      <c r="DZ28" s="191"/>
      <c r="EA28" s="191"/>
      <c r="EB28" s="191"/>
      <c r="EC28" s="191"/>
      <c r="ED28" s="195"/>
      <c r="EE28" s="196"/>
      <c r="EF28" s="195"/>
    </row>
    <row r="29" spans="3:136" x14ac:dyDescent="0.15">
      <c r="C29" s="183" t="str">
        <f>IFERROR(VLOOKUP(TEXT(InputData[[#This Row],[Date]],"yyyy-mm"),API_AccountingPeriod[text]:API_AccountingPeriod[Month],2,0),"Please Input Accounting Period")</f>
        <v>August 2021</v>
      </c>
      <c r="D29" s="184" t="str">
        <f>"Week_" &amp;WEEKNUM(InputData[[#This Row],[Date]])</f>
        <v>Week_32</v>
      </c>
      <c r="E29" s="185">
        <v>44410</v>
      </c>
      <c r="F29" s="186" t="s">
        <v>399</v>
      </c>
      <c r="G29" s="187" t="str">
        <f>IFERROR(VLOOKUP(InputData[[#This Row],[Code Number]],API_CNUnit[text]:API_CNUnit[type],3,0),0)</f>
        <v>DUMP TRUCK 60T</v>
      </c>
      <c r="H29" s="3" t="s">
        <v>209</v>
      </c>
      <c r="I29" s="4" t="s">
        <v>21</v>
      </c>
      <c r="J29" s="188" t="str">
        <f>IFERROR(VLOOKUP(InputData[[#This Row],[Code]],Classhours[[Column1]:[Code]],2,0),"")</f>
        <v>15:00-16:00</v>
      </c>
      <c r="K29" s="189">
        <f>+InputData[[#This Row],[OB Activity]]</f>
        <v>0</v>
      </c>
      <c r="L29" s="189">
        <f>+InputData[[#This Row],[Coal Activity]]</f>
        <v>0</v>
      </c>
      <c r="M29" s="189">
        <f>SUM(InputData[[#This Row],[Travel Unit (Exca)]:[General Support]])</f>
        <v>0</v>
      </c>
      <c r="N29" s="189">
        <f>SUM(InputData[[#This Row],[P2H]:[LAINNYA]])</f>
        <v>0</v>
      </c>
      <c r="O29" s="189">
        <f>SUM(InputData[[#This Row],[HUJAN]:[PROBLEM COSTUMER]])</f>
        <v>0</v>
      </c>
      <c r="P29" s="189">
        <f>SUM(InputData[[#This Row],[SCHEDULE SERVICE]:[ACCIDENT BREAKDOWN]])</f>
        <v>0</v>
      </c>
      <c r="Q29" s="189">
        <f>IF(InputData[[#This Row],[Code]]="",720-SUM(InputData[[#This Row],[OB]:[BD]]),60-SUM(InputData[[#This Row],[OB]:[BD]]))</f>
        <v>60</v>
      </c>
      <c r="R29" s="190"/>
      <c r="S29" s="189">
        <f>+InputData[[#This Row],[Vol OB]]</f>
        <v>0</v>
      </c>
      <c r="T29" s="189">
        <f>+InputData[[#This Row],[Distance]]</f>
        <v>0</v>
      </c>
      <c r="U29" s="190"/>
      <c r="V29" s="189">
        <f>+InputData[[#This Row],[Ton.Co.V]]</f>
        <v>50</v>
      </c>
      <c r="W29" s="189">
        <f>+InputData[[#This Row],[Distance]]</f>
        <v>0</v>
      </c>
      <c r="X29" s="190"/>
      <c r="Y29" s="189">
        <f>+SUM(InputData[[#This Row],[HARD DIGGING ]:[DOUBLE BENCH ]])</f>
        <v>0</v>
      </c>
      <c r="Z29" s="189">
        <f>SUM(InputData[[#This Row],[FATIGUE CHECK ]:[DAMAGED ROAD ]])</f>
        <v>0</v>
      </c>
      <c r="AA29" s="189">
        <f>SUM(InputData[[#This Row],[NARROW ACCESS ]:[WAITING SUPPORT DISPOSAL ]])</f>
        <v>0</v>
      </c>
      <c r="AB29" s="190"/>
      <c r="AC29" s="10" t="s">
        <v>1004</v>
      </c>
      <c r="AD29" s="189" t="str">
        <f>IFERROR(_xlfn.XLOOKUP(InputData[[#This Row],[NIK]],API_OperatorNIK[NIK+Name],API_OperatorNIK[employee_name]),"")</f>
        <v>Andi Amiluddin</v>
      </c>
      <c r="AE29" s="10">
        <v>1</v>
      </c>
      <c r="AF29" s="10">
        <v>20</v>
      </c>
      <c r="AG29" s="114">
        <f>+InputData[[#This Row],[HMSP]]-InputData[[#This Row],[HMST]]</f>
        <v>19</v>
      </c>
      <c r="AH29" s="114">
        <f>+InputData[[#This Row],[D.HM]]*60</f>
        <v>1140</v>
      </c>
      <c r="AI29" s="10" t="s">
        <v>1296</v>
      </c>
      <c r="AJ29" s="189" t="str">
        <f>IFERROR(_xlfn.XLOOKUP(InputData[[#This Row],[nikpengawas]],API_SupervisorNIK[NIK+Name],API_SupervisorNIK[employee_name]),"")</f>
        <v>Lukman</v>
      </c>
      <c r="AK29" s="170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70"/>
      <c r="CI29" s="192"/>
      <c r="CJ29" s="192"/>
      <c r="CK29" s="192"/>
      <c r="CL29" s="193"/>
      <c r="CM29" s="182"/>
      <c r="CN29" s="191"/>
      <c r="CO29" s="189">
        <f>SUMIF(API_CNUnit[text],InputData[[#This Row],[Code Number]],API_CNUnit[Capacity])*InputData[[#This Row],[Rit OB]]</f>
        <v>0</v>
      </c>
      <c r="CP29" s="189">
        <f>SUMIF(API_CNUnit[text],InputData[[#This Row],[Code Number]],API_CNUnit[Capacity])*InputData[[#This Row],[Rit Rehandling]]</f>
        <v>0</v>
      </c>
      <c r="CQ29" s="191"/>
      <c r="CR29" s="194">
        <f>IFERROR(InputData[[#This Row],[Vol OB]]/(InputData[[#This Row],[OB]]/60),0)</f>
        <v>0</v>
      </c>
      <c r="CS29" s="189">
        <f>InputData[[#This Row],[Vol OB]]*InputData[[#This Row],[Distance]]</f>
        <v>0</v>
      </c>
      <c r="CT29" s="195"/>
      <c r="CU29" s="191" t="s">
        <v>1043</v>
      </c>
      <c r="CV29" s="191" t="s">
        <v>1283</v>
      </c>
      <c r="CW29" s="192" t="s">
        <v>340</v>
      </c>
      <c r="CX29" s="170" t="s">
        <v>546</v>
      </c>
      <c r="CY29" s="182">
        <v>2</v>
      </c>
      <c r="CZ29" s="192"/>
      <c r="DA29" s="189">
        <f>IFERROR(SUMIF(API_CNUnit[text],InputData[[#This Row],[Code Number]],API_CNUnit[Capacity])*InputData[[#This Row],[Rit.Co.V]],0)</f>
        <v>50</v>
      </c>
      <c r="DB29" s="191">
        <v>300</v>
      </c>
      <c r="DC29" s="189">
        <f>+IFERROR((60/InputData[[#This Row],[Coal Activity]])*(InputData[[#This Row],[Ton.Co.V]]),0)</f>
        <v>0</v>
      </c>
      <c r="DD29" s="189">
        <f>+InputData[[#This Row],[Ton.Co.V]]*InputData[[#This Row],[Dist.Co.V]]</f>
        <v>15000</v>
      </c>
      <c r="DE29" s="189">
        <f>IFERROR(InputData[[#This Row],[Ton.Co.V]]/1.3,0)</f>
        <v>38.46153846153846</v>
      </c>
      <c r="DF29" s="195"/>
      <c r="DG29" s="191"/>
      <c r="DH29" s="191"/>
      <c r="DI29" s="191"/>
      <c r="DJ29" s="191"/>
      <c r="DK29" s="189"/>
      <c r="DL29" s="191"/>
      <c r="DM29" s="191"/>
      <c r="DN29" s="191"/>
      <c r="DO29" s="191"/>
      <c r="DP29" s="191"/>
      <c r="DQ29" s="191"/>
      <c r="DR29" s="191"/>
      <c r="DS29" s="191"/>
      <c r="DT29" s="191"/>
      <c r="DU29" s="191"/>
      <c r="DV29" s="191"/>
      <c r="DW29" s="191"/>
      <c r="DX29" s="191"/>
      <c r="DY29" s="191"/>
      <c r="DZ29" s="191"/>
      <c r="EA29" s="191"/>
      <c r="EB29" s="191"/>
      <c r="EC29" s="191"/>
      <c r="ED29" s="195"/>
      <c r="EE29" s="196"/>
      <c r="EF29" s="195"/>
    </row>
    <row r="30" spans="3:136" x14ac:dyDescent="0.15">
      <c r="C30" s="183" t="str">
        <f>IFERROR(VLOOKUP(TEXT(InputData[[#This Row],[Date]],"yyyy-mm"),API_AccountingPeriod[text]:API_AccountingPeriod[Month],2,0),"Please Input Accounting Period")</f>
        <v>August 2021</v>
      </c>
      <c r="D30" s="184" t="str">
        <f>"Week_" &amp;WEEKNUM(InputData[[#This Row],[Date]])</f>
        <v>Week_32</v>
      </c>
      <c r="E30" s="185">
        <v>44410</v>
      </c>
      <c r="F30" s="153" t="s">
        <v>399</v>
      </c>
      <c r="G30" s="187" t="str">
        <f>IFERROR(VLOOKUP(InputData[[#This Row],[Code Number]],API_CNUnit[text]:API_CNUnit[type],3,0),0)</f>
        <v>DUMP TRUCK 60T</v>
      </c>
      <c r="H30" s="3" t="s">
        <v>209</v>
      </c>
      <c r="I30" s="4" t="s">
        <v>22</v>
      </c>
      <c r="J30" s="188" t="str">
        <f>IFERROR(VLOOKUP(InputData[[#This Row],[Code]],Classhours[[Column1]:[Code]],2,0),"")</f>
        <v>16:00-17:00</v>
      </c>
      <c r="K30" s="189">
        <f>+InputData[[#This Row],[OB Activity]]</f>
        <v>0</v>
      </c>
      <c r="L30" s="189">
        <f>+InputData[[#This Row],[Coal Activity]]</f>
        <v>60</v>
      </c>
      <c r="M30" s="189">
        <f>SUM(InputData[[#This Row],[Travel Unit (Exca)]:[General Support]])</f>
        <v>0</v>
      </c>
      <c r="N30" s="189">
        <f>SUM(InputData[[#This Row],[P2H]:[LAINNYA]])</f>
        <v>0</v>
      </c>
      <c r="O30" s="189">
        <f>SUM(InputData[[#This Row],[HUJAN]:[PROBLEM COSTUMER]])</f>
        <v>0</v>
      </c>
      <c r="P30" s="189">
        <f>SUM(InputData[[#This Row],[SCHEDULE SERVICE]:[ACCIDENT BREAKDOWN]])</f>
        <v>0</v>
      </c>
      <c r="Q30" s="189">
        <f>IF(InputData[[#This Row],[Code]]="",720-SUM(InputData[[#This Row],[OB]:[BD]]),60-SUM(InputData[[#This Row],[OB]:[BD]]))</f>
        <v>0</v>
      </c>
      <c r="R30" s="190"/>
      <c r="S30" s="189">
        <f>+InputData[[#This Row],[Vol OB]]</f>
        <v>0</v>
      </c>
      <c r="T30" s="189">
        <f>+InputData[[#This Row],[Distance]]</f>
        <v>0</v>
      </c>
      <c r="U30" s="190"/>
      <c r="V30" s="189">
        <f>+InputData[[#This Row],[Ton.Co.V]]</f>
        <v>175</v>
      </c>
      <c r="W30" s="189">
        <f>+InputData[[#This Row],[Distance]]</f>
        <v>0</v>
      </c>
      <c r="X30" s="190"/>
      <c r="Y30" s="189">
        <f>+SUM(InputData[[#This Row],[HARD DIGGING ]:[DOUBLE BENCH ]])</f>
        <v>0</v>
      </c>
      <c r="Z30" s="189">
        <f>SUM(InputData[[#This Row],[FATIGUE CHECK ]:[DAMAGED ROAD ]])</f>
        <v>0</v>
      </c>
      <c r="AA30" s="189">
        <f>SUM(InputData[[#This Row],[NARROW ACCESS ]:[WAITING SUPPORT DISPOSAL ]])</f>
        <v>0</v>
      </c>
      <c r="AB30" s="190"/>
      <c r="AC30" s="10" t="s">
        <v>1004</v>
      </c>
      <c r="AD30" s="189" t="str">
        <f>IFERROR(_xlfn.XLOOKUP(InputData[[#This Row],[NIK]],API_OperatorNIK[NIK+Name],API_OperatorNIK[employee_name]),"")</f>
        <v>Andi Amiluddin</v>
      </c>
      <c r="AE30" s="10">
        <v>1</v>
      </c>
      <c r="AF30" s="10">
        <v>20</v>
      </c>
      <c r="AG30" s="114">
        <f>+InputData[[#This Row],[HMSP]]-InputData[[#This Row],[HMST]]</f>
        <v>19</v>
      </c>
      <c r="AH30" s="114">
        <f>+InputData[[#This Row],[D.HM]]*60</f>
        <v>1140</v>
      </c>
      <c r="AI30" s="10" t="s">
        <v>1296</v>
      </c>
      <c r="AJ30" s="189" t="str">
        <f>IFERROR(_xlfn.XLOOKUP(InputData[[#This Row],[nikpengawas]],API_SupervisorNIK[NIK+Name],API_SupervisorNIK[employee_name]),"")</f>
        <v>Lukman</v>
      </c>
      <c r="AK30" s="170"/>
      <c r="AL30" s="191"/>
      <c r="AM30" s="191">
        <v>60</v>
      </c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70"/>
      <c r="CI30" s="147"/>
      <c r="CJ30" s="147"/>
      <c r="CK30" s="192"/>
      <c r="CL30" s="193"/>
      <c r="CM30" s="182"/>
      <c r="CN30" s="191"/>
      <c r="CO30" s="189">
        <f>SUMIF(API_CNUnit[text],InputData[[#This Row],[Code Number]],API_CNUnit[Capacity])*InputData[[#This Row],[Rit OB]]</f>
        <v>0</v>
      </c>
      <c r="CP30" s="189">
        <f>SUMIF(API_CNUnit[text],InputData[[#This Row],[Code Number]],API_CNUnit[Capacity])*InputData[[#This Row],[Rit Rehandling]]</f>
        <v>0</v>
      </c>
      <c r="CQ30" s="191"/>
      <c r="CR30" s="194">
        <f>IFERROR(InputData[[#This Row],[Vol OB]]/(InputData[[#This Row],[OB]]/60),0)</f>
        <v>0</v>
      </c>
      <c r="CS30" s="189">
        <f>InputData[[#This Row],[Vol OB]]*InputData[[#This Row],[Distance]]</f>
        <v>0</v>
      </c>
      <c r="CT30" s="195"/>
      <c r="CU30" s="191" t="s">
        <v>1043</v>
      </c>
      <c r="CV30" s="12" t="s">
        <v>1283</v>
      </c>
      <c r="CW30" s="192" t="s">
        <v>287</v>
      </c>
      <c r="CX30" s="170" t="s">
        <v>546</v>
      </c>
      <c r="CY30" s="182">
        <v>7</v>
      </c>
      <c r="CZ30" s="192"/>
      <c r="DA30" s="189">
        <f>IFERROR(SUMIF(API_CNUnit[text],InputData[[#This Row],[Code Number]],API_CNUnit[Capacity])*InputData[[#This Row],[Rit.Co.V]],0)</f>
        <v>175</v>
      </c>
      <c r="DB30" s="191">
        <v>300</v>
      </c>
      <c r="DC30" s="189">
        <f>+IFERROR((60/InputData[[#This Row],[Coal Activity]])*(InputData[[#This Row],[Ton.Co.V]]),0)</f>
        <v>175</v>
      </c>
      <c r="DD30" s="189">
        <f>+InputData[[#This Row],[Ton.Co.V]]*InputData[[#This Row],[Dist.Co.V]]</f>
        <v>52500</v>
      </c>
      <c r="DE30" s="189">
        <f>IFERROR(InputData[[#This Row],[Ton.Co.V]]/1.3,0)</f>
        <v>134.61538461538461</v>
      </c>
      <c r="DF30" s="195"/>
      <c r="DG30" s="191"/>
      <c r="DH30" s="191"/>
      <c r="DI30" s="191"/>
      <c r="DJ30" s="191"/>
      <c r="DK30" s="189"/>
      <c r="DL30" s="191"/>
      <c r="DM30" s="191"/>
      <c r="DN30" s="191"/>
      <c r="DO30" s="191"/>
      <c r="DP30" s="191"/>
      <c r="DQ30" s="191"/>
      <c r="DR30" s="191"/>
      <c r="DS30" s="191"/>
      <c r="DT30" s="191"/>
      <c r="DU30" s="191"/>
      <c r="DV30" s="191"/>
      <c r="DW30" s="191"/>
      <c r="DX30" s="191"/>
      <c r="DY30" s="191"/>
      <c r="DZ30" s="191"/>
      <c r="EA30" s="191"/>
      <c r="EB30" s="191"/>
      <c r="EC30" s="191"/>
      <c r="ED30" s="195"/>
      <c r="EE30" s="196"/>
      <c r="EF30" s="195"/>
    </row>
    <row r="31" spans="3:136" x14ac:dyDescent="0.15">
      <c r="C31" s="183" t="str">
        <f>IFERROR(VLOOKUP(TEXT(InputData[[#This Row],[Date]],"yyyy-mm"),API_AccountingPeriod[text]:API_AccountingPeriod[Month],2,0),"Please Input Accounting Period")</f>
        <v>August 2021</v>
      </c>
      <c r="D31" s="184" t="str">
        <f>"Week_" &amp;WEEKNUM(InputData[[#This Row],[Date]])</f>
        <v>Week_32</v>
      </c>
      <c r="E31" s="185">
        <v>44410</v>
      </c>
      <c r="F31" s="186" t="s">
        <v>399</v>
      </c>
      <c r="G31" s="187" t="str">
        <f>IFERROR(VLOOKUP(InputData[[#This Row],[Code Number]],API_CNUnit[text]:API_CNUnit[type],3,0),0)</f>
        <v>DUMP TRUCK 60T</v>
      </c>
      <c r="H31" s="3" t="s">
        <v>209</v>
      </c>
      <c r="I31" s="4" t="s">
        <v>22</v>
      </c>
      <c r="J31" s="188" t="str">
        <f>IFERROR(VLOOKUP(InputData[[#This Row],[Code]],Classhours[[Column1]:[Code]],2,0),"")</f>
        <v>16:00-17:00</v>
      </c>
      <c r="K31" s="189">
        <f>+InputData[[#This Row],[OB Activity]]</f>
        <v>0</v>
      </c>
      <c r="L31" s="189">
        <f>+InputData[[#This Row],[Coal Activity]]</f>
        <v>0</v>
      </c>
      <c r="M31" s="189">
        <f>SUM(InputData[[#This Row],[Travel Unit (Exca)]:[General Support]])</f>
        <v>0</v>
      </c>
      <c r="N31" s="189">
        <f>SUM(InputData[[#This Row],[P2H]:[LAINNYA]])</f>
        <v>0</v>
      </c>
      <c r="O31" s="189">
        <f>SUM(InputData[[#This Row],[HUJAN]:[PROBLEM COSTUMER]])</f>
        <v>0</v>
      </c>
      <c r="P31" s="189">
        <f>SUM(InputData[[#This Row],[SCHEDULE SERVICE]:[ACCIDENT BREAKDOWN]])</f>
        <v>0</v>
      </c>
      <c r="Q31" s="189">
        <f>IF(InputData[[#This Row],[Code]]="",720-SUM(InputData[[#This Row],[OB]:[BD]]),60-SUM(InputData[[#This Row],[OB]:[BD]]))</f>
        <v>60</v>
      </c>
      <c r="R31" s="190"/>
      <c r="S31" s="189">
        <f>+InputData[[#This Row],[Vol OB]]</f>
        <v>0</v>
      </c>
      <c r="T31" s="189">
        <f>+InputData[[#This Row],[Distance]]</f>
        <v>0</v>
      </c>
      <c r="U31" s="190"/>
      <c r="V31" s="189">
        <f>+InputData[[#This Row],[Ton.Co.V]]</f>
        <v>75</v>
      </c>
      <c r="W31" s="189">
        <f>+InputData[[#This Row],[Distance]]</f>
        <v>0</v>
      </c>
      <c r="X31" s="190"/>
      <c r="Y31" s="189">
        <f>+SUM(InputData[[#This Row],[HARD DIGGING ]:[DOUBLE BENCH ]])</f>
        <v>0</v>
      </c>
      <c r="Z31" s="189">
        <f>SUM(InputData[[#This Row],[FATIGUE CHECK ]:[DAMAGED ROAD ]])</f>
        <v>0</v>
      </c>
      <c r="AA31" s="189">
        <f>SUM(InputData[[#This Row],[NARROW ACCESS ]:[WAITING SUPPORT DISPOSAL ]])</f>
        <v>0</v>
      </c>
      <c r="AB31" s="190"/>
      <c r="AC31" s="10" t="s">
        <v>1004</v>
      </c>
      <c r="AD31" s="189" t="str">
        <f>IFERROR(_xlfn.XLOOKUP(InputData[[#This Row],[NIK]],API_OperatorNIK[NIK+Name],API_OperatorNIK[employee_name]),"")</f>
        <v>Andi Amiluddin</v>
      </c>
      <c r="AE31" s="10">
        <v>1</v>
      </c>
      <c r="AF31" s="10">
        <v>20</v>
      </c>
      <c r="AG31" s="114">
        <f>+InputData[[#This Row],[HMSP]]-InputData[[#This Row],[HMST]]</f>
        <v>19</v>
      </c>
      <c r="AH31" s="114">
        <f>+InputData[[#This Row],[D.HM]]*60</f>
        <v>1140</v>
      </c>
      <c r="AI31" s="10" t="s">
        <v>1296</v>
      </c>
      <c r="AJ31" s="189" t="str">
        <f>IFERROR(_xlfn.XLOOKUP(InputData[[#This Row],[nikpengawas]],API_SupervisorNIK[NIK+Name],API_SupervisorNIK[employee_name]),"")</f>
        <v>Lukman</v>
      </c>
      <c r="AK31" s="170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70"/>
      <c r="CI31" s="192"/>
      <c r="CJ31" s="192"/>
      <c r="CK31" s="192"/>
      <c r="CL31" s="193"/>
      <c r="CM31" s="182"/>
      <c r="CN31" s="191"/>
      <c r="CO31" s="189">
        <f>SUMIF(API_CNUnit[text],InputData[[#This Row],[Code Number]],API_CNUnit[Capacity])*InputData[[#This Row],[Rit OB]]</f>
        <v>0</v>
      </c>
      <c r="CP31" s="189">
        <f>SUMIF(API_CNUnit[text],InputData[[#This Row],[Code Number]],API_CNUnit[Capacity])*InputData[[#This Row],[Rit Rehandling]]</f>
        <v>0</v>
      </c>
      <c r="CQ31" s="191"/>
      <c r="CR31" s="194">
        <f>IFERROR(InputData[[#This Row],[Vol OB]]/(InputData[[#This Row],[OB]]/60),0)</f>
        <v>0</v>
      </c>
      <c r="CS31" s="189">
        <f>InputData[[#This Row],[Vol OB]]*InputData[[#This Row],[Distance]]</f>
        <v>0</v>
      </c>
      <c r="CT31" s="195"/>
      <c r="CU31" s="191" t="s">
        <v>1043</v>
      </c>
      <c r="CV31" s="191" t="s">
        <v>1283</v>
      </c>
      <c r="CW31" s="192" t="s">
        <v>340</v>
      </c>
      <c r="CX31" s="170" t="s">
        <v>546</v>
      </c>
      <c r="CY31" s="182">
        <v>3</v>
      </c>
      <c r="CZ31" s="192"/>
      <c r="DA31" s="189">
        <f>IFERROR(SUMIF(API_CNUnit[text],InputData[[#This Row],[Code Number]],API_CNUnit[Capacity])*InputData[[#This Row],[Rit.Co.V]],0)</f>
        <v>75</v>
      </c>
      <c r="DB31" s="191">
        <v>300</v>
      </c>
      <c r="DC31" s="189">
        <f>+IFERROR((60/InputData[[#This Row],[Coal Activity]])*(InputData[[#This Row],[Ton.Co.V]]),0)</f>
        <v>0</v>
      </c>
      <c r="DD31" s="189">
        <f>+InputData[[#This Row],[Ton.Co.V]]*InputData[[#This Row],[Dist.Co.V]]</f>
        <v>22500</v>
      </c>
      <c r="DE31" s="189">
        <f>IFERROR(InputData[[#This Row],[Ton.Co.V]]/1.3,0)</f>
        <v>57.692307692307693</v>
      </c>
      <c r="DF31" s="195"/>
      <c r="DG31" s="191"/>
      <c r="DH31" s="191"/>
      <c r="DI31" s="191"/>
      <c r="DJ31" s="191"/>
      <c r="DK31" s="189"/>
      <c r="DL31" s="191"/>
      <c r="DM31" s="191"/>
      <c r="DN31" s="191"/>
      <c r="DO31" s="191"/>
      <c r="DP31" s="191"/>
      <c r="DQ31" s="191"/>
      <c r="DR31" s="191"/>
      <c r="DS31" s="191"/>
      <c r="DT31" s="191"/>
      <c r="DU31" s="191"/>
      <c r="DV31" s="191"/>
      <c r="DW31" s="191"/>
      <c r="DX31" s="191"/>
      <c r="DY31" s="191"/>
      <c r="DZ31" s="191"/>
      <c r="EA31" s="191"/>
      <c r="EB31" s="191"/>
      <c r="EC31" s="191"/>
      <c r="ED31" s="195"/>
      <c r="EE31" s="196"/>
      <c r="EF31" s="195"/>
    </row>
    <row r="32" spans="3:136" x14ac:dyDescent="0.15">
      <c r="C32" s="183" t="str">
        <f>IFERROR(VLOOKUP(TEXT(InputData[[#This Row],[Date]],"yyyy-mm"),API_AccountingPeriod[text]:API_AccountingPeriod[Month],2,0),"Please Input Accounting Period")</f>
        <v>August 2021</v>
      </c>
      <c r="D32" s="184" t="str">
        <f>"Week_" &amp;WEEKNUM(InputData[[#This Row],[Date]])</f>
        <v>Week_32</v>
      </c>
      <c r="E32" s="185">
        <v>44410</v>
      </c>
      <c r="F32" s="153" t="s">
        <v>399</v>
      </c>
      <c r="G32" s="187" t="str">
        <f>IFERROR(VLOOKUP(InputData[[#This Row],[Code Number]],API_CNUnit[text]:API_CNUnit[type],3,0),0)</f>
        <v>DUMP TRUCK 60T</v>
      </c>
      <c r="H32" s="3" t="s">
        <v>209</v>
      </c>
      <c r="I32" s="4" t="s">
        <v>561</v>
      </c>
      <c r="J32" s="188" t="str">
        <f>IFERROR(VLOOKUP(InputData[[#This Row],[Code]],Classhours[[Column1]:[Code]],2,0),"")</f>
        <v>17:00-18:00</v>
      </c>
      <c r="K32" s="189">
        <f>+InputData[[#This Row],[OB Activity]]</f>
        <v>0</v>
      </c>
      <c r="L32" s="189">
        <f>+InputData[[#This Row],[Coal Activity]]</f>
        <v>60</v>
      </c>
      <c r="M32" s="189">
        <f>SUM(InputData[[#This Row],[Travel Unit (Exca)]:[General Support]])</f>
        <v>0</v>
      </c>
      <c r="N32" s="189">
        <f>SUM(InputData[[#This Row],[P2H]:[LAINNYA]])</f>
        <v>0</v>
      </c>
      <c r="O32" s="189">
        <f>SUM(InputData[[#This Row],[HUJAN]:[PROBLEM COSTUMER]])</f>
        <v>0</v>
      </c>
      <c r="P32" s="189">
        <f>SUM(InputData[[#This Row],[SCHEDULE SERVICE]:[ACCIDENT BREAKDOWN]])</f>
        <v>0</v>
      </c>
      <c r="Q32" s="189">
        <f>IF(InputData[[#This Row],[Code]]="",720-SUM(InputData[[#This Row],[OB]:[BD]]),60-SUM(InputData[[#This Row],[OB]:[BD]]))</f>
        <v>0</v>
      </c>
      <c r="R32" s="190"/>
      <c r="S32" s="189">
        <f>+InputData[[#This Row],[Vol OB]]</f>
        <v>0</v>
      </c>
      <c r="T32" s="189">
        <f>+InputData[[#This Row],[Distance]]</f>
        <v>0</v>
      </c>
      <c r="U32" s="190"/>
      <c r="V32" s="189">
        <f>+InputData[[#This Row],[Ton.Co.V]]</f>
        <v>125</v>
      </c>
      <c r="W32" s="189">
        <f>+InputData[[#This Row],[Distance]]</f>
        <v>0</v>
      </c>
      <c r="X32" s="190"/>
      <c r="Y32" s="189">
        <f>+SUM(InputData[[#This Row],[HARD DIGGING ]:[DOUBLE BENCH ]])</f>
        <v>10</v>
      </c>
      <c r="Z32" s="189">
        <f>SUM(InputData[[#This Row],[FATIGUE CHECK ]:[DAMAGED ROAD ]])</f>
        <v>5</v>
      </c>
      <c r="AA32" s="189">
        <f>SUM(InputData[[#This Row],[NARROW ACCESS ]:[WAITING SUPPORT DISPOSAL ]])</f>
        <v>4</v>
      </c>
      <c r="AB32" s="190"/>
      <c r="AC32" s="10" t="s">
        <v>1004</v>
      </c>
      <c r="AD32" s="189" t="str">
        <f>IFERROR(_xlfn.XLOOKUP(InputData[[#This Row],[NIK]],API_OperatorNIK[NIK+Name],API_OperatorNIK[employee_name]),"")</f>
        <v>Andi Amiluddin</v>
      </c>
      <c r="AE32" s="10">
        <v>1</v>
      </c>
      <c r="AF32" s="10">
        <v>20</v>
      </c>
      <c r="AG32" s="114">
        <f>+InputData[[#This Row],[HMSP]]-InputData[[#This Row],[HMST]]</f>
        <v>19</v>
      </c>
      <c r="AH32" s="114">
        <f>+InputData[[#This Row],[D.HM]]*60</f>
        <v>1140</v>
      </c>
      <c r="AI32" s="10" t="s">
        <v>1296</v>
      </c>
      <c r="AJ32" s="189" t="str">
        <f>IFERROR(_xlfn.XLOOKUP(InputData[[#This Row],[nikpengawas]],API_SupervisorNIK[NIK+Name],API_SupervisorNIK[employee_name]),"")</f>
        <v>Lukman</v>
      </c>
      <c r="AK32" s="170"/>
      <c r="AL32" s="191"/>
      <c r="AM32" s="191">
        <v>60</v>
      </c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  <c r="BK32" s="191"/>
      <c r="BL32" s="191"/>
      <c r="BM32" s="191"/>
      <c r="BN32" s="191"/>
      <c r="BO32" s="191"/>
      <c r="BP32" s="191"/>
      <c r="BQ32" s="191"/>
      <c r="BR32" s="191"/>
      <c r="BS32" s="191"/>
      <c r="BT32" s="191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70"/>
      <c r="CI32" s="147"/>
      <c r="CJ32" s="147"/>
      <c r="CK32" s="192"/>
      <c r="CL32" s="193"/>
      <c r="CM32" s="182"/>
      <c r="CN32" s="191"/>
      <c r="CO32" s="189">
        <f>SUMIF(API_CNUnit[text],InputData[[#This Row],[Code Number]],API_CNUnit[Capacity])*InputData[[#This Row],[Rit OB]]</f>
        <v>0</v>
      </c>
      <c r="CP32" s="189">
        <f>SUMIF(API_CNUnit[text],InputData[[#This Row],[Code Number]],API_CNUnit[Capacity])*InputData[[#This Row],[Rit Rehandling]]</f>
        <v>0</v>
      </c>
      <c r="CQ32" s="191"/>
      <c r="CR32" s="194">
        <f>IFERROR(InputData[[#This Row],[Vol OB]]/(InputData[[#This Row],[OB]]/60),0)</f>
        <v>0</v>
      </c>
      <c r="CS32" s="189">
        <f>InputData[[#This Row],[Vol OB]]*InputData[[#This Row],[Distance]]</f>
        <v>0</v>
      </c>
      <c r="CT32" s="195"/>
      <c r="CU32" s="191" t="s">
        <v>1043</v>
      </c>
      <c r="CV32" s="12" t="s">
        <v>1283</v>
      </c>
      <c r="CW32" s="192" t="s">
        <v>287</v>
      </c>
      <c r="CX32" s="170" t="s">
        <v>546</v>
      </c>
      <c r="CY32" s="182">
        <v>5</v>
      </c>
      <c r="CZ32" s="192"/>
      <c r="DA32" s="189">
        <f>IFERROR(SUMIF(API_CNUnit[text],InputData[[#This Row],[Code Number]],API_CNUnit[Capacity])*InputData[[#This Row],[Rit.Co.V]],0)</f>
        <v>125</v>
      </c>
      <c r="DB32" s="191">
        <v>300</v>
      </c>
      <c r="DC32" s="189">
        <f>+IFERROR((60/InputData[[#This Row],[Coal Activity]])*(InputData[[#This Row],[Ton.Co.V]]),0)</f>
        <v>125</v>
      </c>
      <c r="DD32" s="189">
        <f>+InputData[[#This Row],[Ton.Co.V]]*InputData[[#This Row],[Dist.Co.V]]</f>
        <v>37500</v>
      </c>
      <c r="DE32" s="189">
        <f>IFERROR(InputData[[#This Row],[Ton.Co.V]]/1.3,0)</f>
        <v>96.153846153846146</v>
      </c>
      <c r="DF32" s="195"/>
      <c r="DG32" s="191">
        <v>1</v>
      </c>
      <c r="DH32" s="191">
        <v>1</v>
      </c>
      <c r="DI32" s="191">
        <v>1</v>
      </c>
      <c r="DJ32" s="191">
        <v>1</v>
      </c>
      <c r="DK32" s="189">
        <v>1</v>
      </c>
      <c r="DL32" s="191">
        <v>1</v>
      </c>
      <c r="DM32" s="191">
        <v>1</v>
      </c>
      <c r="DN32" s="191">
        <v>1</v>
      </c>
      <c r="DO32" s="191">
        <v>1</v>
      </c>
      <c r="DP32" s="191">
        <v>1</v>
      </c>
      <c r="DQ32" s="191">
        <v>1</v>
      </c>
      <c r="DR32" s="191">
        <v>1</v>
      </c>
      <c r="DS32" s="191">
        <v>1</v>
      </c>
      <c r="DT32" s="191">
        <v>1</v>
      </c>
      <c r="DU32" s="191">
        <v>1</v>
      </c>
      <c r="DV32" s="191">
        <v>1</v>
      </c>
      <c r="DW32" s="191">
        <v>1</v>
      </c>
      <c r="DX32" s="191">
        <v>1</v>
      </c>
      <c r="DY32" s="191">
        <v>1</v>
      </c>
      <c r="DZ32" s="191">
        <v>1</v>
      </c>
      <c r="EA32" s="191">
        <v>1</v>
      </c>
      <c r="EB32" s="191">
        <v>1</v>
      </c>
      <c r="EC32" s="191">
        <v>1</v>
      </c>
      <c r="ED32" s="195"/>
      <c r="EE32" s="196"/>
      <c r="EF32" s="195"/>
    </row>
    <row r="33" spans="3:136" x14ac:dyDescent="0.15">
      <c r="C33" s="183" t="str">
        <f>IFERROR(VLOOKUP(TEXT(InputData[[#This Row],[Date]],"yyyy-mm"),API_AccountingPeriod[text]:API_AccountingPeriod[Month],2,0),"Please Input Accounting Period")</f>
        <v>August 2021</v>
      </c>
      <c r="D33" s="184" t="str">
        <f>"Week_" &amp;WEEKNUM(InputData[[#This Row],[Date]])</f>
        <v>Week_32</v>
      </c>
      <c r="E33" s="185">
        <v>44410</v>
      </c>
      <c r="F33" s="186" t="s">
        <v>399</v>
      </c>
      <c r="G33" s="187" t="str">
        <f>IFERROR(VLOOKUP(InputData[[#This Row],[Code Number]],API_CNUnit[text]:API_CNUnit[type],3,0),0)</f>
        <v>DUMP TRUCK 60T</v>
      </c>
      <c r="H33" s="3" t="s">
        <v>209</v>
      </c>
      <c r="I33" s="4" t="s">
        <v>561</v>
      </c>
      <c r="J33" s="188" t="str">
        <f>IFERROR(VLOOKUP(InputData[[#This Row],[Code]],Classhours[[Column1]:[Code]],2,0),"")</f>
        <v>17:00-18:00</v>
      </c>
      <c r="K33" s="189">
        <f>+InputData[[#This Row],[OB Activity]]</f>
        <v>0</v>
      </c>
      <c r="L33" s="189">
        <f>+InputData[[#This Row],[Coal Activity]]</f>
        <v>0</v>
      </c>
      <c r="M33" s="189">
        <f>SUM(InputData[[#This Row],[Travel Unit (Exca)]:[General Support]])</f>
        <v>0</v>
      </c>
      <c r="N33" s="189">
        <f>SUM(InputData[[#This Row],[P2H]:[LAINNYA]])</f>
        <v>0</v>
      </c>
      <c r="O33" s="189">
        <f>SUM(InputData[[#This Row],[HUJAN]:[PROBLEM COSTUMER]])</f>
        <v>0</v>
      </c>
      <c r="P33" s="189">
        <f>SUM(InputData[[#This Row],[SCHEDULE SERVICE]:[ACCIDENT BREAKDOWN]])</f>
        <v>0</v>
      </c>
      <c r="Q33" s="189">
        <f>IF(InputData[[#This Row],[Code]]="",720-SUM(InputData[[#This Row],[OB]:[BD]]),60-SUM(InputData[[#This Row],[OB]:[BD]]))</f>
        <v>60</v>
      </c>
      <c r="R33" s="190"/>
      <c r="S33" s="189">
        <f>+InputData[[#This Row],[Vol OB]]</f>
        <v>0</v>
      </c>
      <c r="T33" s="189">
        <f>+InputData[[#This Row],[Distance]]</f>
        <v>0</v>
      </c>
      <c r="U33" s="190"/>
      <c r="V33" s="189">
        <f>+InputData[[#This Row],[Ton.Co.V]]</f>
        <v>75</v>
      </c>
      <c r="W33" s="189">
        <f>+InputData[[#This Row],[Distance]]</f>
        <v>0</v>
      </c>
      <c r="X33" s="190"/>
      <c r="Y33" s="189">
        <f>+SUM(InputData[[#This Row],[HARD DIGGING ]:[DOUBLE BENCH ]])</f>
        <v>0</v>
      </c>
      <c r="Z33" s="189">
        <f>SUM(InputData[[#This Row],[FATIGUE CHECK ]:[DAMAGED ROAD ]])</f>
        <v>0</v>
      </c>
      <c r="AA33" s="189">
        <f>SUM(InputData[[#This Row],[NARROW ACCESS ]:[WAITING SUPPORT DISPOSAL ]])</f>
        <v>0</v>
      </c>
      <c r="AB33" s="190"/>
      <c r="AC33" s="10" t="s">
        <v>1004</v>
      </c>
      <c r="AD33" s="189" t="str">
        <f>IFERROR(_xlfn.XLOOKUP(InputData[[#This Row],[NIK]],API_OperatorNIK[NIK+Name],API_OperatorNIK[employee_name]),"")</f>
        <v>Andi Amiluddin</v>
      </c>
      <c r="AE33" s="10">
        <v>1</v>
      </c>
      <c r="AF33" s="10">
        <v>20</v>
      </c>
      <c r="AG33" s="114">
        <f>+InputData[[#This Row],[HMSP]]-InputData[[#This Row],[HMST]]</f>
        <v>19</v>
      </c>
      <c r="AH33" s="114">
        <f>+InputData[[#This Row],[D.HM]]*60</f>
        <v>1140</v>
      </c>
      <c r="AI33" s="10" t="s">
        <v>1296</v>
      </c>
      <c r="AJ33" s="189" t="str">
        <f>IFERROR(_xlfn.XLOOKUP(InputData[[#This Row],[nikpengawas]],API_SupervisorNIK[NIK+Name],API_SupervisorNIK[employee_name]),"")</f>
        <v>Lukman</v>
      </c>
      <c r="AK33" s="170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70"/>
      <c r="CI33" s="192"/>
      <c r="CJ33" s="192"/>
      <c r="CK33" s="192"/>
      <c r="CL33" s="193"/>
      <c r="CM33" s="182"/>
      <c r="CN33" s="191"/>
      <c r="CO33" s="189">
        <f>SUMIF(API_CNUnit[text],InputData[[#This Row],[Code Number]],API_CNUnit[Capacity])*InputData[[#This Row],[Rit OB]]</f>
        <v>0</v>
      </c>
      <c r="CP33" s="189">
        <f>SUMIF(API_CNUnit[text],InputData[[#This Row],[Code Number]],API_CNUnit[Capacity])*InputData[[#This Row],[Rit Rehandling]]</f>
        <v>0</v>
      </c>
      <c r="CQ33" s="191"/>
      <c r="CR33" s="194">
        <f>IFERROR(InputData[[#This Row],[Vol OB]]/(InputData[[#This Row],[OB]]/60),0)</f>
        <v>0</v>
      </c>
      <c r="CS33" s="189">
        <f>InputData[[#This Row],[Vol OB]]*InputData[[#This Row],[Distance]]</f>
        <v>0</v>
      </c>
      <c r="CT33" s="195"/>
      <c r="CU33" s="191" t="s">
        <v>1043</v>
      </c>
      <c r="CV33" s="191" t="s">
        <v>1283</v>
      </c>
      <c r="CW33" s="192" t="s">
        <v>340</v>
      </c>
      <c r="CX33" s="170" t="s">
        <v>546</v>
      </c>
      <c r="CY33" s="182">
        <v>3</v>
      </c>
      <c r="CZ33" s="192"/>
      <c r="DA33" s="189">
        <f>IFERROR(SUMIF(API_CNUnit[text],InputData[[#This Row],[Code Number]],API_CNUnit[Capacity])*InputData[[#This Row],[Rit.Co.V]],0)</f>
        <v>75</v>
      </c>
      <c r="DB33" s="191">
        <v>300</v>
      </c>
      <c r="DC33" s="189">
        <f>+IFERROR((60/InputData[[#This Row],[Coal Activity]])*(InputData[[#This Row],[Ton.Co.V]]),0)</f>
        <v>0</v>
      </c>
      <c r="DD33" s="189">
        <f>+InputData[[#This Row],[Ton.Co.V]]*InputData[[#This Row],[Dist.Co.V]]</f>
        <v>22500</v>
      </c>
      <c r="DE33" s="189">
        <f>IFERROR(InputData[[#This Row],[Ton.Co.V]]/1.3,0)</f>
        <v>57.692307692307693</v>
      </c>
      <c r="DF33" s="195"/>
      <c r="DG33" s="191"/>
      <c r="DH33" s="191"/>
      <c r="DI33" s="191"/>
      <c r="DJ33" s="191"/>
      <c r="DK33" s="189"/>
      <c r="DL33" s="191"/>
      <c r="DM33" s="191"/>
      <c r="DN33" s="191"/>
      <c r="DO33" s="191"/>
      <c r="DP33" s="191"/>
      <c r="DQ33" s="191"/>
      <c r="DR33" s="191"/>
      <c r="DS33" s="191"/>
      <c r="DT33" s="191"/>
      <c r="DU33" s="191"/>
      <c r="DV33" s="191"/>
      <c r="DW33" s="191"/>
      <c r="DX33" s="191"/>
      <c r="DY33" s="191"/>
      <c r="DZ33" s="191"/>
      <c r="EA33" s="191"/>
      <c r="EB33" s="191"/>
      <c r="EC33" s="191"/>
      <c r="ED33" s="195"/>
      <c r="EE33" s="196"/>
      <c r="EF33" s="195"/>
    </row>
  </sheetData>
  <mergeCells count="148">
    <mergeCell ref="EE1:EE11"/>
    <mergeCell ref="CN1:CN10"/>
    <mergeCell ref="CP1:CP10"/>
    <mergeCell ref="DV1:DV8"/>
    <mergeCell ref="EA1:EA8"/>
    <mergeCell ref="DV9:EA9"/>
    <mergeCell ref="DG10:EC10"/>
    <mergeCell ref="EB7:EB8"/>
    <mergeCell ref="DJ1:DJ8"/>
    <mergeCell ref="EC7:EC8"/>
    <mergeCell ref="EB9:EC9"/>
    <mergeCell ref="DK1:DK8"/>
    <mergeCell ref="DL1:DL8"/>
    <mergeCell ref="DM1:DM8"/>
    <mergeCell ref="DN1:DN8"/>
    <mergeCell ref="CX1:CX10"/>
    <mergeCell ref="CL1:CL10"/>
    <mergeCell ref="CM1:CM10"/>
    <mergeCell ref="CO1:CO10"/>
    <mergeCell ref="CQ1:CQ10"/>
    <mergeCell ref="CY11:DD11"/>
    <mergeCell ref="CY1:CY10"/>
    <mergeCell ref="CZ1:CZ10"/>
    <mergeCell ref="DA1:DA10"/>
    <mergeCell ref="EF1:EF11"/>
    <mergeCell ref="DO1:DO8"/>
    <mergeCell ref="DP1:DP8"/>
    <mergeCell ref="DQ1:DQ8"/>
    <mergeCell ref="DR1:DR8"/>
    <mergeCell ref="DS1:DS8"/>
    <mergeCell ref="DT1:DT8"/>
    <mergeCell ref="ED1:ED11"/>
    <mergeCell ref="DW1:DW8"/>
    <mergeCell ref="DX1:DX8"/>
    <mergeCell ref="DY1:DY8"/>
    <mergeCell ref="DQ9:DU9"/>
    <mergeCell ref="DG9:DP9"/>
    <mergeCell ref="DG1:DG8"/>
    <mergeCell ref="DH1:DH8"/>
    <mergeCell ref="DI1:DI8"/>
    <mergeCell ref="BD1:BD9"/>
    <mergeCell ref="CH1:CH11"/>
    <mergeCell ref="CI1:CI10"/>
    <mergeCell ref="CJ1:CJ10"/>
    <mergeCell ref="BR1:BR9"/>
    <mergeCell ref="BS1:BS9"/>
    <mergeCell ref="CA1:CA9"/>
    <mergeCell ref="CB1:CB9"/>
    <mergeCell ref="CC1:CC9"/>
    <mergeCell ref="CD1:CD9"/>
    <mergeCell ref="CE1:CE9"/>
    <mergeCell ref="CF1:CF9"/>
    <mergeCell ref="BY1:BY9"/>
    <mergeCell ref="BX1:BX9"/>
    <mergeCell ref="BX10:CB10"/>
    <mergeCell ref="BT7:BT9"/>
    <mergeCell ref="BU7:BU9"/>
    <mergeCell ref="BW7:BW9"/>
    <mergeCell ref="BD10:BW10"/>
    <mergeCell ref="BV7:BV9"/>
    <mergeCell ref="BE1:BE9"/>
    <mergeCell ref="BF1:BF9"/>
    <mergeCell ref="BG1:BG9"/>
    <mergeCell ref="BH1:BH9"/>
    <mergeCell ref="BA1:BA9"/>
    <mergeCell ref="BB1:BB9"/>
    <mergeCell ref="T1:T11"/>
    <mergeCell ref="U1:U11"/>
    <mergeCell ref="AC1:AC11"/>
    <mergeCell ref="AD1:AD11"/>
    <mergeCell ref="AE1:AE11"/>
    <mergeCell ref="AX1:AX9"/>
    <mergeCell ref="AY1:AY9"/>
    <mergeCell ref="AZ1:AZ9"/>
    <mergeCell ref="AO1:AO9"/>
    <mergeCell ref="AP1:AP9"/>
    <mergeCell ref="AM1:AM9"/>
    <mergeCell ref="AN1:AN9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BI1:BI9"/>
    <mergeCell ref="BJ1:BJ9"/>
    <mergeCell ref="BK1:BK9"/>
    <mergeCell ref="BL1:BL9"/>
    <mergeCell ref="BM1:BM9"/>
    <mergeCell ref="P1:P11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Q1:Q11"/>
    <mergeCell ref="AQ1:AQ9"/>
    <mergeCell ref="AR1:AR9"/>
    <mergeCell ref="AS1:AS9"/>
    <mergeCell ref="AT1:AT9"/>
    <mergeCell ref="AL1:AL9"/>
    <mergeCell ref="AH7:AH11"/>
    <mergeCell ref="AL10:AM10"/>
    <mergeCell ref="CG1:CG9"/>
    <mergeCell ref="CC10:CG10"/>
    <mergeCell ref="BP1:BP9"/>
    <mergeCell ref="BQ1:BQ9"/>
    <mergeCell ref="BN1:BN9"/>
    <mergeCell ref="CU1:CU10"/>
    <mergeCell ref="CV1:CV10"/>
    <mergeCell ref="DZ1:DZ8"/>
    <mergeCell ref="BZ1:BZ9"/>
    <mergeCell ref="BO1:BO9"/>
    <mergeCell ref="DF1:DF11"/>
    <mergeCell ref="CI11:CJ11"/>
    <mergeCell ref="CU11:CV11"/>
    <mergeCell ref="CT1:CT11"/>
    <mergeCell ref="CW1:CW10"/>
    <mergeCell ref="DU1:DU8"/>
    <mergeCell ref="DE1:DE10"/>
    <mergeCell ref="CR1:CR10"/>
    <mergeCell ref="CS1:CS10"/>
    <mergeCell ref="DB1:DB10"/>
    <mergeCell ref="DC1:DC10"/>
    <mergeCell ref="DD1:DD10"/>
    <mergeCell ref="CK11:CS11"/>
    <mergeCell ref="CK1:CK10"/>
  </mergeCells>
  <phoneticPr fontId="23" type="noConversion"/>
  <conditionalFormatting sqref="Q14:Q33">
    <cfRule type="cellIs" dxfId="3" priority="3" operator="equal">
      <formula>0</formula>
    </cfRule>
    <cfRule type="cellIs" dxfId="2" priority="4" operator="lessThan">
      <formula>60</formula>
    </cfRule>
  </conditionalFormatting>
  <conditionalFormatting sqref="Q12">
    <cfRule type="cellIs" dxfId="1" priority="1" operator="equal">
      <formula>0</formula>
    </cfRule>
    <cfRule type="cellIs" dxfId="0" priority="2" operator="lessThan">
      <formula>60</formula>
    </cfRule>
  </conditionalFormatting>
  <dataValidations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33" xr:uid="{00000000-0002-0000-0100-000003000000}">
      <formula1>INDIRECT("Classhours[Column1]")</formula1>
    </dataValidation>
    <dataValidation type="list" allowBlank="1" showInputMessage="1" showErrorMessage="1" sqref="F12 CW12 CK12 CW14:CW33 F14:F33 CK14:CK33" xr:uid="{01B463A9-9220-4113-A1BA-DA3D4D7226C7}">
      <formula1>INDIRECT("API_CNunit[Text]")</formula1>
    </dataValidation>
    <dataValidation type="list" allowBlank="1" showInputMessage="1" showErrorMessage="1" sqref="AC12 AC14:AC33" xr:uid="{8B7AB21A-E3C8-41D9-BDA3-4465205E6C7F}">
      <formula1>INDIRECT("API_OperatorNIK[NIK+Name]")</formula1>
    </dataValidation>
    <dataValidation type="list" allowBlank="1" showInputMessage="1" showErrorMessage="1" sqref="AI12 AI14:AI33" xr:uid="{6AED08D9-4748-4590-A889-DB7B04C2DEE4}">
      <formula1>INDIRECT("API_SupervisorNIK[NIK+Name]")</formula1>
    </dataValidation>
    <dataValidation type="list" allowBlank="1" showInputMessage="1" showErrorMessage="1" sqref="CI12 CU14:CU33 CU12 CI14:CI33" xr:uid="{FA6F0BAC-84BE-4B77-A042-8D1552724CC5}">
      <formula1>INDIRECT("API_PITLocation[Parent+BussName]")</formula1>
    </dataValidation>
    <dataValidation type="list" allowBlank="1" showInputMessage="1" showErrorMessage="1" sqref="CJ12 CJ14:CJ33 CV12 CV14:CV33" xr:uid="{8282BE81-820D-4714-825E-9BB24DBC3894}">
      <formula1>INDIRECT("API_Destination[Text]")</formula1>
    </dataValidation>
    <dataValidation type="list" allowBlank="1" showInputMessage="1" showErrorMessage="1" sqref="CL12 CX12 CL14:CL33 CX14:CX33" xr:uid="{457277AF-6B2A-48C0-B918-1EC12F406FAC}">
      <formula1>INDIRECT("API_Material[text]")</formula1>
    </dataValidation>
    <dataValidation type="list" allowBlank="1" showInputMessage="1" showErrorMessage="1" sqref="H12 H14:H33" xr:uid="{BF7A28AF-3A91-41AD-8963-7729A739CAA8}">
      <formula1>INDIRECT("API_Shift[shift_name]")</formula1>
    </dataValidation>
    <dataValidation type="list" allowBlank="1" showInputMessage="1" showErrorMessage="1" sqref="CZ12 CZ14:CZ33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Q237"/>
  <sheetViews>
    <sheetView tabSelected="1" topLeftCell="A2" zoomScale="145" zoomScaleNormal="145" workbookViewId="0">
      <pane xSplit="8" ySplit="12" topLeftCell="N18" activePane="bottomRight" state="frozen"/>
      <selection activeCell="G25" sqref="G25"/>
      <selection pane="topRight" activeCell="G25" sqref="G25"/>
      <selection pane="bottomLeft" activeCell="G25" sqref="G25"/>
      <selection pane="bottomRight" activeCell="I22" sqref="I22"/>
    </sheetView>
  </sheetViews>
  <sheetFormatPr defaultColWidth="8.88671875" defaultRowHeight="10.199999999999999" outlineLevelCol="1" x14ac:dyDescent="0.2"/>
  <cols>
    <col min="1" max="2" width="8.88671875" style="76"/>
    <col min="3" max="4" width="8.88671875" style="155"/>
    <col min="5" max="6" width="8.88671875" style="76"/>
    <col min="7" max="7" width="7.6640625" style="76" bestFit="1" customWidth="1"/>
    <col min="8" max="8" width="7.6640625" style="76" customWidth="1"/>
    <col min="9" max="9" width="32.33203125" style="76" bestFit="1" customWidth="1"/>
    <col min="10" max="11" width="7.6640625" style="76" bestFit="1" customWidth="1"/>
    <col min="12" max="14" width="7.6640625" style="76" customWidth="1"/>
    <col min="15" max="15" width="8.5546875" style="76" bestFit="1" customWidth="1"/>
    <col min="16" max="19" width="3.6640625" style="76" customWidth="1"/>
    <col min="20" max="20" width="4.33203125" style="76" customWidth="1"/>
    <col min="21" max="50" width="3.33203125" style="76" customWidth="1" outlineLevel="1"/>
    <col min="51" max="51" width="3.6640625" style="76" customWidth="1"/>
    <col min="52" max="16384" width="8.88671875" style="76"/>
  </cols>
  <sheetData>
    <row r="1" spans="1:53" s="3" customFormat="1" ht="14.4" customHeight="1" x14ac:dyDescent="0.15">
      <c r="C1" s="131"/>
      <c r="D1" s="131"/>
      <c r="F1" s="4"/>
      <c r="G1" s="290" t="s">
        <v>9</v>
      </c>
      <c r="H1" s="291"/>
      <c r="I1" s="299" t="s">
        <v>550</v>
      </c>
      <c r="J1" s="283" t="s">
        <v>545</v>
      </c>
      <c r="K1" s="283" t="s">
        <v>546</v>
      </c>
      <c r="L1" s="283" t="s">
        <v>82</v>
      </c>
      <c r="M1" s="283" t="s">
        <v>83</v>
      </c>
      <c r="N1" s="283" t="s">
        <v>38</v>
      </c>
      <c r="O1" s="283" t="s">
        <v>549</v>
      </c>
      <c r="P1" s="85"/>
      <c r="Q1" s="82"/>
      <c r="R1" s="82"/>
      <c r="S1" s="82"/>
      <c r="T1" s="82"/>
      <c r="U1" s="282" t="s">
        <v>152</v>
      </c>
      <c r="V1" s="282" t="s">
        <v>153</v>
      </c>
      <c r="W1" s="282" t="s">
        <v>154</v>
      </c>
      <c r="X1" s="282" t="s">
        <v>155</v>
      </c>
      <c r="Y1" s="282" t="s">
        <v>156</v>
      </c>
      <c r="Z1" s="282" t="s">
        <v>157</v>
      </c>
      <c r="AA1" s="282" t="s">
        <v>158</v>
      </c>
      <c r="AB1" s="282" t="s">
        <v>159</v>
      </c>
      <c r="AC1" s="282" t="s">
        <v>160</v>
      </c>
      <c r="AD1" s="282" t="s">
        <v>161</v>
      </c>
      <c r="AE1" s="282" t="s">
        <v>162</v>
      </c>
      <c r="AF1" s="282" t="s">
        <v>163</v>
      </c>
      <c r="AG1" s="282" t="s">
        <v>164</v>
      </c>
      <c r="AH1" s="282" t="s">
        <v>165</v>
      </c>
      <c r="AI1" s="282" t="s">
        <v>166</v>
      </c>
      <c r="AJ1" s="282" t="s">
        <v>167</v>
      </c>
      <c r="AK1" s="115"/>
      <c r="AL1" s="115"/>
      <c r="AM1" s="115"/>
      <c r="AN1" s="115"/>
      <c r="AO1" s="285" t="s">
        <v>197</v>
      </c>
      <c r="AP1" s="285" t="s">
        <v>198</v>
      </c>
      <c r="AQ1" s="285" t="s">
        <v>199</v>
      </c>
      <c r="AR1" s="285" t="s">
        <v>200</v>
      </c>
      <c r="AS1" s="285" t="s">
        <v>201</v>
      </c>
      <c r="AT1" s="216" t="s">
        <v>187</v>
      </c>
      <c r="AU1" s="216" t="s">
        <v>188</v>
      </c>
      <c r="AV1" s="216" t="s">
        <v>189</v>
      </c>
      <c r="AW1" s="216" t="s">
        <v>190</v>
      </c>
      <c r="AX1" s="216" t="s">
        <v>191</v>
      </c>
      <c r="AY1" s="286" t="s">
        <v>551</v>
      </c>
      <c r="AZ1" s="284" t="s">
        <v>553</v>
      </c>
      <c r="BA1" s="284" t="s">
        <v>554</v>
      </c>
    </row>
    <row r="2" spans="1:53" s="3" customFormat="1" ht="6.6" hidden="1" x14ac:dyDescent="0.15">
      <c r="C2" s="131"/>
      <c r="D2" s="131"/>
      <c r="F2" s="4"/>
      <c r="G2" s="292"/>
      <c r="H2" s="293"/>
      <c r="I2" s="300"/>
      <c r="J2" s="283"/>
      <c r="K2" s="283"/>
      <c r="L2" s="283"/>
      <c r="M2" s="283"/>
      <c r="N2" s="283"/>
      <c r="O2" s="283"/>
      <c r="P2" s="86"/>
      <c r="Q2" s="83"/>
      <c r="R2" s="83"/>
      <c r="S2" s="83"/>
      <c r="T2" s="83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115"/>
      <c r="AL2" s="115"/>
      <c r="AM2" s="115"/>
      <c r="AN2" s="115"/>
      <c r="AO2" s="227"/>
      <c r="AP2" s="227"/>
      <c r="AQ2" s="227"/>
      <c r="AR2" s="227"/>
      <c r="AS2" s="227"/>
      <c r="AT2" s="217"/>
      <c r="AU2" s="217"/>
      <c r="AV2" s="217"/>
      <c r="AW2" s="217"/>
      <c r="AX2" s="217"/>
      <c r="AY2" s="286"/>
      <c r="AZ2" s="284"/>
      <c r="BA2" s="284"/>
    </row>
    <row r="3" spans="1:53" s="3" customFormat="1" ht="6.6" hidden="1" x14ac:dyDescent="0.15">
      <c r="C3" s="131"/>
      <c r="D3" s="131"/>
      <c r="F3" s="4"/>
      <c r="G3" s="292"/>
      <c r="H3" s="293"/>
      <c r="I3" s="300"/>
      <c r="J3" s="283"/>
      <c r="K3" s="283"/>
      <c r="L3" s="283"/>
      <c r="M3" s="283"/>
      <c r="N3" s="283"/>
      <c r="O3" s="283"/>
      <c r="P3" s="86"/>
      <c r="Q3" s="83"/>
      <c r="R3" s="83"/>
      <c r="S3" s="83"/>
      <c r="T3" s="83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115"/>
      <c r="AL3" s="115"/>
      <c r="AM3" s="115"/>
      <c r="AN3" s="115"/>
      <c r="AO3" s="227"/>
      <c r="AP3" s="227"/>
      <c r="AQ3" s="227"/>
      <c r="AR3" s="227"/>
      <c r="AS3" s="227"/>
      <c r="AT3" s="217"/>
      <c r="AU3" s="217"/>
      <c r="AV3" s="217"/>
      <c r="AW3" s="217"/>
      <c r="AX3" s="217"/>
      <c r="AY3" s="286"/>
      <c r="AZ3" s="284"/>
      <c r="BA3" s="284"/>
    </row>
    <row r="4" spans="1:53" s="3" customFormat="1" ht="6.6" hidden="1" x14ac:dyDescent="0.15">
      <c r="C4" s="131"/>
      <c r="D4" s="131"/>
      <c r="F4" s="4"/>
      <c r="G4" s="292"/>
      <c r="H4" s="293"/>
      <c r="I4" s="300"/>
      <c r="J4" s="283"/>
      <c r="K4" s="283"/>
      <c r="L4" s="283"/>
      <c r="M4" s="283"/>
      <c r="N4" s="283"/>
      <c r="O4" s="283"/>
      <c r="P4" s="86"/>
      <c r="Q4" s="83"/>
      <c r="R4" s="83"/>
      <c r="S4" s="83"/>
      <c r="T4" s="83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115"/>
      <c r="AL4" s="115"/>
      <c r="AM4" s="115"/>
      <c r="AN4" s="115"/>
      <c r="AO4" s="227"/>
      <c r="AP4" s="227"/>
      <c r="AQ4" s="227"/>
      <c r="AR4" s="227"/>
      <c r="AS4" s="227"/>
      <c r="AT4" s="217"/>
      <c r="AU4" s="217"/>
      <c r="AV4" s="217"/>
      <c r="AW4" s="217"/>
      <c r="AX4" s="217"/>
      <c r="AY4" s="286"/>
      <c r="AZ4" s="284"/>
      <c r="BA4" s="284"/>
    </row>
    <row r="5" spans="1:53" s="3" customFormat="1" ht="6.6" hidden="1" x14ac:dyDescent="0.15">
      <c r="C5" s="131"/>
      <c r="D5" s="131"/>
      <c r="F5" s="4"/>
      <c r="G5" s="292"/>
      <c r="H5" s="293"/>
      <c r="I5" s="300"/>
      <c r="J5" s="283"/>
      <c r="K5" s="283"/>
      <c r="L5" s="283"/>
      <c r="M5" s="283"/>
      <c r="N5" s="283"/>
      <c r="O5" s="283"/>
      <c r="P5" s="86"/>
      <c r="Q5" s="83"/>
      <c r="R5" s="83"/>
      <c r="S5" s="83"/>
      <c r="T5" s="83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115"/>
      <c r="AL5" s="115"/>
      <c r="AM5" s="115"/>
      <c r="AN5" s="115"/>
      <c r="AO5" s="227"/>
      <c r="AP5" s="227"/>
      <c r="AQ5" s="227"/>
      <c r="AR5" s="227"/>
      <c r="AS5" s="227"/>
      <c r="AT5" s="217"/>
      <c r="AU5" s="217"/>
      <c r="AV5" s="217"/>
      <c r="AW5" s="217"/>
      <c r="AX5" s="217"/>
      <c r="AY5" s="286"/>
      <c r="AZ5" s="284"/>
      <c r="BA5" s="284"/>
    </row>
    <row r="6" spans="1:53" s="3" customFormat="1" ht="6.6" hidden="1" x14ac:dyDescent="0.15">
      <c r="C6" s="131"/>
      <c r="D6" s="131"/>
      <c r="F6" s="4"/>
      <c r="G6" s="292"/>
      <c r="H6" s="293"/>
      <c r="I6" s="300"/>
      <c r="J6" s="283"/>
      <c r="K6" s="283"/>
      <c r="L6" s="283"/>
      <c r="M6" s="283"/>
      <c r="N6" s="283"/>
      <c r="O6" s="283"/>
      <c r="P6" s="86"/>
      <c r="Q6" s="83"/>
      <c r="R6" s="83"/>
      <c r="S6" s="83"/>
      <c r="T6" s="83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115"/>
      <c r="AL6" s="115"/>
      <c r="AM6" s="115"/>
      <c r="AN6" s="115"/>
      <c r="AO6" s="227"/>
      <c r="AP6" s="227"/>
      <c r="AQ6" s="227"/>
      <c r="AR6" s="227"/>
      <c r="AS6" s="227"/>
      <c r="AT6" s="217"/>
      <c r="AU6" s="217"/>
      <c r="AV6" s="217"/>
      <c r="AW6" s="217"/>
      <c r="AX6" s="217"/>
      <c r="AY6" s="286"/>
      <c r="AZ6" s="284"/>
      <c r="BA6" s="284"/>
    </row>
    <row r="7" spans="1:53" s="3" customFormat="1" ht="11.4" customHeight="1" x14ac:dyDescent="0.15">
      <c r="A7" s="263" t="s">
        <v>5</v>
      </c>
      <c r="B7" s="263"/>
      <c r="C7" s="263"/>
      <c r="D7" s="253" t="s">
        <v>543</v>
      </c>
      <c r="E7" s="253"/>
      <c r="F7" s="287"/>
      <c r="G7" s="292"/>
      <c r="H7" s="293"/>
      <c r="I7" s="300"/>
      <c r="J7" s="283"/>
      <c r="K7" s="283"/>
      <c r="L7" s="283"/>
      <c r="M7" s="283"/>
      <c r="N7" s="283"/>
      <c r="O7" s="283"/>
      <c r="P7" s="86"/>
      <c r="Q7" s="83"/>
      <c r="R7" s="83"/>
      <c r="S7" s="83"/>
      <c r="T7" s="83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282"/>
      <c r="AK7" s="222" t="s">
        <v>969</v>
      </c>
      <c r="AL7" s="222" t="s">
        <v>970</v>
      </c>
      <c r="AM7" s="222" t="s">
        <v>972</v>
      </c>
      <c r="AN7" s="222" t="s">
        <v>971</v>
      </c>
      <c r="AO7" s="227"/>
      <c r="AP7" s="227"/>
      <c r="AQ7" s="227"/>
      <c r="AR7" s="227"/>
      <c r="AS7" s="227"/>
      <c r="AT7" s="217"/>
      <c r="AU7" s="217"/>
      <c r="AV7" s="217"/>
      <c r="AW7" s="217"/>
      <c r="AX7" s="217"/>
      <c r="AY7" s="286"/>
      <c r="AZ7" s="284"/>
      <c r="BA7" s="284"/>
    </row>
    <row r="8" spans="1:53" s="3" customFormat="1" ht="11.4" customHeight="1" x14ac:dyDescent="0.15">
      <c r="A8" s="263"/>
      <c r="B8" s="263"/>
      <c r="C8" s="263"/>
      <c r="D8" s="253"/>
      <c r="E8" s="253"/>
      <c r="F8" s="287"/>
      <c r="G8" s="292"/>
      <c r="H8" s="293"/>
      <c r="I8" s="300"/>
      <c r="J8" s="283"/>
      <c r="K8" s="283"/>
      <c r="L8" s="283"/>
      <c r="M8" s="283"/>
      <c r="N8" s="283"/>
      <c r="O8" s="283"/>
      <c r="P8" s="86"/>
      <c r="Q8" s="83"/>
      <c r="R8" s="83"/>
      <c r="S8" s="83"/>
      <c r="T8" s="83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  <c r="AF8" s="282"/>
      <c r="AG8" s="282"/>
      <c r="AH8" s="282"/>
      <c r="AI8" s="282"/>
      <c r="AJ8" s="282"/>
      <c r="AK8" s="223"/>
      <c r="AL8" s="223"/>
      <c r="AM8" s="223"/>
      <c r="AN8" s="223"/>
      <c r="AO8" s="227"/>
      <c r="AP8" s="227"/>
      <c r="AQ8" s="227"/>
      <c r="AR8" s="227"/>
      <c r="AS8" s="227"/>
      <c r="AT8" s="217"/>
      <c r="AU8" s="217"/>
      <c r="AV8" s="217"/>
      <c r="AW8" s="217"/>
      <c r="AX8" s="217"/>
      <c r="AY8" s="286"/>
      <c r="AZ8" s="284"/>
      <c r="BA8" s="284"/>
    </row>
    <row r="9" spans="1:53" s="3" customFormat="1" ht="11.4" customHeight="1" x14ac:dyDescent="0.15">
      <c r="A9" s="263"/>
      <c r="B9" s="263"/>
      <c r="C9" s="263"/>
      <c r="D9" s="288" t="s">
        <v>6</v>
      </c>
      <c r="E9" s="254" t="str">
        <f>+'Data Input Progress'!G9</f>
        <v>August 2021</v>
      </c>
      <c r="F9" s="289"/>
      <c r="G9" s="292"/>
      <c r="H9" s="293"/>
      <c r="I9" s="300"/>
      <c r="J9" s="283"/>
      <c r="K9" s="283"/>
      <c r="L9" s="283"/>
      <c r="M9" s="283"/>
      <c r="N9" s="283"/>
      <c r="O9" s="283"/>
      <c r="P9" s="86"/>
      <c r="Q9" s="83"/>
      <c r="R9" s="83"/>
      <c r="S9" s="83"/>
      <c r="T9" s="83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  <c r="AF9" s="282"/>
      <c r="AG9" s="282"/>
      <c r="AH9" s="282"/>
      <c r="AI9" s="282"/>
      <c r="AJ9" s="282"/>
      <c r="AK9" s="224"/>
      <c r="AL9" s="224"/>
      <c r="AM9" s="224"/>
      <c r="AN9" s="224"/>
      <c r="AO9" s="227"/>
      <c r="AP9" s="227"/>
      <c r="AQ9" s="227"/>
      <c r="AR9" s="227"/>
      <c r="AS9" s="227"/>
      <c r="AT9" s="218"/>
      <c r="AU9" s="218"/>
      <c r="AV9" s="218"/>
      <c r="AW9" s="218"/>
      <c r="AX9" s="218"/>
      <c r="AY9" s="286"/>
      <c r="AZ9" s="284"/>
      <c r="BA9" s="284"/>
    </row>
    <row r="10" spans="1:53" s="3" customFormat="1" ht="11.4" customHeight="1" x14ac:dyDescent="0.15">
      <c r="A10" s="263"/>
      <c r="B10" s="263"/>
      <c r="C10" s="263"/>
      <c r="D10" s="288"/>
      <c r="E10" s="254"/>
      <c r="F10" s="289"/>
      <c r="G10" s="292"/>
      <c r="H10" s="293"/>
      <c r="I10" s="301"/>
      <c r="J10" s="283"/>
      <c r="K10" s="283"/>
      <c r="L10" s="283"/>
      <c r="M10" s="283"/>
      <c r="N10" s="283"/>
      <c r="O10" s="283"/>
      <c r="P10" s="87"/>
      <c r="Q10" s="84"/>
      <c r="R10" s="84"/>
      <c r="S10" s="84"/>
      <c r="T10" s="84"/>
      <c r="U10" s="266" t="s">
        <v>23</v>
      </c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8"/>
      <c r="AO10" s="265" t="s">
        <v>24</v>
      </c>
      <c r="AP10" s="265"/>
      <c r="AQ10" s="265"/>
      <c r="AR10" s="265"/>
      <c r="AS10" s="265"/>
      <c r="AT10" s="219" t="s">
        <v>20</v>
      </c>
      <c r="AU10" s="220"/>
      <c r="AV10" s="220"/>
      <c r="AW10" s="220"/>
      <c r="AX10" s="221"/>
      <c r="AY10" s="286"/>
      <c r="AZ10" s="284"/>
      <c r="BA10" s="284"/>
    </row>
    <row r="11" spans="1:53" s="3" customFormat="1" ht="14.4" customHeight="1" x14ac:dyDescent="0.15">
      <c r="A11" s="251" t="s">
        <v>4</v>
      </c>
      <c r="B11" s="251"/>
      <c r="C11" s="251"/>
      <c r="D11" s="252" t="s">
        <v>32</v>
      </c>
      <c r="E11" s="252"/>
      <c r="F11" s="77" t="s">
        <v>103</v>
      </c>
      <c r="G11" s="294"/>
      <c r="H11" s="295"/>
      <c r="I11" s="296" t="s">
        <v>544</v>
      </c>
      <c r="J11" s="297"/>
      <c r="K11" s="298"/>
      <c r="L11" s="296" t="s">
        <v>37</v>
      </c>
      <c r="M11" s="298"/>
      <c r="N11" s="88"/>
      <c r="O11" s="88"/>
      <c r="P11" s="81" t="s">
        <v>542</v>
      </c>
      <c r="Q11" s="80" t="s">
        <v>17</v>
      </c>
      <c r="R11" s="79" t="s">
        <v>18</v>
      </c>
      <c r="S11" s="79" t="s">
        <v>541</v>
      </c>
      <c r="T11" s="79" t="s">
        <v>1138</v>
      </c>
      <c r="U11" s="116" t="s">
        <v>171</v>
      </c>
      <c r="V11" s="116" t="s">
        <v>172</v>
      </c>
      <c r="W11" s="116" t="s">
        <v>173</v>
      </c>
      <c r="X11" s="116" t="s">
        <v>174</v>
      </c>
      <c r="Y11" s="116" t="s">
        <v>175</v>
      </c>
      <c r="Z11" s="116" t="s">
        <v>176</v>
      </c>
      <c r="AA11" s="116" t="s">
        <v>177</v>
      </c>
      <c r="AB11" s="116" t="s">
        <v>178</v>
      </c>
      <c r="AC11" s="116" t="s">
        <v>179</v>
      </c>
      <c r="AD11" s="116" t="s">
        <v>180</v>
      </c>
      <c r="AE11" s="116" t="s">
        <v>181</v>
      </c>
      <c r="AF11" s="116" t="s">
        <v>182</v>
      </c>
      <c r="AG11" s="116" t="s">
        <v>183</v>
      </c>
      <c r="AH11" s="116" t="s">
        <v>184</v>
      </c>
      <c r="AI11" s="116" t="s">
        <v>185</v>
      </c>
      <c r="AJ11" s="116" t="s">
        <v>186</v>
      </c>
      <c r="AK11" s="116" t="s">
        <v>468</v>
      </c>
      <c r="AL11" s="116" t="s">
        <v>471</v>
      </c>
      <c r="AM11" s="116" t="s">
        <v>476</v>
      </c>
      <c r="AN11" s="116" t="s">
        <v>480</v>
      </c>
      <c r="AO11" s="78" t="s">
        <v>202</v>
      </c>
      <c r="AP11" s="78" t="s">
        <v>203</v>
      </c>
      <c r="AQ11" s="78" t="s">
        <v>204</v>
      </c>
      <c r="AR11" s="78" t="s">
        <v>205</v>
      </c>
      <c r="AS11" s="78" t="s">
        <v>206</v>
      </c>
      <c r="AT11" s="6" t="s">
        <v>192</v>
      </c>
      <c r="AU11" s="6" t="s">
        <v>193</v>
      </c>
      <c r="AV11" s="6" t="s">
        <v>194</v>
      </c>
      <c r="AW11" s="6" t="s">
        <v>195</v>
      </c>
      <c r="AX11" s="6" t="s">
        <v>196</v>
      </c>
      <c r="AY11" s="286"/>
      <c r="AZ11" s="284"/>
      <c r="BA11" s="284"/>
    </row>
    <row r="12" spans="1:53" s="131" customFormat="1" ht="9" hidden="1" customHeight="1" x14ac:dyDescent="0.15">
      <c r="A12" s="139" t="str">
        <f>IFERROR(VLOOKUP(TEXT(Inputplan[[#This Row],[Date]],"yyyy-mm"),API_AccountingPeriod[text]:API_AccountingPeriod[Month],2,0),"Please Input Accounting Period")</f>
        <v>Please Input Accounting Period</v>
      </c>
      <c r="B12" s="139" t="e">
        <f>"Week_" &amp;WEEKNUM(Inputplan[[#This Row],[Date]])</f>
        <v>#VALUE!</v>
      </c>
      <c r="C12" s="132"/>
      <c r="D12" s="146"/>
      <c r="E12" s="139">
        <f>IFERROR(VLOOKUP(Inputplan[[#This Row],[Code Number]],API_CNUnit[text]:API_CNUnit[type],3,0),0)</f>
        <v>0</v>
      </c>
      <c r="F12" s="151"/>
      <c r="G12" s="142"/>
      <c r="H12" s="139" t="str">
        <f>IFERROR(VLOOKUP(Inputplan[[#This Row],[Code]],Classhours[[Column1]:[Code]],2,0),"")</f>
        <v/>
      </c>
      <c r="I12" s="147"/>
      <c r="J12" s="148"/>
      <c r="K12" s="148"/>
      <c r="L12" s="148"/>
      <c r="M12" s="148"/>
      <c r="N12" s="150">
        <f>IFERROR(Inputplan[[#This Row],[Overburden]]/(Inputplan[[#This Row],[WH]]),0)</f>
        <v>0</v>
      </c>
      <c r="O12" s="144">
        <f>IFERROR(Inputplan[[#This Row],[Coal]]/(Inputplan[[#This Row],[WH]]/60),0)</f>
        <v>0</v>
      </c>
      <c r="P12" s="144" t="e">
        <f>+IF(Inputplan[[#This Row],[Code Number]]="","",12)</f>
        <v>#VALUE!</v>
      </c>
      <c r="Q12" s="144" t="e">
        <f>SUM(Inputplan[[#This Row],[P2H]:[LAINNYA]])/60</f>
        <v>#VALUE!</v>
      </c>
      <c r="R12" s="144" t="e">
        <f>SUM(Inputplan[[#This Row],[HUJAN]:[PROBLEM COSTUMER]])/60</f>
        <v>#VALUE!</v>
      </c>
      <c r="S12" s="144" t="e">
        <f>SUM(Inputplan[[#This Row],[SCHEDULE SERVICE]:[ACCIDENT BREAKDOWN]])/60</f>
        <v>#VALUE!</v>
      </c>
      <c r="T12" s="144">
        <f>IFERROR(Inputplan[[#This Row],[MOHH]]-Inputplan[[#This Row],[Delay]]-Inputplan[[#This Row],[Idle]]-Inputplan[[#This Row],[B/D]],0)</f>
        <v>0</v>
      </c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5"/>
      <c r="AP12" s="135"/>
      <c r="AQ12" s="135"/>
      <c r="AR12" s="135"/>
      <c r="AS12" s="135"/>
      <c r="AT12" s="136"/>
      <c r="AU12" s="136"/>
      <c r="AV12" s="136"/>
      <c r="AW12" s="136"/>
      <c r="AX12" s="136"/>
      <c r="AY12" s="149"/>
      <c r="AZ12" s="139" t="e">
        <f>+Inputplan[[#This Row],[Overburden]]*Inputplan[[#This Row],[Distance OB]]</f>
        <v>#VALUE!</v>
      </c>
      <c r="BA12" s="139" t="e">
        <f>+Inputplan[[#This Row],[Coal]]*Inputplan[[#This Row],[Distance Coal]]</f>
        <v>#VALUE!</v>
      </c>
    </row>
    <row r="13" spans="1:53" s="120" customFormat="1" ht="16.2" customHeight="1" x14ac:dyDescent="0.3">
      <c r="A13" s="89" t="s">
        <v>1216</v>
      </c>
      <c r="B13" s="89" t="s">
        <v>1</v>
      </c>
      <c r="C13" s="100" t="s">
        <v>2</v>
      </c>
      <c r="D13" s="100" t="s">
        <v>7</v>
      </c>
      <c r="E13" s="128" t="s">
        <v>8</v>
      </c>
      <c r="F13" s="129" t="s">
        <v>103</v>
      </c>
      <c r="G13" s="90" t="s">
        <v>232</v>
      </c>
      <c r="H13" s="129" t="s">
        <v>531</v>
      </c>
      <c r="I13" s="129" t="s">
        <v>550</v>
      </c>
      <c r="J13" s="129" t="s">
        <v>545</v>
      </c>
      <c r="K13" s="90" t="s">
        <v>546</v>
      </c>
      <c r="L13" s="129" t="s">
        <v>82</v>
      </c>
      <c r="M13" s="129" t="s">
        <v>83</v>
      </c>
      <c r="N13" s="90" t="s">
        <v>38</v>
      </c>
      <c r="O13" s="90" t="s">
        <v>549</v>
      </c>
      <c r="P13" s="89" t="s">
        <v>542</v>
      </c>
      <c r="Q13" s="89" t="s">
        <v>17</v>
      </c>
      <c r="R13" s="89" t="s">
        <v>18</v>
      </c>
      <c r="S13" s="89" t="s">
        <v>541</v>
      </c>
      <c r="T13" s="89" t="s">
        <v>540</v>
      </c>
      <c r="U13" s="89" t="s">
        <v>152</v>
      </c>
      <c r="V13" s="89" t="s">
        <v>153</v>
      </c>
      <c r="W13" s="89" t="s">
        <v>154</v>
      </c>
      <c r="X13" s="89" t="s">
        <v>155</v>
      </c>
      <c r="Y13" s="89" t="s">
        <v>156</v>
      </c>
      <c r="Z13" s="89" t="s">
        <v>157</v>
      </c>
      <c r="AA13" s="89" t="s">
        <v>158</v>
      </c>
      <c r="AB13" s="89" t="s">
        <v>159</v>
      </c>
      <c r="AC13" s="89" t="s">
        <v>160</v>
      </c>
      <c r="AD13" s="89" t="s">
        <v>161</v>
      </c>
      <c r="AE13" s="89" t="s">
        <v>162</v>
      </c>
      <c r="AF13" s="89" t="s">
        <v>163</v>
      </c>
      <c r="AG13" s="89" t="s">
        <v>164</v>
      </c>
      <c r="AH13" s="89" t="s">
        <v>165</v>
      </c>
      <c r="AI13" s="89" t="s">
        <v>166</v>
      </c>
      <c r="AJ13" s="89" t="s">
        <v>167</v>
      </c>
      <c r="AK13" s="89" t="s">
        <v>969</v>
      </c>
      <c r="AL13" s="89" t="s">
        <v>970</v>
      </c>
      <c r="AM13" s="89" t="s">
        <v>972</v>
      </c>
      <c r="AN13" s="89" t="s">
        <v>971</v>
      </c>
      <c r="AO13" s="89" t="s">
        <v>197</v>
      </c>
      <c r="AP13" s="89" t="s">
        <v>198</v>
      </c>
      <c r="AQ13" s="89" t="s">
        <v>199</v>
      </c>
      <c r="AR13" s="89" t="s">
        <v>200</v>
      </c>
      <c r="AS13" s="89" t="s">
        <v>201</v>
      </c>
      <c r="AT13" s="89" t="s">
        <v>187</v>
      </c>
      <c r="AU13" s="89" t="s">
        <v>188</v>
      </c>
      <c r="AV13" s="89" t="s">
        <v>189</v>
      </c>
      <c r="AW13" s="89" t="s">
        <v>190</v>
      </c>
      <c r="AX13" s="89" t="s">
        <v>191</v>
      </c>
      <c r="AY13" s="119" t="s">
        <v>552</v>
      </c>
      <c r="AZ13" s="89" t="s">
        <v>555</v>
      </c>
      <c r="BA13" s="89" t="s">
        <v>556</v>
      </c>
    </row>
    <row r="14" spans="1:53" s="3" customFormat="1" ht="11.4" customHeight="1" x14ac:dyDescent="0.15">
      <c r="A14" s="7" t="str">
        <f>IFERROR(VLOOKUP(TEXT(Inputplan[[#This Row],[Date]],"yyyy-mm"),API_AccountingPeriod[text]:API_AccountingPeriod[Month],2,0),"Please Input Accounting Period")</f>
        <v>August 2021</v>
      </c>
      <c r="B14" s="7" t="str">
        <f>"Week_" &amp;WEEKNUM(Inputplan[[#This Row],[Date]])</f>
        <v>Week_34</v>
      </c>
      <c r="C14" s="152">
        <v>44424</v>
      </c>
      <c r="D14" s="131" t="s">
        <v>1643</v>
      </c>
      <c r="E14" s="7">
        <f>IFERROR(VLOOKUP(Inputplan[[#This Row],[Code Number]],API_CNUnit[text]:API_CNUnit[type],3,0),0)</f>
        <v>0</v>
      </c>
      <c r="F14" s="131" t="s">
        <v>209</v>
      </c>
      <c r="G14" s="3" t="s">
        <v>281</v>
      </c>
      <c r="H14" s="7" t="str">
        <f>IFERROR(VLOOKUP(Inputplan[[#This Row],[Code]],Classhours[[Column1]:[Code]],2,0),"")</f>
        <v>6:00-7:00</v>
      </c>
      <c r="I14" s="126" t="s">
        <v>1643</v>
      </c>
      <c r="J14" s="4"/>
      <c r="K14" s="4">
        <v>375</v>
      </c>
      <c r="L14" s="4"/>
      <c r="M14" s="4"/>
      <c r="N14" s="99">
        <f>IFERROR(Inputplan[[#This Row],[Overburden]]/(Inputplan[[#This Row],[WH]]),0)</f>
        <v>0</v>
      </c>
      <c r="O14" s="98">
        <f>IFERROR(Inputplan[[#This Row],[Coal]]/(Inputplan[[#This Row],[WH]]/60),0)</f>
        <v>1888.1118881118882</v>
      </c>
      <c r="P14" s="98">
        <f>+IF(Inputplan[[#This Row],[Code Number]]="","",12)</f>
        <v>12</v>
      </c>
      <c r="Q14" s="98">
        <f>SUM(Inputplan[[#This Row],[P2H]:[LAINNYA]])/60</f>
        <v>0</v>
      </c>
      <c r="R14" s="98">
        <f>SUM(Inputplan[[#This Row],[HUJAN]:[PROBLEM COSTUMER]])/60</f>
        <v>8.3333333333333329E-2</v>
      </c>
      <c r="S14" s="98">
        <f>SUM(Inputplan[[#This Row],[SCHEDULE SERVICE]:[ACCIDENT BREAKDOWN]])/60</f>
        <v>0</v>
      </c>
      <c r="T14" s="98">
        <f>IFERROR(Inputplan[[#This Row],[MOHH]]-Inputplan[[#This Row],[Delay]]-Inputplan[[#This Row],[Idle]]-Inputplan[[#This Row],[B/D]],0)</f>
        <v>11.916666666666666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>
        <v>5</v>
      </c>
      <c r="AQ14" s="4"/>
      <c r="AR14" s="4"/>
      <c r="AS14" s="4"/>
      <c r="AZ14" s="7">
        <f>+Inputplan[[#This Row],[Overburden]]*Inputplan[[#This Row],[Distance OB]]</f>
        <v>0</v>
      </c>
      <c r="BA14" s="7">
        <f>+Inputplan[[#This Row],[Coal]]*Inputplan[[#This Row],[Distance Coal]]</f>
        <v>0</v>
      </c>
    </row>
    <row r="15" spans="1:53" x14ac:dyDescent="0.2">
      <c r="A15" s="7" t="str">
        <f>IFERROR(VLOOKUP(TEXT(Inputplan[[#This Row],[Date]],"yyyy-mm"),API_AccountingPeriod[text]:API_AccountingPeriod[Month],2,0),"Please Input Accounting Period")</f>
        <v>August 2021</v>
      </c>
      <c r="B15" s="7" t="str">
        <f>"Week_" &amp;WEEKNUM(Inputplan[[#This Row],[Date]])</f>
        <v>Week_34</v>
      </c>
      <c r="C15" s="152">
        <v>44424</v>
      </c>
      <c r="D15" s="131" t="s">
        <v>1643</v>
      </c>
      <c r="E15" s="7">
        <f>IFERROR(VLOOKUP(Inputplan[[#This Row],[Code Number]],API_CNUnit[text]:API_CNUnit[type],3,0),0)</f>
        <v>0</v>
      </c>
      <c r="F15" s="131" t="s">
        <v>209</v>
      </c>
      <c r="G15" s="3" t="s">
        <v>301</v>
      </c>
      <c r="H15" s="7" t="str">
        <f>IFERROR(VLOOKUP(Inputplan[[#This Row],[Code]],Classhours[[Column1]:[Code]],2,0),"")</f>
        <v>7:00-8:00</v>
      </c>
      <c r="I15" s="126" t="s">
        <v>1643</v>
      </c>
      <c r="J15" s="4"/>
      <c r="K15" s="4">
        <v>375</v>
      </c>
      <c r="L15" s="4"/>
      <c r="M15" s="4"/>
      <c r="N15" s="99">
        <f>IFERROR(Inputplan[[#This Row],[Overburden]]/(Inputplan[[#This Row],[WH]]),0)</f>
        <v>0</v>
      </c>
      <c r="O15" s="98">
        <f>IFERROR(Inputplan[[#This Row],[Coal]]/(Inputplan[[#This Row],[WH]]/60),0)</f>
        <v>1888.1118881118882</v>
      </c>
      <c r="P15" s="114">
        <f>+IF(Inputplan[[#This Row],[Code Number]]="","",12)</f>
        <v>12</v>
      </c>
      <c r="Q15" s="114">
        <f>SUM(Inputplan[[#This Row],[P2H]:[LAINNYA]])/60</f>
        <v>0</v>
      </c>
      <c r="R15" s="114">
        <f>SUM(Inputplan[[#This Row],[HUJAN]:[PROBLEM COSTUMER]])/60</f>
        <v>8.3333333333333329E-2</v>
      </c>
      <c r="S15" s="114">
        <f>SUM(Inputplan[[#This Row],[SCHEDULE SERVICE]:[ACCIDENT BREAKDOWN]])/60</f>
        <v>0</v>
      </c>
      <c r="T15" s="98">
        <f>IFERROR(Inputplan[[#This Row],[MOHH]]-Inputplan[[#This Row],[Delay]]-Inputplan[[#This Row],[Idle]]-Inputplan[[#This Row],[B/D]],0)</f>
        <v>11.916666666666666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>
        <v>5</v>
      </c>
      <c r="AR15" s="4"/>
      <c r="AS15" s="4"/>
      <c r="AT15" s="4"/>
      <c r="AU15" s="4"/>
      <c r="AV15" s="4"/>
      <c r="AW15" s="4"/>
      <c r="AX15" s="3"/>
      <c r="AY15" s="3"/>
      <c r="AZ15" s="7">
        <f>+Inputplan[[#This Row],[Overburden]]*Inputplan[[#This Row],[Distance OB]]</f>
        <v>0</v>
      </c>
      <c r="BA15" s="7">
        <f>+Inputplan[[#This Row],[Coal]]*Inputplan[[#This Row],[Distance Coal]]</f>
        <v>0</v>
      </c>
    </row>
    <row r="16" spans="1:53" x14ac:dyDescent="0.2">
      <c r="A16" s="7" t="str">
        <f>IFERROR(VLOOKUP(TEXT(Inputplan[[#This Row],[Date]],"yyyy-mm"),API_AccountingPeriod[text]:API_AccountingPeriod[Month],2,0),"Please Input Accounting Period")</f>
        <v>August 2021</v>
      </c>
      <c r="B16" s="7" t="str">
        <f>"Week_" &amp;WEEKNUM(Inputplan[[#This Row],[Date]])</f>
        <v>Week_34</v>
      </c>
      <c r="C16" s="152">
        <v>44424</v>
      </c>
      <c r="D16" s="131" t="s">
        <v>1643</v>
      </c>
      <c r="E16" s="7">
        <f>IFERROR(VLOOKUP(Inputplan[[#This Row],[Code Number]],API_CNUnit[text]:API_CNUnit[type],3,0),0)</f>
        <v>0</v>
      </c>
      <c r="F16" s="131" t="s">
        <v>209</v>
      </c>
      <c r="G16" s="3" t="s">
        <v>317</v>
      </c>
      <c r="H16" s="7" t="str">
        <f>IFERROR(VLOOKUP(Inputplan[[#This Row],[Code]],Classhours[[Column1]:[Code]],2,0),"")</f>
        <v>8:00-9:00</v>
      </c>
      <c r="I16" s="126" t="s">
        <v>1643</v>
      </c>
      <c r="J16" s="4">
        <v>630</v>
      </c>
      <c r="K16" s="4"/>
      <c r="L16" s="4"/>
      <c r="M16" s="4"/>
      <c r="N16" s="99">
        <f>IFERROR(Inputplan[[#This Row],[Overburden]]/(Inputplan[[#This Row],[WH]]),0)</f>
        <v>52.867132867132867</v>
      </c>
      <c r="O16" s="98">
        <f>IFERROR(Inputplan[[#This Row],[Coal]]/(Inputplan[[#This Row],[WH]]/60),0)</f>
        <v>0</v>
      </c>
      <c r="P16" s="114">
        <f>+IF(Inputplan[[#This Row],[Code Number]]="","",12)</f>
        <v>12</v>
      </c>
      <c r="Q16" s="114">
        <f>SUM(Inputplan[[#This Row],[P2H]:[LAINNYA]])/60</f>
        <v>0</v>
      </c>
      <c r="R16" s="114">
        <f>SUM(Inputplan[[#This Row],[HUJAN]:[PROBLEM COSTUMER]])/60</f>
        <v>8.3333333333333329E-2</v>
      </c>
      <c r="S16" s="114">
        <f>SUM(Inputplan[[#This Row],[SCHEDULE SERVICE]:[ACCIDENT BREAKDOWN]])/60</f>
        <v>0</v>
      </c>
      <c r="T16" s="98">
        <f>IFERROR(Inputplan[[#This Row],[MOHH]]-Inputplan[[#This Row],[Delay]]-Inputplan[[#This Row],[Idle]]-Inputplan[[#This Row],[B/D]],0)</f>
        <v>11.916666666666666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>
        <v>5</v>
      </c>
      <c r="AS16" s="4"/>
      <c r="AT16" s="3"/>
      <c r="AU16" s="3"/>
      <c r="AV16" s="3"/>
      <c r="AW16" s="3"/>
      <c r="AX16" s="3"/>
      <c r="AY16" s="3"/>
      <c r="AZ16" s="7">
        <f>+Inputplan[[#This Row],[Overburden]]*Inputplan[[#This Row],[Distance OB]]</f>
        <v>0</v>
      </c>
      <c r="BA16" s="7">
        <f>+Inputplan[[#This Row],[Coal]]*Inputplan[[#This Row],[Distance Coal]]</f>
        <v>0</v>
      </c>
    </row>
    <row r="17" spans="1:53" x14ac:dyDescent="0.2">
      <c r="A17" s="7" t="str">
        <f>IFERROR(VLOOKUP(TEXT(Inputplan[[#This Row],[Date]],"yyyy-mm"),API_AccountingPeriod[text]:API_AccountingPeriod[Month],2,0),"Please Input Accounting Period")</f>
        <v>August 2021</v>
      </c>
      <c r="B17" s="7" t="str">
        <f>"Week_" &amp;WEEKNUM(Inputplan[[#This Row],[Date]])</f>
        <v>Week_34</v>
      </c>
      <c r="C17" s="152">
        <v>44424</v>
      </c>
      <c r="D17" s="131" t="s">
        <v>1643</v>
      </c>
      <c r="E17" s="7">
        <f>IFERROR(VLOOKUP(Inputplan[[#This Row],[Code Number]],API_CNUnit[text]:API_CNUnit[type],3,0),0)</f>
        <v>0</v>
      </c>
      <c r="F17" s="131" t="s">
        <v>209</v>
      </c>
      <c r="G17" s="3" t="s">
        <v>334</v>
      </c>
      <c r="H17" s="7" t="str">
        <f>IFERROR(VLOOKUP(Inputplan[[#This Row],[Code]],Classhours[[Column1]:[Code]],2,0),"")</f>
        <v>9:00-10:00</v>
      </c>
      <c r="I17" s="126" t="s">
        <v>1643</v>
      </c>
      <c r="J17" s="4">
        <v>630</v>
      </c>
      <c r="K17" s="4"/>
      <c r="L17" s="4"/>
      <c r="M17" s="4"/>
      <c r="N17" s="99">
        <f>IFERROR(Inputplan[[#This Row],[Overburden]]/(Inputplan[[#This Row],[WH]]),0)</f>
        <v>52.867132867132867</v>
      </c>
      <c r="O17" s="98">
        <f>IFERROR(Inputplan[[#This Row],[Coal]]/(Inputplan[[#This Row],[WH]]/60),0)</f>
        <v>0</v>
      </c>
      <c r="P17" s="114">
        <f>+IF(Inputplan[[#This Row],[Code Number]]="","",12)</f>
        <v>12</v>
      </c>
      <c r="Q17" s="114">
        <f>SUM(Inputplan[[#This Row],[P2H]:[LAINNYA]])/60</f>
        <v>0</v>
      </c>
      <c r="R17" s="114">
        <f>SUM(Inputplan[[#This Row],[HUJAN]:[PROBLEM COSTUMER]])/60</f>
        <v>8.3333333333333329E-2</v>
      </c>
      <c r="S17" s="114">
        <f>SUM(Inputplan[[#This Row],[SCHEDULE SERVICE]:[ACCIDENT BREAKDOWN]])/60</f>
        <v>0</v>
      </c>
      <c r="T17" s="98">
        <f>IFERROR(Inputplan[[#This Row],[MOHH]]-Inputplan[[#This Row],[Delay]]-Inputplan[[#This Row],[Idle]]-Inputplan[[#This Row],[B/D]],0)</f>
        <v>11.916666666666666</v>
      </c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>
        <v>5</v>
      </c>
      <c r="AT17" s="3"/>
      <c r="AU17" s="3"/>
      <c r="AV17" s="3"/>
      <c r="AW17" s="3"/>
      <c r="AX17" s="3"/>
      <c r="AY17" s="3"/>
      <c r="AZ17" s="7">
        <f>+Inputplan[[#This Row],[Overburden]]*Inputplan[[#This Row],[Distance OB]]</f>
        <v>0</v>
      </c>
      <c r="BA17" s="7">
        <f>+Inputplan[[#This Row],[Coal]]*Inputplan[[#This Row],[Distance Coal]]</f>
        <v>0</v>
      </c>
    </row>
    <row r="18" spans="1:53" x14ac:dyDescent="0.2">
      <c r="A18" s="7" t="str">
        <f>IFERROR(VLOOKUP(TEXT(Inputplan[[#This Row],[Date]],"yyyy-mm"),API_AccountingPeriod[text]:API_AccountingPeriod[Month],2,0),"Please Input Accounting Period")</f>
        <v>August 2021</v>
      </c>
      <c r="B18" s="7" t="str">
        <f>"Week_" &amp;WEEKNUM(Inputplan[[#This Row],[Date]])</f>
        <v>Week_34</v>
      </c>
      <c r="C18" s="152">
        <v>44428</v>
      </c>
      <c r="D18" s="131" t="s">
        <v>1643</v>
      </c>
      <c r="E18" s="7">
        <f>IFERROR(VLOOKUP(Inputplan[[#This Row],[Code Number]],API_CNUnit[text]:API_CNUnit[type],3,0),0)</f>
        <v>0</v>
      </c>
      <c r="F18" s="131" t="s">
        <v>209</v>
      </c>
      <c r="G18" s="3" t="s">
        <v>281</v>
      </c>
      <c r="H18" s="7" t="str">
        <f>IFERROR(VLOOKUP(Inputplan[[#This Row],[Code]],Classhours[[Column1]:[Code]],2,0),"")</f>
        <v>6:00-7:00</v>
      </c>
      <c r="I18" s="126" t="s">
        <v>1643</v>
      </c>
      <c r="J18" s="4">
        <v>630</v>
      </c>
      <c r="K18" s="4"/>
      <c r="L18" s="4"/>
      <c r="M18" s="4"/>
      <c r="N18" s="99">
        <f>IFERROR(Inputplan[[#This Row],[Overburden]]/(Inputplan[[#This Row],[WH]]),0)</f>
        <v>52.867132867132867</v>
      </c>
      <c r="O18" s="98">
        <f>IFERROR(Inputplan[[#This Row],[Coal]]/(Inputplan[[#This Row],[WH]]/60),0)</f>
        <v>0</v>
      </c>
      <c r="P18" s="114">
        <f>+IF(Inputplan[[#This Row],[Code Number]]="","",12)</f>
        <v>12</v>
      </c>
      <c r="Q18" s="114">
        <f>SUM(Inputplan[[#This Row],[P2H]:[LAINNYA]])/60</f>
        <v>0</v>
      </c>
      <c r="R18" s="114">
        <f>SUM(Inputplan[[#This Row],[HUJAN]:[PROBLEM COSTUMER]])/60</f>
        <v>8.3333333333333329E-2</v>
      </c>
      <c r="S18" s="114">
        <f>SUM(Inputplan[[#This Row],[SCHEDULE SERVICE]:[ACCIDENT BREAKDOWN]])/60</f>
        <v>0</v>
      </c>
      <c r="T18" s="98">
        <f>IFERROR(Inputplan[[#This Row],[MOHH]]-Inputplan[[#This Row],[Delay]]-Inputplan[[#This Row],[Idle]]-Inputplan[[#This Row],[B/D]],0)</f>
        <v>11.916666666666666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>
        <v>5</v>
      </c>
      <c r="AP18" s="4"/>
      <c r="AQ18" s="4"/>
      <c r="AR18" s="4"/>
      <c r="AS18" s="4"/>
      <c r="AT18" s="3"/>
      <c r="AU18" s="3"/>
      <c r="AV18" s="3"/>
      <c r="AW18" s="3"/>
      <c r="AX18" s="3"/>
      <c r="AY18" s="3"/>
      <c r="AZ18" s="7">
        <f>+Inputplan[[#This Row],[Overburden]]*Inputplan[[#This Row],[Distance OB]]</f>
        <v>0</v>
      </c>
      <c r="BA18" s="7">
        <f>+Inputplan[[#This Row],[Coal]]*Inputplan[[#This Row],[Distance Coal]]</f>
        <v>0</v>
      </c>
    </row>
    <row r="19" spans="1:53" x14ac:dyDescent="0.2">
      <c r="A19" s="7" t="str">
        <f>IFERROR(VLOOKUP(TEXT(Inputplan[[#This Row],[Date]],"yyyy-mm"),API_AccountingPeriod[text]:API_AccountingPeriod[Month],2,0),"Please Input Accounting Period")</f>
        <v>August 2021</v>
      </c>
      <c r="B19" s="7" t="str">
        <f>"Week_" &amp;WEEKNUM(Inputplan[[#This Row],[Date]])</f>
        <v>Week_34</v>
      </c>
      <c r="C19" s="152">
        <v>44428</v>
      </c>
      <c r="D19" s="131" t="s">
        <v>995</v>
      </c>
      <c r="E19" s="7" t="str">
        <f>IFERROR(VLOOKUP(Inputplan[[#This Row],[Code Number]],API_CNUnit[text]:API_CNUnit[type],3,0),0)</f>
        <v>DUMP TRUCK 60T</v>
      </c>
      <c r="F19" s="131" t="s">
        <v>209</v>
      </c>
      <c r="G19" s="3" t="s">
        <v>348</v>
      </c>
      <c r="H19" s="7" t="str">
        <f>IFERROR(VLOOKUP(Inputplan[[#This Row],[Code]],Classhours[[Column1]:[Code]],2,0),"")</f>
        <v>10:00-11:00</v>
      </c>
      <c r="I19" s="126" t="s">
        <v>1043</v>
      </c>
      <c r="J19" s="4">
        <v>450</v>
      </c>
      <c r="K19" s="4"/>
      <c r="L19" s="4"/>
      <c r="M19" s="4"/>
      <c r="N19" s="99">
        <f>IFERROR(Inputplan[[#This Row],[Overburden]]/(Inputplan[[#This Row],[WH]]),0)</f>
        <v>37.762237762237767</v>
      </c>
      <c r="O19" s="98">
        <f>IFERROR(Inputplan[[#This Row],[Coal]]/(Inputplan[[#This Row],[WH]]/60),0)</f>
        <v>0</v>
      </c>
      <c r="P19" s="114">
        <f>+IF(Inputplan[[#This Row],[Code Number]]="","",12)</f>
        <v>12</v>
      </c>
      <c r="Q19" s="114">
        <f>SUM(Inputplan[[#This Row],[P2H]:[LAINNYA]])/60</f>
        <v>8.3333333333333329E-2</v>
      </c>
      <c r="R19" s="114">
        <f>SUM(Inputplan[[#This Row],[HUJAN]:[PROBLEM COSTUMER]])/60</f>
        <v>0</v>
      </c>
      <c r="S19" s="114">
        <f>SUM(Inputplan[[#This Row],[SCHEDULE SERVICE]:[ACCIDENT BREAKDOWN]])/60</f>
        <v>0</v>
      </c>
      <c r="T19" s="98">
        <f>IFERROR(Inputplan[[#This Row],[MOHH]]-Inputplan[[#This Row],[Delay]]-Inputplan[[#This Row],[Idle]]-Inputplan[[#This Row],[B/D]],0)</f>
        <v>11.916666666666666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5</v>
      </c>
      <c r="AN19" s="4"/>
      <c r="AO19" s="4"/>
      <c r="AP19" s="4"/>
      <c r="AQ19" s="4"/>
      <c r="AR19" s="4"/>
      <c r="AS19" s="4"/>
      <c r="AT19" s="3"/>
      <c r="AU19" s="3"/>
      <c r="AV19" s="3"/>
      <c r="AW19" s="3"/>
      <c r="AX19" s="3"/>
      <c r="AY19" s="3"/>
      <c r="AZ19" s="7">
        <f>+Inputplan[[#This Row],[Overburden]]*Inputplan[[#This Row],[Distance OB]]</f>
        <v>0</v>
      </c>
      <c r="BA19" s="7">
        <f>+Inputplan[[#This Row],[Coal]]*Inputplan[[#This Row],[Distance Coal]]</f>
        <v>0</v>
      </c>
    </row>
    <row r="20" spans="1:53" x14ac:dyDescent="0.2">
      <c r="A20" s="7" t="str">
        <f>IFERROR(VLOOKUP(TEXT(Inputplan[[#This Row],[Date]],"yyyy-mm"),API_AccountingPeriod[text]:API_AccountingPeriod[Month],2,0),"Please Input Accounting Period")</f>
        <v>August 2021</v>
      </c>
      <c r="B20" s="7" t="str">
        <f>"Week_" &amp;WEEKNUM(Inputplan[[#This Row],[Date]])</f>
        <v>Week_34</v>
      </c>
      <c r="C20" s="152">
        <v>44428</v>
      </c>
      <c r="D20" s="131" t="s">
        <v>1643</v>
      </c>
      <c r="E20" s="7">
        <f>IFERROR(VLOOKUP(Inputplan[[#This Row],[Code Number]],API_CNUnit[text]:API_CNUnit[type],3,0),0)</f>
        <v>0</v>
      </c>
      <c r="F20" s="131" t="s">
        <v>209</v>
      </c>
      <c r="G20" s="3" t="s">
        <v>348</v>
      </c>
      <c r="H20" s="7" t="str">
        <f>IFERROR(VLOOKUP(Inputplan[[#This Row],[Code]],Classhours[[Column1]:[Code]],2,0),"")</f>
        <v>10:00-11:00</v>
      </c>
      <c r="I20" s="126" t="s">
        <v>1043</v>
      </c>
      <c r="J20" s="4">
        <v>450</v>
      </c>
      <c r="K20" s="4"/>
      <c r="L20" s="4"/>
      <c r="M20" s="4"/>
      <c r="N20" s="99">
        <f>IFERROR(Inputplan[[#This Row],[Overburden]]/(Inputplan[[#This Row],[WH]]),0)</f>
        <v>37.762237762237767</v>
      </c>
      <c r="O20" s="98">
        <f>IFERROR(Inputplan[[#This Row],[Coal]]/(Inputplan[[#This Row],[WH]]/60),0)</f>
        <v>0</v>
      </c>
      <c r="P20" s="114">
        <f>+IF(Inputplan[[#This Row],[Code Number]]="","",12)</f>
        <v>12</v>
      </c>
      <c r="Q20" s="114">
        <f>SUM(Inputplan[[#This Row],[P2H]:[LAINNYA]])/60</f>
        <v>8.3333333333333329E-2</v>
      </c>
      <c r="R20" s="114">
        <f>SUM(Inputplan[[#This Row],[HUJAN]:[PROBLEM COSTUMER]])/60</f>
        <v>0</v>
      </c>
      <c r="S20" s="114">
        <f>SUM(Inputplan[[#This Row],[SCHEDULE SERVICE]:[ACCIDENT BREAKDOWN]])/60</f>
        <v>0</v>
      </c>
      <c r="T20" s="98">
        <f>IFERROR(Inputplan[[#This Row],[MOHH]]-Inputplan[[#This Row],[Delay]]-Inputplan[[#This Row],[Idle]]-Inputplan[[#This Row],[B/D]],0)</f>
        <v>11.916666666666666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5</v>
      </c>
      <c r="AL20" s="4"/>
      <c r="AM20" s="4"/>
      <c r="AN20" s="4"/>
      <c r="AO20" s="4"/>
      <c r="AP20" s="4"/>
      <c r="AQ20" s="4"/>
      <c r="AR20" s="4"/>
      <c r="AS20" s="4"/>
      <c r="AT20" s="3"/>
      <c r="AU20" s="3"/>
      <c r="AV20" s="3"/>
      <c r="AW20" s="3"/>
      <c r="AX20" s="3"/>
      <c r="AY20" s="3"/>
      <c r="AZ20" s="7">
        <f>+Inputplan[[#This Row],[Overburden]]*Inputplan[[#This Row],[Distance OB]]</f>
        <v>0</v>
      </c>
      <c r="BA20" s="7">
        <f>+Inputplan[[#This Row],[Coal]]*Inputplan[[#This Row],[Distance Coal]]</f>
        <v>0</v>
      </c>
    </row>
    <row r="21" spans="1:53" x14ac:dyDescent="0.2">
      <c r="A21" s="7" t="str">
        <f>IFERROR(VLOOKUP(TEXT(Inputplan[[#This Row],[Date]],"yyyy-mm"),API_AccountingPeriod[text]:API_AccountingPeriod[Month],2,0),"Please Input Accounting Period")</f>
        <v>August 2021</v>
      </c>
      <c r="B21" s="7" t="str">
        <f>"Week_" &amp;WEEKNUM(Inputplan[[#This Row],[Date]])</f>
        <v>Week_34</v>
      </c>
      <c r="C21" s="152">
        <v>44428</v>
      </c>
      <c r="D21" s="131" t="s">
        <v>994</v>
      </c>
      <c r="E21" s="7" t="str">
        <f>IFERROR(VLOOKUP(Inputplan[[#This Row],[Code Number]],API_CNUnit[text]:API_CNUnit[type],3,0),0)</f>
        <v>DUMP TRUCK 60T</v>
      </c>
      <c r="F21" s="131" t="s">
        <v>209</v>
      </c>
      <c r="G21" s="3" t="s">
        <v>402</v>
      </c>
      <c r="H21" s="7" t="str">
        <f>IFERROR(VLOOKUP(Inputplan[[#This Row],[Code]],Classhours[[Column1]:[Code]],2,0),"")</f>
        <v>14:00-15:00</v>
      </c>
      <c r="I21" s="126" t="s">
        <v>1043</v>
      </c>
      <c r="J21" s="4">
        <v>450</v>
      </c>
      <c r="K21" s="4"/>
      <c r="L21" s="4"/>
      <c r="M21" s="4"/>
      <c r="N21" s="99">
        <f>IFERROR(Inputplan[[#This Row],[Overburden]]/(Inputplan[[#This Row],[WH]]),0)</f>
        <v>37.762237762237767</v>
      </c>
      <c r="O21" s="98">
        <f>IFERROR(Inputplan[[#This Row],[Coal]]/(Inputplan[[#This Row],[WH]]/60),0)</f>
        <v>0</v>
      </c>
      <c r="P21" s="114">
        <f>+IF(Inputplan[[#This Row],[Code Number]]="","",12)</f>
        <v>12</v>
      </c>
      <c r="Q21" s="114">
        <f>SUM(Inputplan[[#This Row],[P2H]:[LAINNYA]])/60</f>
        <v>8.3333333333333329E-2</v>
      </c>
      <c r="R21" s="114">
        <f>SUM(Inputplan[[#This Row],[HUJAN]:[PROBLEM COSTUMER]])/60</f>
        <v>0</v>
      </c>
      <c r="S21" s="114">
        <f>SUM(Inputplan[[#This Row],[SCHEDULE SERVICE]:[ACCIDENT BREAKDOWN]])/60</f>
        <v>0</v>
      </c>
      <c r="T21" s="98">
        <f>IFERROR(Inputplan[[#This Row],[MOHH]]-Inputplan[[#This Row],[Delay]]-Inputplan[[#This Row],[Idle]]-Inputplan[[#This Row],[B/D]],0)</f>
        <v>11.916666666666666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>
        <v>5</v>
      </c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3"/>
      <c r="AU21" s="3"/>
      <c r="AV21" s="3"/>
      <c r="AW21" s="3"/>
      <c r="AX21" s="3"/>
      <c r="AY21" s="3"/>
      <c r="AZ21" s="7">
        <f>+Inputplan[[#This Row],[Overburden]]*Inputplan[[#This Row],[Distance OB]]</f>
        <v>0</v>
      </c>
      <c r="BA21" s="7">
        <f>+Inputplan[[#This Row],[Coal]]*Inputplan[[#This Row],[Distance Coal]]</f>
        <v>0</v>
      </c>
    </row>
    <row r="24" spans="1:53" x14ac:dyDescent="0.2">
      <c r="O24" s="123"/>
    </row>
    <row r="25" spans="1:53" x14ac:dyDescent="0.2">
      <c r="O25" s="123"/>
    </row>
    <row r="27" spans="1:53" x14ac:dyDescent="0.2">
      <c r="J27" s="123"/>
      <c r="O27" s="123"/>
    </row>
    <row r="28" spans="1:53" x14ac:dyDescent="0.2">
      <c r="J28" s="123"/>
    </row>
    <row r="29" spans="1:53" x14ac:dyDescent="0.2">
      <c r="J29" s="123"/>
    </row>
    <row r="234" spans="55:69" x14ac:dyDescent="0.2">
      <c r="BC234" s="76">
        <v>10</v>
      </c>
      <c r="BE234" s="76">
        <v>30</v>
      </c>
      <c r="BF234" s="76">
        <v>5</v>
      </c>
      <c r="BG234" s="76">
        <v>15</v>
      </c>
      <c r="BL234" s="76">
        <v>30</v>
      </c>
      <c r="BQ234" s="76">
        <v>45</v>
      </c>
    </row>
    <row r="235" spans="55:69" x14ac:dyDescent="0.2">
      <c r="BC235" s="76">
        <v>10</v>
      </c>
      <c r="BE235" s="76">
        <v>30</v>
      </c>
      <c r="BF235" s="76">
        <v>5</v>
      </c>
      <c r="BG235" s="76">
        <v>15</v>
      </c>
      <c r="BL235" s="76">
        <v>30</v>
      </c>
      <c r="BQ235" s="76">
        <v>45</v>
      </c>
    </row>
    <row r="236" spans="55:69" x14ac:dyDescent="0.2">
      <c r="BH236" s="76">
        <v>720</v>
      </c>
    </row>
    <row r="237" spans="55:69" x14ac:dyDescent="0.2">
      <c r="BH237" s="76">
        <v>720</v>
      </c>
    </row>
  </sheetData>
  <mergeCells count="52">
    <mergeCell ref="G1:H11"/>
    <mergeCell ref="J1:J10"/>
    <mergeCell ref="L1:L10"/>
    <mergeCell ref="K1:K10"/>
    <mergeCell ref="M1:M10"/>
    <mergeCell ref="I11:K11"/>
    <mergeCell ref="I1:I10"/>
    <mergeCell ref="L11:M11"/>
    <mergeCell ref="A11:C11"/>
    <mergeCell ref="D11:E11"/>
    <mergeCell ref="A7:C10"/>
    <mergeCell ref="D7:F8"/>
    <mergeCell ref="D9:D10"/>
    <mergeCell ref="E9:F10"/>
    <mergeCell ref="AY1:AY11"/>
    <mergeCell ref="AV1:AV9"/>
    <mergeCell ref="AC1:AC9"/>
    <mergeCell ref="AF1:AF9"/>
    <mergeCell ref="AG1:AG9"/>
    <mergeCell ref="AU1:AU9"/>
    <mergeCell ref="AE1:AE9"/>
    <mergeCell ref="AD1:AD9"/>
    <mergeCell ref="AK7:AK9"/>
    <mergeCell ref="AL7:AL9"/>
    <mergeCell ref="AN7:AN9"/>
    <mergeCell ref="AM7:AM9"/>
    <mergeCell ref="AZ1:AZ11"/>
    <mergeCell ref="BA1:BA11"/>
    <mergeCell ref="AH1:AH9"/>
    <mergeCell ref="AI1:AI9"/>
    <mergeCell ref="AJ1:AJ9"/>
    <mergeCell ref="AO1:AO9"/>
    <mergeCell ref="AW1:AW9"/>
    <mergeCell ref="AX1:AX9"/>
    <mergeCell ref="AT10:AX10"/>
    <mergeCell ref="AS1:AS9"/>
    <mergeCell ref="AP1:AP9"/>
    <mergeCell ref="AQ1:AQ9"/>
    <mergeCell ref="AR1:AR9"/>
    <mergeCell ref="AO10:AS10"/>
    <mergeCell ref="AT1:AT9"/>
    <mergeCell ref="U10:AN10"/>
    <mergeCell ref="AA1:AA9"/>
    <mergeCell ref="AB1:AB9"/>
    <mergeCell ref="Y1:Y9"/>
    <mergeCell ref="U1:U9"/>
    <mergeCell ref="N1:N10"/>
    <mergeCell ref="O1:O10"/>
    <mergeCell ref="V1:V9"/>
    <mergeCell ref="W1:W9"/>
    <mergeCell ref="X1:X9"/>
    <mergeCell ref="Z1:Z9"/>
  </mergeCells>
  <phoneticPr fontId="23" type="noConversion"/>
  <dataValidations count="5">
    <dataValidation type="list" allowBlank="1" showInputMessage="1" showErrorMessage="1" sqref="G12 G14:G21" xr:uid="{00000000-0002-0000-0200-000004000000}">
      <formula1>INDIRECT("Classhours[Column1]")</formula1>
    </dataValidation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I12 I14:I21" xr:uid="{564F5633-D37F-40FF-B395-6C97557C388B}">
      <formula1>INDIRECT("API_PITLocation[Parent+BussName]")</formula1>
    </dataValidation>
    <dataValidation type="list" allowBlank="1" showInputMessage="1" showErrorMessage="1" sqref="F14:F21 F12" xr:uid="{8290C28C-47C1-4974-B391-B66EDE532E3B}">
      <formula1>INDIRECT("API_Shift[shift_name]")</formula1>
    </dataValidation>
    <dataValidation type="list" allowBlank="1" showInputMessage="1" showErrorMessage="1" sqref="E9:F10" xr:uid="{00000000-0002-0000-0200-000000000000}">
      <formula1>INDIRECT("dbmonthly[Monthy]")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D10" sqref="D10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4" width="23.33203125" bestFit="1" customWidth="1"/>
    <col min="5" max="5" width="22.33203125" bestFit="1" customWidth="1"/>
  </cols>
  <sheetData>
    <row r="1" spans="1:4" x14ac:dyDescent="0.3">
      <c r="A1" t="s">
        <v>2</v>
      </c>
      <c r="B1" t="s">
        <v>1123</v>
      </c>
      <c r="C1" t="s">
        <v>1121</v>
      </c>
      <c r="D1" t="s">
        <v>1128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J2"/>
  <sheetViews>
    <sheetView workbookViewId="0">
      <selection activeCell="E23" sqref="E23"/>
    </sheetView>
  </sheetViews>
  <sheetFormatPr defaultRowHeight="14.4" x14ac:dyDescent="0.3"/>
  <cols>
    <col min="1" max="1" width="7.6640625" bestFit="1" customWidth="1"/>
    <col min="2" max="2" width="9.44140625" bestFit="1" customWidth="1"/>
    <col min="3" max="3" width="18.33203125" bestFit="1" customWidth="1"/>
    <col min="4" max="5" width="22.33203125" bestFit="1" customWidth="1"/>
    <col min="7" max="7" width="19.5546875" bestFit="1" customWidth="1"/>
    <col min="8" max="9" width="8.6640625" bestFit="1" customWidth="1"/>
    <col min="10" max="10" width="13.44140625" bestFit="1" customWidth="1"/>
  </cols>
  <sheetData>
    <row r="1" spans="1:10" x14ac:dyDescent="0.3">
      <c r="A1" s="127" t="s">
        <v>1606</v>
      </c>
      <c r="B1" s="127" t="s">
        <v>1123</v>
      </c>
      <c r="C1" s="127" t="s">
        <v>1121</v>
      </c>
      <c r="D1" s="127" t="s">
        <v>1122</v>
      </c>
      <c r="G1" t="s">
        <v>1182</v>
      </c>
      <c r="H1" t="s">
        <v>1183</v>
      </c>
      <c r="I1" t="s">
        <v>1184</v>
      </c>
      <c r="J1" t="s">
        <v>1185</v>
      </c>
    </row>
    <row r="2" spans="1:10" x14ac:dyDescent="0.3">
      <c r="A2" s="102"/>
      <c r="H2" s="103"/>
      <c r="I2" s="10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Z21"/>
  <sheetViews>
    <sheetView topLeftCell="V10" zoomScaleNormal="100" workbookViewId="0">
      <selection activeCell="Y21" sqref="Y21"/>
    </sheetView>
  </sheetViews>
  <sheetFormatPr defaultRowHeight="14.4" x14ac:dyDescent="0.3"/>
  <cols>
    <col min="1" max="1" width="16.44140625" bestFit="1" customWidth="1"/>
    <col min="2" max="2" width="33.109375" bestFit="1" customWidth="1"/>
    <col min="3" max="3" width="11.88671875" bestFit="1" customWidth="1"/>
    <col min="4" max="4" width="32.77734375" bestFit="1" customWidth="1"/>
    <col min="5" max="5" width="32.33203125" bestFit="1" customWidth="1"/>
    <col min="6" max="6" width="32.88671875" bestFit="1" customWidth="1"/>
    <col min="7" max="7" width="12" bestFit="1" customWidth="1"/>
    <col min="8" max="8" width="11.44140625" bestFit="1" customWidth="1"/>
    <col min="9" max="9" width="32.21875" bestFit="1" customWidth="1"/>
    <col min="10" max="10" width="11.33203125" bestFit="1" customWidth="1"/>
    <col min="11" max="11" width="33.109375" bestFit="1" customWidth="1"/>
    <col min="12" max="12" width="33" bestFit="1" customWidth="1"/>
    <col min="13" max="13" width="32.77734375" bestFit="1" customWidth="1"/>
    <col min="14" max="14" width="10.21875" bestFit="1" customWidth="1"/>
    <col min="15" max="15" width="7.77734375" bestFit="1" customWidth="1"/>
    <col min="16" max="16" width="9.5546875" bestFit="1" customWidth="1"/>
    <col min="17" max="17" width="15" bestFit="1" customWidth="1"/>
    <col min="18" max="18" width="15.88671875" bestFit="1" customWidth="1"/>
    <col min="19" max="19" width="13.44140625" bestFit="1" customWidth="1"/>
    <col min="20" max="20" width="13.77734375" bestFit="1" customWidth="1"/>
    <col min="21" max="21" width="12.88671875" bestFit="1" customWidth="1"/>
    <col min="22" max="22" width="19.44140625" bestFit="1" customWidth="1"/>
    <col min="23" max="23" width="13.88671875" bestFit="1" customWidth="1"/>
    <col min="24" max="24" width="35.88671875" bestFit="1" customWidth="1"/>
    <col min="25" max="25" width="80.88671875" bestFit="1" customWidth="1"/>
    <col min="26" max="26" width="32.88671875" bestFit="1" customWidth="1"/>
    <col min="27" max="27" width="19.44140625" bestFit="1" customWidth="1"/>
    <col min="28" max="28" width="13.88671875" bestFit="1" customWidth="1"/>
    <col min="29" max="29" width="80.88671875" bestFit="1" customWidth="1"/>
    <col min="30" max="31" width="80.88671875" customWidth="1"/>
    <col min="32" max="32" width="11.44140625" bestFit="1" customWidth="1"/>
    <col min="33" max="35" width="80.88671875" customWidth="1"/>
    <col min="36" max="36" width="78.33203125" bestFit="1" customWidth="1"/>
    <col min="37" max="37" width="72.109375" bestFit="1" customWidth="1"/>
  </cols>
  <sheetData>
    <row r="1" spans="1:26" x14ac:dyDescent="0.3">
      <c r="A1" t="s">
        <v>1063</v>
      </c>
      <c r="B1" t="s">
        <v>1064</v>
      </c>
      <c r="C1" t="s">
        <v>1065</v>
      </c>
      <c r="D1" t="s">
        <v>1066</v>
      </c>
      <c r="E1" t="s">
        <v>1067</v>
      </c>
      <c r="F1" t="s">
        <v>1068</v>
      </c>
      <c r="G1" t="s">
        <v>1069</v>
      </c>
      <c r="H1" t="s">
        <v>1070</v>
      </c>
      <c r="I1" t="s">
        <v>1071</v>
      </c>
      <c r="J1" t="s">
        <v>1073</v>
      </c>
      <c r="K1" t="s">
        <v>1074</v>
      </c>
      <c r="L1" t="s">
        <v>1072</v>
      </c>
      <c r="M1" t="s">
        <v>1075</v>
      </c>
      <c r="N1" t="s">
        <v>1076</v>
      </c>
      <c r="O1" t="s">
        <v>1077</v>
      </c>
      <c r="P1" t="s">
        <v>1078</v>
      </c>
      <c r="Q1" t="s">
        <v>1186</v>
      </c>
      <c r="R1" t="s">
        <v>1187</v>
      </c>
      <c r="S1" t="s">
        <v>1188</v>
      </c>
      <c r="T1" t="s">
        <v>1189</v>
      </c>
      <c r="U1" t="s">
        <v>1190</v>
      </c>
      <c r="V1" t="s">
        <v>1079</v>
      </c>
      <c r="W1" t="s">
        <v>1080</v>
      </c>
      <c r="X1" t="s">
        <v>1118</v>
      </c>
      <c r="Y1" t="s">
        <v>1119</v>
      </c>
      <c r="Z1" t="s">
        <v>1211</v>
      </c>
    </row>
    <row r="2" spans="1:26" x14ac:dyDescent="0.3">
      <c r="A2" s="103" t="s">
        <v>1589</v>
      </c>
      <c r="B2" s="103" t="s">
        <v>1312</v>
      </c>
      <c r="C2" s="103"/>
      <c r="D2" t="s">
        <v>1348</v>
      </c>
      <c r="E2" s="103" t="s">
        <v>1382</v>
      </c>
      <c r="F2" s="103" t="s">
        <v>1386</v>
      </c>
      <c r="G2">
        <v>1</v>
      </c>
      <c r="H2">
        <v>20</v>
      </c>
      <c r="I2" s="103" t="s">
        <v>1424</v>
      </c>
      <c r="J2" s="103"/>
      <c r="K2" s="103" t="s">
        <v>1484</v>
      </c>
      <c r="M2" s="103"/>
      <c r="N2" s="103"/>
      <c r="O2" s="103"/>
      <c r="P2" s="103">
        <v>0</v>
      </c>
      <c r="R2">
        <v>0</v>
      </c>
      <c r="S2" s="103">
        <v>0</v>
      </c>
      <c r="T2">
        <v>0</v>
      </c>
      <c r="U2">
        <v>0</v>
      </c>
      <c r="W2" s="103" t="s">
        <v>1590</v>
      </c>
      <c r="X2" s="103" t="s">
        <v>1591</v>
      </c>
      <c r="Y2" s="103"/>
      <c r="Z2" t="s">
        <v>1574</v>
      </c>
    </row>
    <row r="3" spans="1:26" x14ac:dyDescent="0.3">
      <c r="A3" s="103" t="s">
        <v>1589</v>
      </c>
      <c r="B3" s="103" t="s">
        <v>1312</v>
      </c>
      <c r="C3" s="103"/>
      <c r="D3" t="s">
        <v>1348</v>
      </c>
      <c r="E3" s="103" t="s">
        <v>1382</v>
      </c>
      <c r="F3" s="103" t="s">
        <v>1386</v>
      </c>
      <c r="G3">
        <v>1</v>
      </c>
      <c r="H3">
        <v>20</v>
      </c>
      <c r="I3" s="103" t="s">
        <v>1424</v>
      </c>
      <c r="J3" s="103"/>
      <c r="K3" s="103" t="s">
        <v>1484</v>
      </c>
      <c r="M3" s="103"/>
      <c r="N3" s="103"/>
      <c r="O3" s="103"/>
      <c r="P3" s="103">
        <v>0</v>
      </c>
      <c r="R3">
        <v>0</v>
      </c>
      <c r="S3" s="103">
        <v>0</v>
      </c>
      <c r="T3">
        <v>0</v>
      </c>
      <c r="U3">
        <v>0</v>
      </c>
      <c r="W3" s="103" t="s">
        <v>1592</v>
      </c>
      <c r="X3" s="103" t="s">
        <v>1591</v>
      </c>
      <c r="Y3" s="103"/>
      <c r="Z3" t="s">
        <v>1574</v>
      </c>
    </row>
    <row r="4" spans="1:26" x14ac:dyDescent="0.3">
      <c r="A4" s="103" t="s">
        <v>1589</v>
      </c>
      <c r="B4" s="103" t="s">
        <v>1312</v>
      </c>
      <c r="C4" s="103"/>
      <c r="D4" t="s">
        <v>1348</v>
      </c>
      <c r="E4" s="103" t="s">
        <v>1382</v>
      </c>
      <c r="F4" s="103" t="s">
        <v>1386</v>
      </c>
      <c r="G4">
        <v>1</v>
      </c>
      <c r="H4">
        <v>20</v>
      </c>
      <c r="I4" s="103" t="s">
        <v>1424</v>
      </c>
      <c r="J4" s="103"/>
      <c r="K4" s="103" t="s">
        <v>1484</v>
      </c>
      <c r="M4" s="103"/>
      <c r="N4" s="103"/>
      <c r="O4" s="103"/>
      <c r="P4" s="103">
        <v>0</v>
      </c>
      <c r="R4">
        <v>0</v>
      </c>
      <c r="S4" s="103">
        <v>0</v>
      </c>
      <c r="T4">
        <v>0</v>
      </c>
      <c r="U4">
        <v>0</v>
      </c>
      <c r="W4" s="103" t="s">
        <v>1593</v>
      </c>
      <c r="X4" s="103" t="s">
        <v>1591</v>
      </c>
      <c r="Y4" s="103"/>
      <c r="Z4" t="s">
        <v>1574</v>
      </c>
    </row>
    <row r="5" spans="1:26" x14ac:dyDescent="0.3">
      <c r="A5" s="103" t="s">
        <v>1589</v>
      </c>
      <c r="B5" s="103" t="s">
        <v>1312</v>
      </c>
      <c r="C5" s="103"/>
      <c r="D5" t="s">
        <v>1348</v>
      </c>
      <c r="E5" s="103" t="s">
        <v>1382</v>
      </c>
      <c r="F5" s="103" t="s">
        <v>1386</v>
      </c>
      <c r="G5">
        <v>1</v>
      </c>
      <c r="H5">
        <v>20</v>
      </c>
      <c r="I5" s="103" t="s">
        <v>1424</v>
      </c>
      <c r="J5" s="103"/>
      <c r="K5" s="103" t="s">
        <v>1484</v>
      </c>
      <c r="L5" t="s">
        <v>1370</v>
      </c>
      <c r="M5" s="103" t="s">
        <v>1491</v>
      </c>
      <c r="N5" s="103">
        <v>300</v>
      </c>
      <c r="O5" s="103">
        <v>3</v>
      </c>
      <c r="P5" s="103">
        <v>75</v>
      </c>
      <c r="R5">
        <v>0</v>
      </c>
      <c r="S5" s="103">
        <v>0</v>
      </c>
      <c r="T5">
        <v>22500</v>
      </c>
      <c r="U5">
        <v>57.692307692307693</v>
      </c>
      <c r="W5" s="103" t="s">
        <v>1594</v>
      </c>
      <c r="X5" s="103"/>
      <c r="Y5" s="103"/>
      <c r="Z5" t="s">
        <v>1574</v>
      </c>
    </row>
    <row r="6" spans="1:26" x14ac:dyDescent="0.3">
      <c r="A6" s="103" t="s">
        <v>1589</v>
      </c>
      <c r="B6" s="103" t="s">
        <v>1312</v>
      </c>
      <c r="C6" s="103"/>
      <c r="D6" t="s">
        <v>1348</v>
      </c>
      <c r="E6" s="103" t="s">
        <v>1382</v>
      </c>
      <c r="F6" s="103" t="s">
        <v>1386</v>
      </c>
      <c r="G6">
        <v>1</v>
      </c>
      <c r="H6">
        <v>20</v>
      </c>
      <c r="I6" s="103" t="s">
        <v>1424</v>
      </c>
      <c r="J6" s="103"/>
      <c r="K6" s="103" t="s">
        <v>1484</v>
      </c>
      <c r="L6" t="s">
        <v>1321</v>
      </c>
      <c r="M6" s="103" t="s">
        <v>1491</v>
      </c>
      <c r="N6" s="103">
        <v>300</v>
      </c>
      <c r="O6" s="103">
        <v>4</v>
      </c>
      <c r="P6" s="103">
        <v>100</v>
      </c>
      <c r="R6">
        <v>0</v>
      </c>
      <c r="S6" s="103">
        <v>100</v>
      </c>
      <c r="T6">
        <v>30000</v>
      </c>
      <c r="U6">
        <v>76.92307692307692</v>
      </c>
      <c r="W6" s="103" t="s">
        <v>1594</v>
      </c>
      <c r="X6" s="103" t="s">
        <v>1605</v>
      </c>
      <c r="Y6" s="103"/>
      <c r="Z6" t="s">
        <v>1574</v>
      </c>
    </row>
    <row r="7" spans="1:26" x14ac:dyDescent="0.3">
      <c r="A7" s="103" t="s">
        <v>1589</v>
      </c>
      <c r="B7" s="103" t="s">
        <v>1312</v>
      </c>
      <c r="C7" s="103"/>
      <c r="D7" t="s">
        <v>1348</v>
      </c>
      <c r="E7" s="103" t="s">
        <v>1382</v>
      </c>
      <c r="F7" s="103" t="s">
        <v>1386</v>
      </c>
      <c r="G7">
        <v>1</v>
      </c>
      <c r="H7">
        <v>20</v>
      </c>
      <c r="I7" s="103" t="s">
        <v>1424</v>
      </c>
      <c r="J7" s="103"/>
      <c r="K7" s="103" t="s">
        <v>1484</v>
      </c>
      <c r="L7" t="s">
        <v>1370</v>
      </c>
      <c r="M7" s="103" t="s">
        <v>1491</v>
      </c>
      <c r="N7" s="103">
        <v>300</v>
      </c>
      <c r="O7" s="103">
        <v>2</v>
      </c>
      <c r="P7" s="103">
        <v>50</v>
      </c>
      <c r="R7">
        <v>0</v>
      </c>
      <c r="S7" s="103">
        <v>0</v>
      </c>
      <c r="T7">
        <v>15000</v>
      </c>
      <c r="U7">
        <v>38.46153846153846</v>
      </c>
      <c r="W7" s="103" t="s">
        <v>1595</v>
      </c>
      <c r="X7" s="103"/>
      <c r="Y7" s="103"/>
      <c r="Z7" t="s">
        <v>1574</v>
      </c>
    </row>
    <row r="8" spans="1:26" x14ac:dyDescent="0.3">
      <c r="A8" s="103" t="s">
        <v>1589</v>
      </c>
      <c r="B8" s="103" t="s">
        <v>1312</v>
      </c>
      <c r="C8" s="103"/>
      <c r="D8" t="s">
        <v>1348</v>
      </c>
      <c r="E8" s="103" t="s">
        <v>1382</v>
      </c>
      <c r="F8" s="103" t="s">
        <v>1386</v>
      </c>
      <c r="G8">
        <v>1</v>
      </c>
      <c r="H8">
        <v>20</v>
      </c>
      <c r="I8" s="103" t="s">
        <v>1424</v>
      </c>
      <c r="J8" s="103"/>
      <c r="K8" s="103" t="s">
        <v>1484</v>
      </c>
      <c r="L8" t="s">
        <v>1321</v>
      </c>
      <c r="M8" s="103" t="s">
        <v>1491</v>
      </c>
      <c r="N8" s="103">
        <v>300</v>
      </c>
      <c r="O8" s="103">
        <v>10</v>
      </c>
      <c r="P8" s="103">
        <v>250</v>
      </c>
      <c r="R8">
        <v>0</v>
      </c>
      <c r="S8" s="103">
        <v>250</v>
      </c>
      <c r="T8">
        <v>75000</v>
      </c>
      <c r="U8">
        <v>192.30769230769229</v>
      </c>
      <c r="W8" s="103" t="s">
        <v>1595</v>
      </c>
      <c r="X8" s="103" t="s">
        <v>1605</v>
      </c>
      <c r="Y8" s="103"/>
      <c r="Z8" t="s">
        <v>1574</v>
      </c>
    </row>
    <row r="9" spans="1:26" x14ac:dyDescent="0.3">
      <c r="A9" s="103" t="s">
        <v>1589</v>
      </c>
      <c r="B9" s="103" t="s">
        <v>1312</v>
      </c>
      <c r="C9" s="103"/>
      <c r="D9" t="s">
        <v>1348</v>
      </c>
      <c r="E9" s="103" t="s">
        <v>1382</v>
      </c>
      <c r="F9" s="103" t="s">
        <v>1386</v>
      </c>
      <c r="G9">
        <v>1</v>
      </c>
      <c r="H9">
        <v>20</v>
      </c>
      <c r="I9" s="103" t="s">
        <v>1424</v>
      </c>
      <c r="J9" s="103"/>
      <c r="K9" s="103" t="s">
        <v>1484</v>
      </c>
      <c r="L9" t="s">
        <v>1370</v>
      </c>
      <c r="M9" s="103" t="s">
        <v>1491</v>
      </c>
      <c r="N9" s="103">
        <v>300</v>
      </c>
      <c r="O9" s="103">
        <v>4</v>
      </c>
      <c r="P9" s="103">
        <v>100</v>
      </c>
      <c r="R9">
        <v>0</v>
      </c>
      <c r="S9" s="103">
        <v>0</v>
      </c>
      <c r="T9">
        <v>30000</v>
      </c>
      <c r="U9">
        <v>76.92307692307692</v>
      </c>
      <c r="W9" s="103" t="s">
        <v>1596</v>
      </c>
      <c r="X9" s="103"/>
      <c r="Y9" s="103"/>
      <c r="Z9" t="s">
        <v>1574</v>
      </c>
    </row>
    <row r="10" spans="1:26" x14ac:dyDescent="0.3">
      <c r="A10" s="103" t="s">
        <v>1589</v>
      </c>
      <c r="B10" s="103" t="s">
        <v>1312</v>
      </c>
      <c r="C10" s="103"/>
      <c r="D10" t="s">
        <v>1348</v>
      </c>
      <c r="E10" s="103" t="s">
        <v>1382</v>
      </c>
      <c r="F10" s="103" t="s">
        <v>1386</v>
      </c>
      <c r="G10">
        <v>1</v>
      </c>
      <c r="H10">
        <v>20</v>
      </c>
      <c r="I10" s="103" t="s">
        <v>1424</v>
      </c>
      <c r="J10" s="103"/>
      <c r="K10" s="103" t="s">
        <v>1484</v>
      </c>
      <c r="L10" t="s">
        <v>1321</v>
      </c>
      <c r="M10" s="103" t="s">
        <v>1491</v>
      </c>
      <c r="N10" s="103">
        <v>300</v>
      </c>
      <c r="O10" s="103">
        <v>6</v>
      </c>
      <c r="P10" s="103">
        <v>150</v>
      </c>
      <c r="R10">
        <v>0</v>
      </c>
      <c r="S10" s="103">
        <v>150</v>
      </c>
      <c r="T10">
        <v>45000</v>
      </c>
      <c r="U10">
        <v>115.38461538461539</v>
      </c>
      <c r="W10" s="103" t="s">
        <v>1596</v>
      </c>
      <c r="X10" s="103" t="s">
        <v>1605</v>
      </c>
      <c r="Y10" s="103"/>
      <c r="Z10" t="s">
        <v>1574</v>
      </c>
    </row>
    <row r="11" spans="1:26" x14ac:dyDescent="0.3">
      <c r="A11" s="103" t="s">
        <v>1589</v>
      </c>
      <c r="B11" s="103" t="s">
        <v>1312</v>
      </c>
      <c r="C11" s="103"/>
      <c r="D11" t="s">
        <v>1348</v>
      </c>
      <c r="E11" s="103" t="s">
        <v>1382</v>
      </c>
      <c r="F11" s="103" t="s">
        <v>1386</v>
      </c>
      <c r="G11">
        <v>1</v>
      </c>
      <c r="H11">
        <v>20</v>
      </c>
      <c r="I11" s="103" t="s">
        <v>1424</v>
      </c>
      <c r="J11" s="103"/>
      <c r="K11" s="103" t="s">
        <v>1484</v>
      </c>
      <c r="M11" s="103"/>
      <c r="N11" s="103"/>
      <c r="O11" s="103"/>
      <c r="P11" s="103">
        <v>0</v>
      </c>
      <c r="R11">
        <v>0</v>
      </c>
      <c r="S11" s="103">
        <v>0</v>
      </c>
      <c r="T11">
        <v>0</v>
      </c>
      <c r="U11">
        <v>0</v>
      </c>
      <c r="W11" s="103" t="s">
        <v>1597</v>
      </c>
      <c r="X11" s="103" t="s">
        <v>1598</v>
      </c>
      <c r="Y11" s="103"/>
      <c r="Z11" t="s">
        <v>1574</v>
      </c>
    </row>
    <row r="12" spans="1:26" x14ac:dyDescent="0.3">
      <c r="A12" s="103" t="s">
        <v>1589</v>
      </c>
      <c r="B12" s="103" t="s">
        <v>1312</v>
      </c>
      <c r="C12" s="103"/>
      <c r="D12" t="s">
        <v>1348</v>
      </c>
      <c r="E12" s="103" t="s">
        <v>1382</v>
      </c>
      <c r="F12" s="103" t="s">
        <v>1386</v>
      </c>
      <c r="G12">
        <v>1</v>
      </c>
      <c r="H12">
        <v>20</v>
      </c>
      <c r="I12" s="103" t="s">
        <v>1424</v>
      </c>
      <c r="J12" s="103"/>
      <c r="K12" s="103" t="s">
        <v>1484</v>
      </c>
      <c r="L12" t="s">
        <v>1370</v>
      </c>
      <c r="M12" s="103" t="s">
        <v>1491</v>
      </c>
      <c r="N12" s="103">
        <v>300</v>
      </c>
      <c r="O12" s="103">
        <v>3</v>
      </c>
      <c r="P12" s="103">
        <v>75</v>
      </c>
      <c r="R12">
        <v>0</v>
      </c>
      <c r="S12" s="103">
        <v>0</v>
      </c>
      <c r="T12">
        <v>22500</v>
      </c>
      <c r="U12">
        <v>57.692307692307693</v>
      </c>
      <c r="W12" s="103" t="s">
        <v>1599</v>
      </c>
      <c r="X12" s="103"/>
      <c r="Y12" s="103"/>
      <c r="Z12" t="s">
        <v>1574</v>
      </c>
    </row>
    <row r="13" spans="1:26" x14ac:dyDescent="0.3">
      <c r="A13" s="103" t="s">
        <v>1589</v>
      </c>
      <c r="B13" s="103" t="s">
        <v>1312</v>
      </c>
      <c r="C13" s="103"/>
      <c r="D13" t="s">
        <v>1348</v>
      </c>
      <c r="E13" s="103" t="s">
        <v>1382</v>
      </c>
      <c r="F13" s="103" t="s">
        <v>1386</v>
      </c>
      <c r="G13">
        <v>1</v>
      </c>
      <c r="H13">
        <v>20</v>
      </c>
      <c r="I13" s="103" t="s">
        <v>1424</v>
      </c>
      <c r="J13" s="103"/>
      <c r="K13" s="103" t="s">
        <v>1484</v>
      </c>
      <c r="L13" t="s">
        <v>1321</v>
      </c>
      <c r="M13" s="103" t="s">
        <v>1491</v>
      </c>
      <c r="N13" s="103">
        <v>300</v>
      </c>
      <c r="O13" s="103">
        <v>10</v>
      </c>
      <c r="P13" s="103">
        <v>250</v>
      </c>
      <c r="R13">
        <v>0</v>
      </c>
      <c r="S13" s="103">
        <v>250</v>
      </c>
      <c r="T13">
        <v>75000</v>
      </c>
      <c r="U13">
        <v>192.30769230769229</v>
      </c>
      <c r="W13" s="103" t="s">
        <v>1599</v>
      </c>
      <c r="X13" s="103" t="s">
        <v>1605</v>
      </c>
      <c r="Y13" s="103"/>
      <c r="Z13" t="s">
        <v>1574</v>
      </c>
    </row>
    <row r="14" spans="1:26" x14ac:dyDescent="0.3">
      <c r="A14" s="103" t="s">
        <v>1589</v>
      </c>
      <c r="B14" s="103" t="s">
        <v>1312</v>
      </c>
      <c r="C14" s="103"/>
      <c r="D14" t="s">
        <v>1348</v>
      </c>
      <c r="E14" s="103" t="s">
        <v>1382</v>
      </c>
      <c r="F14" s="103" t="s">
        <v>1386</v>
      </c>
      <c r="G14">
        <v>1</v>
      </c>
      <c r="H14">
        <v>20</v>
      </c>
      <c r="I14" s="103" t="s">
        <v>1424</v>
      </c>
      <c r="J14" s="103"/>
      <c r="K14" s="103" t="s">
        <v>1484</v>
      </c>
      <c r="L14" t="s">
        <v>1370</v>
      </c>
      <c r="M14" s="103" t="s">
        <v>1491</v>
      </c>
      <c r="N14" s="103">
        <v>300</v>
      </c>
      <c r="O14" s="103">
        <v>2</v>
      </c>
      <c r="P14" s="103">
        <v>50</v>
      </c>
      <c r="R14">
        <v>0</v>
      </c>
      <c r="S14" s="103">
        <v>0</v>
      </c>
      <c r="T14">
        <v>15000</v>
      </c>
      <c r="U14">
        <v>38.46153846153846</v>
      </c>
      <c r="W14" s="103" t="s">
        <v>1600</v>
      </c>
      <c r="X14" s="103"/>
      <c r="Y14" s="103"/>
      <c r="Z14" t="s">
        <v>1574</v>
      </c>
    </row>
    <row r="15" spans="1:26" x14ac:dyDescent="0.3">
      <c r="A15" s="103" t="s">
        <v>1589</v>
      </c>
      <c r="B15" s="103" t="s">
        <v>1312</v>
      </c>
      <c r="C15" s="103"/>
      <c r="D15" t="s">
        <v>1348</v>
      </c>
      <c r="E15" s="103" t="s">
        <v>1382</v>
      </c>
      <c r="F15" s="103" t="s">
        <v>1386</v>
      </c>
      <c r="G15">
        <v>1</v>
      </c>
      <c r="H15">
        <v>20</v>
      </c>
      <c r="I15" s="103" t="s">
        <v>1424</v>
      </c>
      <c r="J15" s="103"/>
      <c r="K15" s="103" t="s">
        <v>1484</v>
      </c>
      <c r="L15" t="s">
        <v>1321</v>
      </c>
      <c r="M15" s="103" t="s">
        <v>1491</v>
      </c>
      <c r="N15" s="103">
        <v>300</v>
      </c>
      <c r="O15" s="103">
        <v>6</v>
      </c>
      <c r="P15" s="103">
        <v>150</v>
      </c>
      <c r="R15">
        <v>0</v>
      </c>
      <c r="S15" s="103">
        <v>150</v>
      </c>
      <c r="T15">
        <v>45000</v>
      </c>
      <c r="U15">
        <v>115.38461538461539</v>
      </c>
      <c r="W15" s="103" t="s">
        <v>1600</v>
      </c>
      <c r="X15" s="103" t="s">
        <v>1605</v>
      </c>
      <c r="Y15" s="103"/>
      <c r="Z15" t="s">
        <v>1574</v>
      </c>
    </row>
    <row r="16" spans="1:26" x14ac:dyDescent="0.3">
      <c r="A16" s="103" t="s">
        <v>1589</v>
      </c>
      <c r="B16" s="103" t="s">
        <v>1312</v>
      </c>
      <c r="C16" s="103"/>
      <c r="D16" t="s">
        <v>1348</v>
      </c>
      <c r="E16" s="103" t="s">
        <v>1382</v>
      </c>
      <c r="F16" s="103" t="s">
        <v>1386</v>
      </c>
      <c r="G16">
        <v>1</v>
      </c>
      <c r="H16">
        <v>20</v>
      </c>
      <c r="I16" s="103" t="s">
        <v>1424</v>
      </c>
      <c r="J16" s="103"/>
      <c r="K16" s="103" t="s">
        <v>1484</v>
      </c>
      <c r="L16" t="s">
        <v>1370</v>
      </c>
      <c r="M16" s="103" t="s">
        <v>1491</v>
      </c>
      <c r="N16" s="103">
        <v>300</v>
      </c>
      <c r="O16" s="103">
        <v>2</v>
      </c>
      <c r="P16" s="103">
        <v>50</v>
      </c>
      <c r="R16">
        <v>0</v>
      </c>
      <c r="S16" s="103">
        <v>0</v>
      </c>
      <c r="T16">
        <v>15000</v>
      </c>
      <c r="U16">
        <v>38.46153846153846</v>
      </c>
      <c r="W16" s="103" t="s">
        <v>1601</v>
      </c>
      <c r="X16" s="103"/>
      <c r="Y16" s="103"/>
      <c r="Z16" t="s">
        <v>1574</v>
      </c>
    </row>
    <row r="17" spans="1:26" x14ac:dyDescent="0.3">
      <c r="A17" s="103" t="s">
        <v>1589</v>
      </c>
      <c r="B17" s="103" t="s">
        <v>1312</v>
      </c>
      <c r="C17" s="103"/>
      <c r="D17" t="s">
        <v>1348</v>
      </c>
      <c r="E17" s="103" t="s">
        <v>1382</v>
      </c>
      <c r="F17" s="103" t="s">
        <v>1386</v>
      </c>
      <c r="G17">
        <v>1</v>
      </c>
      <c r="H17">
        <v>20</v>
      </c>
      <c r="I17" s="103" t="s">
        <v>1424</v>
      </c>
      <c r="J17" s="103"/>
      <c r="K17" s="103" t="s">
        <v>1484</v>
      </c>
      <c r="L17" t="s">
        <v>1321</v>
      </c>
      <c r="M17" s="103" t="s">
        <v>1491</v>
      </c>
      <c r="N17" s="103">
        <v>300</v>
      </c>
      <c r="O17" s="103">
        <v>8</v>
      </c>
      <c r="P17" s="103">
        <v>200</v>
      </c>
      <c r="R17">
        <v>0</v>
      </c>
      <c r="S17" s="103">
        <v>200</v>
      </c>
      <c r="T17">
        <v>60000</v>
      </c>
      <c r="U17">
        <v>153.84615384615384</v>
      </c>
      <c r="W17" s="103" t="s">
        <v>1601</v>
      </c>
      <c r="X17" s="103" t="s">
        <v>1605</v>
      </c>
      <c r="Y17" s="103" t="s">
        <v>1604</v>
      </c>
      <c r="Z17" t="s">
        <v>1574</v>
      </c>
    </row>
    <row r="18" spans="1:26" x14ac:dyDescent="0.3">
      <c r="A18" s="103" t="s">
        <v>1589</v>
      </c>
      <c r="B18" s="103" t="s">
        <v>1312</v>
      </c>
      <c r="C18" s="103"/>
      <c r="D18" t="s">
        <v>1348</v>
      </c>
      <c r="E18" s="103" t="s">
        <v>1382</v>
      </c>
      <c r="F18" s="103" t="s">
        <v>1386</v>
      </c>
      <c r="G18">
        <v>1</v>
      </c>
      <c r="H18">
        <v>20</v>
      </c>
      <c r="I18" s="103" t="s">
        <v>1424</v>
      </c>
      <c r="J18" s="103"/>
      <c r="K18" s="103" t="s">
        <v>1484</v>
      </c>
      <c r="L18" t="s">
        <v>1321</v>
      </c>
      <c r="M18" s="103" t="s">
        <v>1491</v>
      </c>
      <c r="N18" s="103">
        <v>300</v>
      </c>
      <c r="O18" s="103">
        <v>7</v>
      </c>
      <c r="P18" s="103">
        <v>175</v>
      </c>
      <c r="R18">
        <v>0</v>
      </c>
      <c r="S18" s="103">
        <v>175</v>
      </c>
      <c r="T18">
        <v>52500</v>
      </c>
      <c r="U18">
        <v>134.61538461538461</v>
      </c>
      <c r="W18" s="103" t="s">
        <v>1602</v>
      </c>
      <c r="X18" s="103" t="s">
        <v>1605</v>
      </c>
      <c r="Y18" s="103"/>
      <c r="Z18" t="s">
        <v>1574</v>
      </c>
    </row>
    <row r="19" spans="1:26" x14ac:dyDescent="0.3">
      <c r="A19" s="103" t="s">
        <v>1589</v>
      </c>
      <c r="B19" s="103" t="s">
        <v>1312</v>
      </c>
      <c r="C19" s="103"/>
      <c r="D19" t="s">
        <v>1348</v>
      </c>
      <c r="E19" s="103" t="s">
        <v>1382</v>
      </c>
      <c r="F19" s="103" t="s">
        <v>1386</v>
      </c>
      <c r="G19">
        <v>1</v>
      </c>
      <c r="H19">
        <v>20</v>
      </c>
      <c r="I19" s="103" t="s">
        <v>1424</v>
      </c>
      <c r="J19" s="103"/>
      <c r="K19" s="103" t="s">
        <v>1484</v>
      </c>
      <c r="L19" t="s">
        <v>1370</v>
      </c>
      <c r="M19" s="103" t="s">
        <v>1491</v>
      </c>
      <c r="N19" s="103">
        <v>300</v>
      </c>
      <c r="O19" s="103">
        <v>3</v>
      </c>
      <c r="P19" s="103">
        <v>75</v>
      </c>
      <c r="R19">
        <v>0</v>
      </c>
      <c r="S19" s="103">
        <v>0</v>
      </c>
      <c r="T19">
        <v>22500</v>
      </c>
      <c r="U19">
        <v>57.692307692307693</v>
      </c>
      <c r="W19" s="103" t="s">
        <v>1602</v>
      </c>
      <c r="X19" s="103"/>
      <c r="Y19" s="103"/>
      <c r="Z19" t="s">
        <v>1574</v>
      </c>
    </row>
    <row r="20" spans="1:26" x14ac:dyDescent="0.3">
      <c r="A20" s="103" t="s">
        <v>1589</v>
      </c>
      <c r="B20" s="103" t="s">
        <v>1312</v>
      </c>
      <c r="C20" s="103"/>
      <c r="D20" t="s">
        <v>1348</v>
      </c>
      <c r="E20" s="103" t="s">
        <v>1382</v>
      </c>
      <c r="F20" s="103" t="s">
        <v>1386</v>
      </c>
      <c r="G20">
        <v>1</v>
      </c>
      <c r="H20">
        <v>20</v>
      </c>
      <c r="I20" s="103" t="s">
        <v>1424</v>
      </c>
      <c r="J20" s="103"/>
      <c r="K20" s="103" t="s">
        <v>1484</v>
      </c>
      <c r="L20" t="s">
        <v>1370</v>
      </c>
      <c r="M20" s="103" t="s">
        <v>1491</v>
      </c>
      <c r="N20" s="103">
        <v>300</v>
      </c>
      <c r="O20" s="103">
        <v>3</v>
      </c>
      <c r="P20" s="103">
        <v>75</v>
      </c>
      <c r="R20">
        <v>0</v>
      </c>
      <c r="S20" s="103">
        <v>0</v>
      </c>
      <c r="T20">
        <v>22500</v>
      </c>
      <c r="U20">
        <v>57.692307692307693</v>
      </c>
      <c r="W20" s="103" t="s">
        <v>1603</v>
      </c>
      <c r="X20" s="103"/>
      <c r="Y20" s="103"/>
      <c r="Z20" t="s">
        <v>1574</v>
      </c>
    </row>
    <row r="21" spans="1:26" ht="172.8" x14ac:dyDescent="0.3">
      <c r="A21" s="103" t="s">
        <v>1589</v>
      </c>
      <c r="B21" s="103" t="s">
        <v>1312</v>
      </c>
      <c r="C21" s="103"/>
      <c r="D21" t="s">
        <v>1348</v>
      </c>
      <c r="E21" s="103" t="s">
        <v>1382</v>
      </c>
      <c r="F21" s="103" t="s">
        <v>1386</v>
      </c>
      <c r="G21">
        <v>1</v>
      </c>
      <c r="H21">
        <v>20</v>
      </c>
      <c r="I21" s="103" t="s">
        <v>1424</v>
      </c>
      <c r="J21" s="103"/>
      <c r="K21" s="103" t="s">
        <v>1484</v>
      </c>
      <c r="L21" t="s">
        <v>1321</v>
      </c>
      <c r="M21" s="103" t="s">
        <v>1491</v>
      </c>
      <c r="N21" s="103">
        <v>300</v>
      </c>
      <c r="O21" s="103">
        <v>5</v>
      </c>
      <c r="P21" s="103">
        <v>125</v>
      </c>
      <c r="R21">
        <v>0</v>
      </c>
      <c r="S21" s="103">
        <v>125</v>
      </c>
      <c r="T21">
        <v>37500</v>
      </c>
      <c r="U21">
        <v>96.153846153846146</v>
      </c>
      <c r="W21" s="103" t="s">
        <v>1603</v>
      </c>
      <c r="X21" s="204" t="s">
        <v>1605</v>
      </c>
      <c r="Y21" s="204" t="s">
        <v>1642</v>
      </c>
      <c r="Z21" t="s">
        <v>1574</v>
      </c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I9"/>
  <sheetViews>
    <sheetView workbookViewId="0">
      <selection activeCell="C19" sqref="C19"/>
    </sheetView>
  </sheetViews>
  <sheetFormatPr defaultRowHeight="14.4" x14ac:dyDescent="0.3"/>
  <cols>
    <col min="1" max="1" width="16.44140625" bestFit="1" customWidth="1"/>
    <col min="2" max="2" width="32.6640625" bestFit="1" customWidth="1"/>
    <col min="3" max="4" width="32.77734375" bestFit="1" customWidth="1"/>
    <col min="5" max="5" width="9.5546875" bestFit="1" customWidth="1"/>
    <col min="6" max="6" width="10.21875" bestFit="1" customWidth="1"/>
    <col min="7" max="7" width="72" bestFit="1" customWidth="1"/>
    <col min="8" max="8" width="28.6640625" bestFit="1" customWidth="1"/>
    <col min="9" max="9" width="19" bestFit="1" customWidth="1"/>
    <col min="10" max="10" width="18.88671875" bestFit="1" customWidth="1"/>
    <col min="11" max="11" width="37.5546875" bestFit="1" customWidth="1"/>
    <col min="12" max="12" width="14.109375" bestFit="1" customWidth="1"/>
    <col min="13" max="13" width="37.5546875" customWidth="1"/>
    <col min="14" max="14" width="80.88671875" bestFit="1" customWidth="1"/>
  </cols>
  <sheetData>
    <row r="1" spans="1:9" x14ac:dyDescent="0.3">
      <c r="A1" t="s">
        <v>1063</v>
      </c>
      <c r="B1" t="s">
        <v>1066</v>
      </c>
      <c r="C1" t="s">
        <v>1064</v>
      </c>
      <c r="D1" t="s">
        <v>1071</v>
      </c>
      <c r="E1" t="s">
        <v>1078</v>
      </c>
      <c r="F1" t="s">
        <v>1076</v>
      </c>
      <c r="G1" t="s">
        <v>1118</v>
      </c>
      <c r="H1" t="s">
        <v>1211</v>
      </c>
      <c r="I1" t="s">
        <v>1215</v>
      </c>
    </row>
    <row r="2" spans="1:9" x14ac:dyDescent="0.3">
      <c r="A2" t="s">
        <v>1213</v>
      </c>
      <c r="C2" s="103" t="s">
        <v>1298</v>
      </c>
      <c r="D2" s="103"/>
      <c r="E2">
        <v>375</v>
      </c>
      <c r="G2" s="103" t="s">
        <v>1301</v>
      </c>
      <c r="I2" t="s">
        <v>546</v>
      </c>
    </row>
    <row r="3" spans="1:9" x14ac:dyDescent="0.3">
      <c r="A3" t="s">
        <v>1213</v>
      </c>
      <c r="C3" s="103" t="s">
        <v>1298</v>
      </c>
      <c r="D3" s="103"/>
      <c r="E3">
        <v>375</v>
      </c>
      <c r="G3" s="103" t="s">
        <v>1302</v>
      </c>
      <c r="I3" t="s">
        <v>546</v>
      </c>
    </row>
    <row r="4" spans="1:9" x14ac:dyDescent="0.3">
      <c r="A4" t="s">
        <v>1213</v>
      </c>
      <c r="C4" s="103" t="s">
        <v>1298</v>
      </c>
      <c r="D4" s="103"/>
      <c r="E4">
        <v>630</v>
      </c>
      <c r="G4" s="103" t="s">
        <v>1303</v>
      </c>
      <c r="I4" t="s">
        <v>545</v>
      </c>
    </row>
    <row r="5" spans="1:9" x14ac:dyDescent="0.3">
      <c r="A5" t="s">
        <v>1213</v>
      </c>
      <c r="C5" s="103" t="s">
        <v>1298</v>
      </c>
      <c r="D5" s="103"/>
      <c r="E5">
        <v>630</v>
      </c>
      <c r="G5" s="103" t="s">
        <v>1304</v>
      </c>
      <c r="I5" t="s">
        <v>545</v>
      </c>
    </row>
    <row r="6" spans="1:9" x14ac:dyDescent="0.3">
      <c r="A6" t="s">
        <v>1212</v>
      </c>
      <c r="C6" s="103" t="s">
        <v>1298</v>
      </c>
      <c r="D6" s="103"/>
      <c r="E6">
        <v>630</v>
      </c>
      <c r="G6" s="103" t="s">
        <v>1305</v>
      </c>
      <c r="I6" t="s">
        <v>545</v>
      </c>
    </row>
    <row r="7" spans="1:9" x14ac:dyDescent="0.3">
      <c r="A7" t="s">
        <v>1212</v>
      </c>
      <c r="C7" s="103" t="s">
        <v>1298</v>
      </c>
      <c r="D7" s="103" t="s">
        <v>1300</v>
      </c>
      <c r="E7">
        <v>450</v>
      </c>
      <c r="G7" s="103" t="s">
        <v>1306</v>
      </c>
      <c r="I7" t="s">
        <v>545</v>
      </c>
    </row>
    <row r="8" spans="1:9" x14ac:dyDescent="0.3">
      <c r="A8" t="s">
        <v>1212</v>
      </c>
      <c r="C8" s="103" t="s">
        <v>1298</v>
      </c>
      <c r="D8" s="103" t="s">
        <v>1300</v>
      </c>
      <c r="E8">
        <v>450</v>
      </c>
      <c r="G8" s="103" t="s">
        <v>1307</v>
      </c>
      <c r="I8" t="s">
        <v>545</v>
      </c>
    </row>
    <row r="9" spans="1:9" x14ac:dyDescent="0.3">
      <c r="A9" t="s">
        <v>1212</v>
      </c>
      <c r="B9" t="s">
        <v>1299</v>
      </c>
      <c r="C9" s="103" t="s">
        <v>1298</v>
      </c>
      <c r="D9" s="103" t="s">
        <v>1300</v>
      </c>
      <c r="E9">
        <v>450</v>
      </c>
      <c r="G9" s="103" t="s">
        <v>1308</v>
      </c>
      <c r="I9" t="s">
        <v>545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4" x14ac:dyDescent="0.3"/>
  <cols>
    <col min="1" max="1" width="10.5546875" bestFit="1" customWidth="1"/>
    <col min="2" max="2" width="9.4414062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15.6640625" bestFit="1" customWidth="1"/>
    <col min="7" max="7" width="7.109375" bestFit="1" customWidth="1"/>
    <col min="8" max="8" width="9.6640625" bestFit="1" customWidth="1"/>
    <col min="9" max="10" width="12" bestFit="1" customWidth="1"/>
    <col min="11" max="11" width="16.6640625" bestFit="1" customWidth="1"/>
    <col min="12" max="12" width="17.88671875" bestFit="1" customWidth="1"/>
    <col min="13" max="13" width="25" bestFit="1" customWidth="1"/>
    <col min="14" max="14" width="12" bestFit="1" customWidth="1"/>
    <col min="15" max="15" width="10.44140625" bestFit="1" customWidth="1"/>
    <col min="16" max="16" width="17" bestFit="1" customWidth="1"/>
    <col min="17" max="17" width="26.33203125" bestFit="1" customWidth="1"/>
    <col min="18" max="18" width="17.6640625" bestFit="1" customWidth="1"/>
    <col min="19" max="19" width="18.88671875" bestFit="1" customWidth="1"/>
    <col min="20" max="20" width="17.44140625" bestFit="1" customWidth="1"/>
    <col min="21" max="21" width="18.5546875" bestFit="1" customWidth="1"/>
    <col min="22" max="22" width="16.44140625" bestFit="1" customWidth="1"/>
    <col min="23" max="23" width="17.6640625" bestFit="1" customWidth="1"/>
    <col min="24" max="24" width="25" bestFit="1" customWidth="1"/>
    <col min="25" max="30" width="23.88671875" bestFit="1" customWidth="1"/>
    <col min="31" max="31" width="24.88671875" bestFit="1" customWidth="1"/>
    <col min="32" max="37" width="25.109375" bestFit="1" customWidth="1"/>
    <col min="38" max="38" width="26.109375" bestFit="1" customWidth="1"/>
    <col min="39" max="44" width="27.44140625" bestFit="1" customWidth="1"/>
    <col min="45" max="45" width="28.5546875" bestFit="1" customWidth="1"/>
    <col min="46" max="51" width="28.6640625" bestFit="1" customWidth="1"/>
    <col min="52" max="52" width="29.6640625" bestFit="1" customWidth="1"/>
    <col min="53" max="53" width="21.5546875" bestFit="1" customWidth="1"/>
    <col min="54" max="54" width="12.88671875" bestFit="1" customWidth="1"/>
    <col min="55" max="55" width="17.6640625" bestFit="1" customWidth="1"/>
    <col min="56" max="56" width="18.88671875" bestFit="1" customWidth="1"/>
    <col min="57" max="57" width="22.33203125" bestFit="1" customWidth="1"/>
    <col min="58" max="58" width="24.33203125" bestFit="1" customWidth="1"/>
    <col min="59" max="59" width="20.5546875" bestFit="1" customWidth="1"/>
    <col min="60" max="60" width="23" bestFit="1" customWidth="1"/>
    <col min="61" max="61" width="23.5546875" bestFit="1" customWidth="1"/>
    <col min="62" max="62" width="13" bestFit="1" customWidth="1"/>
    <col min="63" max="63" width="15.88671875" bestFit="1" customWidth="1"/>
    <col min="64" max="64" width="31" bestFit="1" customWidth="1"/>
    <col min="65" max="65" width="19.6640625" bestFit="1" customWidth="1"/>
    <col min="66" max="66" width="30.33203125" bestFit="1" customWidth="1"/>
    <col min="67" max="67" width="21.6640625" bestFit="1" customWidth="1"/>
    <col min="68" max="68" width="24.5546875" bestFit="1" customWidth="1"/>
    <col min="69" max="69" width="24.44140625" bestFit="1" customWidth="1"/>
    <col min="70" max="70" width="20.33203125" bestFit="1" customWidth="1"/>
    <col min="71" max="71" width="18.6640625" bestFit="1" customWidth="1"/>
    <col min="72" max="72" width="21.33203125" bestFit="1" customWidth="1"/>
    <col min="73" max="73" width="12" bestFit="1" customWidth="1"/>
    <col min="74" max="74" width="36.44140625" bestFit="1" customWidth="1"/>
    <col min="75" max="75" width="18.5546875" bestFit="1" customWidth="1"/>
    <col min="76" max="76" width="19.6640625" bestFit="1" customWidth="1"/>
    <col min="77" max="77" width="27.33203125" bestFit="1" customWidth="1"/>
    <col min="78" max="78" width="23.88671875" bestFit="1" customWidth="1"/>
    <col min="79" max="79" width="24.6640625" bestFit="1" customWidth="1"/>
    <col min="80" max="80" width="16.33203125" bestFit="1" customWidth="1"/>
    <col min="81" max="81" width="17.33203125" bestFit="1" customWidth="1"/>
    <col min="82" max="82" width="23.6640625" bestFit="1" customWidth="1"/>
    <col min="83" max="83" width="24.6640625" bestFit="1" customWidth="1"/>
    <col min="84" max="84" width="17.88671875" bestFit="1" customWidth="1"/>
    <col min="85" max="85" width="12" bestFit="1" customWidth="1"/>
    <col min="86" max="86" width="14" bestFit="1" customWidth="1"/>
    <col min="87" max="87" width="22.6640625" bestFit="1" customWidth="1"/>
    <col min="88" max="88" width="15.109375" bestFit="1" customWidth="1"/>
    <col min="89" max="90" width="13.109375" bestFit="1" customWidth="1"/>
    <col min="91" max="91" width="22.33203125" bestFit="1" customWidth="1"/>
    <col min="92" max="92" width="27.109375" bestFit="1" customWidth="1"/>
    <col min="93" max="93" width="26.109375" bestFit="1" customWidth="1"/>
    <col min="94" max="94" width="23.88671875" bestFit="1" customWidth="1"/>
    <col min="95" max="95" width="30.88671875" bestFit="1" customWidth="1"/>
    <col min="96" max="96" width="23.33203125" bestFit="1" customWidth="1"/>
    <col min="97" max="97" width="29.88671875" bestFit="1" customWidth="1"/>
    <col min="98" max="98" width="28" bestFit="1" customWidth="1"/>
    <col min="99" max="100" width="12" bestFit="1" customWidth="1"/>
    <col min="101" max="101" width="24.6640625" bestFit="1" customWidth="1"/>
    <col min="102" max="102" width="25.88671875" bestFit="1" customWidth="1"/>
    <col min="103" max="103" width="31.6640625" bestFit="1" customWidth="1"/>
    <col min="104" max="104" width="18.33203125" bestFit="1" customWidth="1"/>
    <col min="105" max="105" width="19.6640625" bestFit="1" customWidth="1"/>
    <col min="106" max="106" width="26.6640625" bestFit="1" customWidth="1"/>
    <col min="107" max="107" width="13.6640625" bestFit="1" customWidth="1"/>
    <col min="108" max="108" width="12.109375" bestFit="1" customWidth="1"/>
    <col min="109" max="109" width="18.6640625" bestFit="1" customWidth="1"/>
    <col min="110" max="110" width="19.44140625" bestFit="1" customWidth="1"/>
    <col min="111" max="111" width="20.6640625" bestFit="1" customWidth="1"/>
    <col min="112" max="112" width="24" bestFit="1" customWidth="1"/>
    <col min="113" max="113" width="25.88671875" bestFit="1" customWidth="1"/>
    <col min="114" max="114" width="22.33203125" bestFit="1" customWidth="1"/>
    <col min="115" max="115" width="24.6640625" bestFit="1" customWidth="1"/>
    <col min="116" max="116" width="25.33203125" bestFit="1" customWidth="1"/>
    <col min="117" max="117" width="14.6640625" bestFit="1" customWidth="1"/>
    <col min="118" max="118" width="17.5546875" bestFit="1" customWidth="1"/>
    <col min="119" max="119" width="32.6640625" bestFit="1" customWidth="1"/>
    <col min="120" max="120" width="21.44140625" bestFit="1" customWidth="1"/>
    <col min="121" max="121" width="32.109375" bestFit="1" customWidth="1"/>
    <col min="122" max="122" width="23.33203125" bestFit="1" customWidth="1"/>
    <col min="123" max="123" width="26.33203125" bestFit="1" customWidth="1"/>
    <col min="124" max="124" width="26.109375" bestFit="1" customWidth="1"/>
    <col min="125" max="125" width="22" bestFit="1" customWidth="1"/>
    <col min="126" max="126" width="20.5546875" bestFit="1" customWidth="1"/>
    <col min="127" max="127" width="22.88671875" bestFit="1" customWidth="1"/>
    <col min="128" max="128" width="12.33203125" bestFit="1" customWidth="1"/>
    <col min="129" max="129" width="38.109375" bestFit="1" customWidth="1"/>
    <col min="130" max="130" width="20.33203125" bestFit="1" customWidth="1"/>
    <col min="131" max="131" width="21.33203125" bestFit="1" customWidth="1"/>
    <col min="132" max="132" width="29" bestFit="1" customWidth="1"/>
    <col min="133" max="133" width="25.5546875" bestFit="1" customWidth="1"/>
    <col min="134" max="134" width="26.44140625" bestFit="1" customWidth="1"/>
    <col min="135" max="135" width="18" bestFit="1" customWidth="1"/>
    <col min="136" max="136" width="18.88671875" bestFit="1" customWidth="1"/>
    <col min="137" max="137" width="25.44140625" bestFit="1" customWidth="1"/>
    <col min="138" max="138" width="26.44140625" bestFit="1" customWidth="1"/>
    <col min="139" max="139" width="19.6640625" bestFit="1" customWidth="1"/>
    <col min="140" max="140" width="13.6640625" bestFit="1" customWidth="1"/>
    <col min="141" max="141" width="15.6640625" bestFit="1" customWidth="1"/>
    <col min="142" max="142" width="24.5546875" bestFit="1" customWidth="1"/>
    <col min="143" max="143" width="16.88671875" bestFit="1" customWidth="1"/>
    <col min="144" max="145" width="14.6640625" bestFit="1" customWidth="1"/>
    <col min="146" max="146" width="24" bestFit="1" customWidth="1"/>
    <col min="147" max="147" width="28.88671875" bestFit="1" customWidth="1"/>
    <col min="148" max="148" width="27.88671875" bestFit="1" customWidth="1"/>
    <col min="149" max="149" width="25.5546875" bestFit="1" customWidth="1"/>
    <col min="150" max="150" width="32.6640625" bestFit="1" customWidth="1"/>
    <col min="151" max="151" width="25.109375" bestFit="1" customWidth="1"/>
    <col min="152" max="152" width="31.5546875" bestFit="1" customWidth="1"/>
    <col min="153" max="153" width="29.6640625" bestFit="1" customWidth="1"/>
    <col min="154" max="154" width="15.6640625" bestFit="1" customWidth="1"/>
    <col min="155" max="155" width="18.5546875" bestFit="1" customWidth="1"/>
    <col min="156" max="156" width="18.109375" bestFit="1" customWidth="1"/>
    <col min="157" max="157" width="18.33203125" bestFit="1" customWidth="1"/>
    <col min="158" max="158" width="13" bestFit="1" customWidth="1"/>
    <col min="159" max="159" width="24.33203125" bestFit="1" customWidth="1"/>
    <col min="160" max="165" width="25.5546875" bestFit="1" customWidth="1"/>
    <col min="166" max="166" width="26.5546875" bestFit="1" customWidth="1"/>
    <col min="167" max="167" width="25.44140625" bestFit="1" customWidth="1"/>
    <col min="168" max="168" width="18.6640625" bestFit="1" customWidth="1"/>
    <col min="169" max="169" width="20.33203125" bestFit="1" customWidth="1"/>
    <col min="170" max="170" width="20.109375" bestFit="1" customWidth="1"/>
    <col min="171" max="171" width="20.33203125" bestFit="1" customWidth="1"/>
    <col min="172" max="172" width="19.6640625" bestFit="1" customWidth="1"/>
    <col min="173" max="173" width="21" bestFit="1" customWidth="1"/>
    <col min="174" max="174" width="19.44140625" bestFit="1" customWidth="1"/>
    <col min="175" max="175" width="21" bestFit="1" customWidth="1"/>
    <col min="176" max="176" width="20.6640625" bestFit="1" customWidth="1"/>
    <col min="177" max="177" width="21" bestFit="1" customWidth="1"/>
    <col min="178" max="178" width="20.44140625" bestFit="1" customWidth="1"/>
    <col min="179" max="179" width="21.6640625" bestFit="1" customWidth="1"/>
    <col min="180" max="185" width="30.33203125" bestFit="1" customWidth="1"/>
    <col min="186" max="186" width="31.33203125" bestFit="1" customWidth="1"/>
    <col min="187" max="192" width="31" bestFit="1" customWidth="1"/>
    <col min="193" max="193" width="32.109375" bestFit="1" customWidth="1"/>
    <col min="194" max="194" width="27.109375" bestFit="1" customWidth="1"/>
    <col min="195" max="195" width="27.6640625" bestFit="1" customWidth="1"/>
    <col min="196" max="196" width="25.88671875" bestFit="1" customWidth="1"/>
    <col min="197" max="197" width="26.6640625" bestFit="1" customWidth="1"/>
    <col min="198" max="198" width="25" bestFit="1" customWidth="1"/>
    <col min="199" max="200" width="27.6640625" bestFit="1" customWidth="1"/>
    <col min="201" max="203" width="24.5546875" bestFit="1" customWidth="1"/>
    <col min="204" max="204" width="26.33203125" bestFit="1" customWidth="1"/>
    <col min="205" max="205" width="25.88671875" bestFit="1" customWidth="1"/>
    <col min="206" max="206" width="26.33203125" bestFit="1" customWidth="1"/>
    <col min="207" max="207" width="25" bestFit="1" customWidth="1"/>
    <col min="208" max="209" width="24.5546875" bestFit="1" customWidth="1"/>
    <col min="210" max="210" width="25.44140625" bestFit="1" customWidth="1"/>
    <col min="211" max="211" width="23" bestFit="1" customWidth="1"/>
    <col min="212" max="212" width="34.88671875" bestFit="1" customWidth="1"/>
    <col min="213" max="213" width="35.33203125" bestFit="1" customWidth="1"/>
    <col min="214" max="214" width="33.6640625" bestFit="1" customWidth="1"/>
    <col min="215" max="215" width="34.5546875" bestFit="1" customWidth="1"/>
    <col min="216" max="216" width="32.6640625" bestFit="1" customWidth="1"/>
    <col min="217" max="218" width="35.33203125" bestFit="1" customWidth="1"/>
    <col min="219" max="221" width="32.33203125" bestFit="1" customWidth="1"/>
    <col min="222" max="222" width="34" bestFit="1" customWidth="1"/>
    <col min="223" max="223" width="33.6640625" bestFit="1" customWidth="1"/>
    <col min="224" max="224" width="34.109375" bestFit="1" customWidth="1"/>
    <col min="225" max="225" width="32.6640625" bestFit="1" customWidth="1"/>
    <col min="226" max="227" width="32.33203125" bestFit="1" customWidth="1"/>
    <col min="228" max="228" width="33.33203125" bestFit="1" customWidth="1"/>
    <col min="229" max="229" width="40.33203125" bestFit="1" customWidth="1"/>
    <col min="230" max="230" width="40.6640625" bestFit="1" customWidth="1"/>
    <col min="231" max="231" width="39" bestFit="1" customWidth="1"/>
    <col min="232" max="232" width="40" bestFit="1" customWidth="1"/>
    <col min="233" max="233" width="38.109375" bestFit="1" customWidth="1"/>
    <col min="234" max="235" width="40.6640625" bestFit="1" customWidth="1"/>
    <col min="236" max="238" width="37.6640625" bestFit="1" customWidth="1"/>
    <col min="239" max="239" width="39.33203125" bestFit="1" customWidth="1"/>
    <col min="240" max="240" width="39" bestFit="1" customWidth="1"/>
    <col min="241" max="241" width="39.44140625" bestFit="1" customWidth="1"/>
    <col min="242" max="242" width="38.109375" bestFit="1" customWidth="1"/>
    <col min="243" max="244" width="37.6640625" bestFit="1" customWidth="1"/>
    <col min="245" max="245" width="38.5546875" bestFit="1" customWidth="1"/>
    <col min="246" max="251" width="26.6640625" bestFit="1" customWidth="1"/>
    <col min="252" max="252" width="27.88671875" bestFit="1" customWidth="1"/>
    <col min="253" max="258" width="34.5546875" bestFit="1" customWidth="1"/>
    <col min="259" max="259" width="35.5546875" bestFit="1" customWidth="1"/>
    <col min="260" max="265" width="35.6640625" bestFit="1" customWidth="1"/>
    <col min="266" max="266" width="36.6640625" bestFit="1" customWidth="1"/>
    <col min="267" max="267" width="16.33203125" bestFit="1" customWidth="1"/>
    <col min="268" max="268" width="24.44140625" bestFit="1" customWidth="1"/>
    <col min="269" max="269" width="11.6640625" bestFit="1" customWidth="1"/>
    <col min="270" max="270" width="18.5546875" bestFit="1" customWidth="1"/>
    <col min="271" max="271" width="17.5546875" bestFit="1" customWidth="1"/>
    <col min="272" max="272" width="22.109375" bestFit="1" customWidth="1"/>
    <col min="273" max="273" width="26.33203125" bestFit="1" customWidth="1"/>
    <col min="274" max="274" width="15.44140625" bestFit="1" customWidth="1"/>
    <col min="275" max="275" width="15.6640625" bestFit="1" customWidth="1"/>
    <col min="276" max="276" width="16.88671875" bestFit="1" customWidth="1"/>
    <col min="277" max="277" width="17" bestFit="1" customWidth="1"/>
    <col min="278" max="278" width="25.88671875" bestFit="1" customWidth="1"/>
    <col min="279" max="279" width="17.88671875" bestFit="1" customWidth="1"/>
    <col min="280" max="280" width="19.109375" bestFit="1" customWidth="1"/>
    <col min="281" max="281" width="18" bestFit="1" customWidth="1"/>
    <col min="282" max="282" width="18.5546875" bestFit="1" customWidth="1"/>
    <col min="283" max="283" width="14.109375" bestFit="1" customWidth="1"/>
    <col min="284" max="284" width="22.88671875" bestFit="1" customWidth="1"/>
    <col min="285" max="285" width="29" bestFit="1" customWidth="1"/>
    <col min="286" max="286" width="20.6640625" bestFit="1" customWidth="1"/>
    <col min="287" max="287" width="26.6640625" bestFit="1" customWidth="1"/>
    <col min="288" max="288" width="18.6640625" bestFit="1" customWidth="1"/>
    <col min="289" max="289" width="38" bestFit="1" customWidth="1"/>
  </cols>
  <sheetData>
    <row r="1" spans="1:28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796</v>
      </c>
      <c r="HE1" t="s">
        <v>797</v>
      </c>
      <c r="HF1" t="s">
        <v>798</v>
      </c>
      <c r="HG1" t="s">
        <v>799</v>
      </c>
      <c r="HH1" t="s">
        <v>800</v>
      </c>
      <c r="HI1" t="s">
        <v>801</v>
      </c>
      <c r="HJ1" t="s">
        <v>802</v>
      </c>
      <c r="HK1" t="s">
        <v>803</v>
      </c>
      <c r="HL1" t="s">
        <v>804</v>
      </c>
      <c r="HM1" t="s">
        <v>805</v>
      </c>
      <c r="HN1" t="s">
        <v>806</v>
      </c>
      <c r="HO1" t="s">
        <v>807</v>
      </c>
      <c r="HP1" t="s">
        <v>808</v>
      </c>
      <c r="HQ1" t="s">
        <v>809</v>
      </c>
      <c r="HR1" t="s">
        <v>810</v>
      </c>
      <c r="HS1" t="s">
        <v>811</v>
      </c>
      <c r="HT1" t="s">
        <v>812</v>
      </c>
      <c r="HU1" t="s">
        <v>813</v>
      </c>
      <c r="HV1" t="s">
        <v>814</v>
      </c>
      <c r="HW1" t="s">
        <v>815</v>
      </c>
      <c r="HX1" t="s">
        <v>816</v>
      </c>
      <c r="HY1" t="s">
        <v>817</v>
      </c>
      <c r="HZ1" t="s">
        <v>818</v>
      </c>
      <c r="IA1" t="s">
        <v>819</v>
      </c>
      <c r="IB1" t="s">
        <v>820</v>
      </c>
      <c r="IC1" t="s">
        <v>821</v>
      </c>
      <c r="ID1" t="s">
        <v>822</v>
      </c>
      <c r="IE1" t="s">
        <v>823</v>
      </c>
      <c r="IF1" t="s">
        <v>824</v>
      </c>
      <c r="IG1" t="s">
        <v>825</v>
      </c>
      <c r="IH1" t="s">
        <v>826</v>
      </c>
      <c r="II1" t="s">
        <v>827</v>
      </c>
      <c r="IJ1" t="s">
        <v>828</v>
      </c>
      <c r="IK1" t="s">
        <v>829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830</v>
      </c>
      <c r="IT1" t="s">
        <v>831</v>
      </c>
      <c r="IU1" t="s">
        <v>832</v>
      </c>
      <c r="IV1" t="s">
        <v>833</v>
      </c>
      <c r="IW1" t="s">
        <v>834</v>
      </c>
      <c r="IX1" t="s">
        <v>835</v>
      </c>
      <c r="IY1" t="s">
        <v>836</v>
      </c>
      <c r="IZ1" t="s">
        <v>837</v>
      </c>
      <c r="JA1" t="s">
        <v>838</v>
      </c>
      <c r="JB1" t="s">
        <v>839</v>
      </c>
      <c r="JC1" t="s">
        <v>840</v>
      </c>
      <c r="JD1" t="s">
        <v>841</v>
      </c>
      <c r="JE1" t="s">
        <v>842</v>
      </c>
      <c r="JF1" t="s">
        <v>843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794</v>
      </c>
      <c r="KC1" t="s">
        <v>795</v>
      </c>
    </row>
    <row r="2" spans="1:289" x14ac:dyDescent="0.3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968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">
      <c r="A3" s="102">
        <v>44409</v>
      </c>
      <c r="B3" s="103" t="s">
        <v>394</v>
      </c>
      <c r="C3" s="104">
        <v>44410</v>
      </c>
      <c r="D3" s="103" t="s">
        <v>966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968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">
      <c r="A13" s="102">
        <v>44409</v>
      </c>
      <c r="B13" s="103" t="s">
        <v>394</v>
      </c>
      <c r="C13" s="104">
        <v>44410</v>
      </c>
      <c r="D13" s="103" t="s">
        <v>966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968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">
      <c r="A23" s="102">
        <v>44409</v>
      </c>
      <c r="B23" s="103" t="s">
        <v>394</v>
      </c>
      <c r="C23" s="104">
        <v>44411</v>
      </c>
      <c r="D23" s="103" t="s">
        <v>966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968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">
      <c r="A33" s="102">
        <v>44409</v>
      </c>
      <c r="B33" s="103" t="s">
        <v>394</v>
      </c>
      <c r="C33" s="104">
        <v>44411</v>
      </c>
      <c r="D33" s="103" t="s">
        <v>966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">
      <c r="A43" s="102">
        <v>44409</v>
      </c>
      <c r="B43" s="103" t="s">
        <v>394</v>
      </c>
      <c r="C43" s="104">
        <v>44412</v>
      </c>
      <c r="D43" s="103" t="s">
        <v>966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">
      <c r="A53" s="102">
        <v>44409</v>
      </c>
      <c r="B53" s="103" t="s">
        <v>394</v>
      </c>
      <c r="C53" s="104">
        <v>44412</v>
      </c>
      <c r="D53" s="103" t="s">
        <v>966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">
      <c r="A63" s="102">
        <v>44409</v>
      </c>
      <c r="B63" s="103" t="s">
        <v>394</v>
      </c>
      <c r="C63" s="104">
        <v>44413</v>
      </c>
      <c r="D63" s="103" t="s">
        <v>966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">
      <c r="A73" s="102">
        <v>44409</v>
      </c>
      <c r="B73" s="103" t="s">
        <v>394</v>
      </c>
      <c r="C73" s="104">
        <v>44413</v>
      </c>
      <c r="D73" s="103" t="s">
        <v>966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">
      <c r="A83" s="102">
        <v>44409</v>
      </c>
      <c r="B83" s="103" t="s">
        <v>394</v>
      </c>
      <c r="C83" s="104">
        <v>44414</v>
      </c>
      <c r="D83" s="103" t="s">
        <v>966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">
      <c r="A93" s="102">
        <v>44409</v>
      </c>
      <c r="B93" s="103" t="s">
        <v>394</v>
      </c>
      <c r="C93" s="104">
        <v>44414</v>
      </c>
      <c r="D93" s="103" t="s">
        <v>966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">
      <c r="A103" s="102">
        <v>44409</v>
      </c>
      <c r="B103" s="103" t="s">
        <v>394</v>
      </c>
      <c r="C103" s="104">
        <v>44415</v>
      </c>
      <c r="D103" s="103" t="s">
        <v>966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">
      <c r="A113" s="102">
        <v>44409</v>
      </c>
      <c r="B113" s="103" t="s">
        <v>394</v>
      </c>
      <c r="C113" s="104">
        <v>44415</v>
      </c>
      <c r="D113" s="103" t="s">
        <v>966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5.6640625" bestFit="1" customWidth="1"/>
    <col min="10" max="11" width="7.44140625" bestFit="1" customWidth="1"/>
    <col min="12" max="12" width="5.44140625" bestFit="1" customWidth="1"/>
    <col min="13" max="13" width="4.6640625" bestFit="1" customWidth="1"/>
    <col min="14" max="14" width="5.5546875" bestFit="1" customWidth="1"/>
    <col min="15" max="15" width="10.6640625" bestFit="1" customWidth="1"/>
    <col min="16" max="16" width="7.44140625" bestFit="1" customWidth="1"/>
    <col min="17" max="17" width="10.6640625" bestFit="1" customWidth="1"/>
    <col min="18" max="18" width="11.6640625" bestFit="1" customWidth="1"/>
    <col min="19" max="19" width="8" bestFit="1" customWidth="1"/>
    <col min="20" max="21" width="10.6640625" bestFit="1" customWidth="1"/>
    <col min="22" max="22" width="8" bestFit="1" customWidth="1"/>
    <col min="23" max="25" width="11.6640625" bestFit="1" customWidth="1"/>
    <col min="26" max="26" width="7.6640625" bestFit="1" customWidth="1"/>
    <col min="27" max="27" width="6.33203125" bestFit="1" customWidth="1"/>
    <col min="28" max="28" width="5.5546875" bestFit="1" customWidth="1"/>
    <col min="29" max="30" width="8.33203125" bestFit="1" customWidth="1"/>
    <col min="31" max="31" width="8" bestFit="1" customWidth="1"/>
    <col min="32" max="32" width="14.33203125" bestFit="1" customWidth="1"/>
    <col min="33" max="33" width="16.6640625" bestFit="1" customWidth="1"/>
    <col min="34" max="34" width="15" bestFit="1" customWidth="1"/>
    <col min="35" max="35" width="12.44140625" bestFit="1" customWidth="1"/>
    <col min="36" max="36" width="13.6640625" bestFit="1" customWidth="1"/>
    <col min="37" max="37" width="18" bestFit="1" customWidth="1"/>
    <col min="38" max="38" width="20" bestFit="1" customWidth="1"/>
    <col min="39" max="39" width="16.33203125" bestFit="1" customWidth="1"/>
    <col min="40" max="40" width="18.6640625" bestFit="1" customWidth="1"/>
    <col min="41" max="41" width="19.33203125" bestFit="1" customWidth="1"/>
    <col min="43" max="43" width="11.6640625" bestFit="1" customWidth="1"/>
    <col min="44" max="44" width="26.6640625" bestFit="1" customWidth="1"/>
    <col min="45" max="45" width="15.5546875" bestFit="1" customWidth="1"/>
    <col min="46" max="46" width="26.109375" bestFit="1" customWidth="1"/>
    <col min="47" max="47" width="17.44140625" bestFit="1" customWidth="1"/>
    <col min="48" max="49" width="20.33203125" bestFit="1" customWidth="1"/>
    <col min="50" max="50" width="16.109375" bestFit="1" customWidth="1"/>
    <col min="51" max="51" width="14.5546875" bestFit="1" customWidth="1"/>
    <col min="52" max="52" width="17" bestFit="1" customWidth="1"/>
    <col min="53" max="53" width="6.5546875" bestFit="1" customWidth="1"/>
    <col min="54" max="54" width="32.33203125" bestFit="1" customWidth="1"/>
    <col min="55" max="55" width="14.33203125" bestFit="1" customWidth="1"/>
    <col min="56" max="56" width="15.44140625" bestFit="1" customWidth="1"/>
    <col min="57" max="57" width="23" bestFit="1" customWidth="1"/>
    <col min="58" max="58" width="19.6640625" bestFit="1" customWidth="1"/>
    <col min="59" max="59" width="20.5546875" bestFit="1" customWidth="1"/>
    <col min="60" max="60" width="12.109375" bestFit="1" customWidth="1"/>
    <col min="61" max="61" width="13" bestFit="1" customWidth="1"/>
    <col min="62" max="62" width="19.5546875" bestFit="1" customWidth="1"/>
    <col min="63" max="63" width="20.5546875" bestFit="1" customWidth="1"/>
    <col min="64" max="64" width="13.6640625" bestFit="1" customWidth="1"/>
    <col min="65" max="65" width="7.88671875" bestFit="1" customWidth="1"/>
    <col min="66" max="66" width="9.88671875" bestFit="1" customWidth="1"/>
    <col min="67" max="67" width="18.5546875" bestFit="1" customWidth="1"/>
    <col min="68" max="68" width="11" bestFit="1" customWidth="1"/>
    <col min="69" max="70" width="9" bestFit="1" customWidth="1"/>
    <col min="71" max="71" width="18" bestFit="1" customWidth="1"/>
    <col min="72" max="72" width="22.88671875" bestFit="1" customWidth="1"/>
    <col min="73" max="73" width="21.88671875" bestFit="1" customWidth="1"/>
    <col min="74" max="74" width="19.6640625" bestFit="1" customWidth="1"/>
    <col min="75" max="75" width="26.6640625" bestFit="1" customWidth="1"/>
    <col min="76" max="76" width="19.109375" bestFit="1" customWidth="1"/>
    <col min="77" max="77" width="25.6640625" bestFit="1" customWidth="1"/>
    <col min="78" max="78" width="23.6640625" bestFit="1" customWidth="1"/>
    <col min="79" max="79" width="15.6640625" bestFit="1" customWidth="1"/>
    <col min="80" max="80" width="14.109375" bestFit="1" customWidth="1"/>
    <col min="81" max="81" width="5.88671875" bestFit="1" customWidth="1"/>
    <col min="82" max="82" width="7" bestFit="1" customWidth="1"/>
    <col min="83" max="83" width="9.6640625" bestFit="1" customWidth="1"/>
    <col min="84" max="84" width="8.33203125" bestFit="1" customWidth="1"/>
    <col min="86" max="86" width="10.33203125" bestFit="1" customWidth="1"/>
    <col min="87" max="87" width="12.33203125" bestFit="1" customWidth="1"/>
    <col min="88" max="88" width="13" bestFit="1" customWidth="1"/>
    <col min="89" max="89" width="15.5546875" bestFit="1" customWidth="1"/>
    <col min="90" max="90" width="6.33203125" bestFit="1" customWidth="1"/>
    <col min="91" max="91" width="6.44140625" bestFit="1" customWidth="1"/>
    <col min="92" max="92" width="12.33203125" bestFit="1" customWidth="1"/>
    <col min="93" max="93" width="10" bestFit="1" customWidth="1"/>
    <col min="94" max="94" width="10.5546875" bestFit="1" customWidth="1"/>
    <col min="95" max="95" width="11" bestFit="1" customWidth="1"/>
    <col min="96" max="96" width="10.88671875" bestFit="1" customWidth="1"/>
    <col min="97" max="97" width="11.33203125" bestFit="1" customWidth="1"/>
    <col min="98" max="98" width="15.33203125" bestFit="1" customWidth="1"/>
    <col min="99" max="99" width="13.88671875" bestFit="1" customWidth="1"/>
    <col min="100" max="100" width="16.6640625" bestFit="1" customWidth="1"/>
    <col min="101" max="119" width="7.44140625" bestFit="1" customWidth="1"/>
    <col min="120" max="121" width="8.44140625" bestFit="1" customWidth="1"/>
    <col min="122" max="122" width="17" bestFit="1" customWidth="1"/>
    <col min="123" max="123" width="17.6640625" bestFit="1" customWidth="1"/>
    <col min="124" max="124" width="6.6640625" bestFit="1" customWidth="1"/>
  </cols>
  <sheetData>
    <row r="1" spans="1:124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844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845</v>
      </c>
      <c r="AE2">
        <v>0</v>
      </c>
      <c r="AG2" t="s">
        <v>845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845</v>
      </c>
      <c r="AE3">
        <v>0</v>
      </c>
      <c r="AG3" t="s">
        <v>845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845</v>
      </c>
      <c r="AE4">
        <v>0</v>
      </c>
      <c r="AG4" t="s">
        <v>845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845</v>
      </c>
      <c r="AE5">
        <v>0</v>
      </c>
      <c r="AG5" t="s">
        <v>845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845</v>
      </c>
      <c r="AE6">
        <v>0</v>
      </c>
      <c r="AG6" t="s">
        <v>845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845</v>
      </c>
      <c r="AE7">
        <v>0</v>
      </c>
      <c r="AG7" t="s">
        <v>845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845</v>
      </c>
      <c r="AE8">
        <v>0</v>
      </c>
      <c r="AG8" t="s">
        <v>845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845</v>
      </c>
      <c r="AE9">
        <v>0</v>
      </c>
      <c r="AG9" t="s">
        <v>845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845</v>
      </c>
      <c r="AE10">
        <v>0</v>
      </c>
      <c r="AG10" t="s">
        <v>845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845</v>
      </c>
      <c r="AE11">
        <v>0</v>
      </c>
      <c r="AG11" t="s">
        <v>845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845</v>
      </c>
      <c r="AE12">
        <v>0</v>
      </c>
      <c r="AG12" t="s">
        <v>845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845</v>
      </c>
      <c r="AE13">
        <v>0</v>
      </c>
      <c r="AG13" t="s">
        <v>845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845</v>
      </c>
      <c r="AE14">
        <v>0</v>
      </c>
      <c r="AG14" t="s">
        <v>845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845</v>
      </c>
      <c r="AE15">
        <v>0</v>
      </c>
      <c r="AG15" t="s">
        <v>845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845</v>
      </c>
      <c r="AE16">
        <v>0</v>
      </c>
      <c r="AG16" t="s">
        <v>845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845</v>
      </c>
      <c r="AE17">
        <v>0</v>
      </c>
      <c r="AG17" t="s">
        <v>845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845</v>
      </c>
      <c r="AE18">
        <v>0</v>
      </c>
      <c r="AG18" t="s">
        <v>845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845</v>
      </c>
      <c r="AE19">
        <v>0</v>
      </c>
      <c r="AG19" t="s">
        <v>845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845</v>
      </c>
      <c r="AE20">
        <v>0</v>
      </c>
      <c r="AG20" t="s">
        <v>845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845</v>
      </c>
      <c r="AE21">
        <v>0</v>
      </c>
      <c r="AG21" t="s">
        <v>845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845</v>
      </c>
      <c r="AE22">
        <v>0</v>
      </c>
      <c r="AG22" t="s">
        <v>845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845</v>
      </c>
      <c r="AE23">
        <v>0</v>
      </c>
      <c r="AG23" t="s">
        <v>845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845</v>
      </c>
      <c r="AE24">
        <v>0</v>
      </c>
      <c r="AG24" t="s">
        <v>845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845</v>
      </c>
      <c r="AE25">
        <v>0</v>
      </c>
      <c r="AG25" t="s">
        <v>845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845</v>
      </c>
      <c r="AE26">
        <v>0</v>
      </c>
      <c r="AG26" t="s">
        <v>845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845</v>
      </c>
      <c r="AE27">
        <v>0</v>
      </c>
      <c r="AG27" t="s">
        <v>845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845</v>
      </c>
      <c r="AE28">
        <v>0</v>
      </c>
      <c r="AG28" t="s">
        <v>845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845</v>
      </c>
      <c r="AE29">
        <v>0</v>
      </c>
      <c r="AG29" t="s">
        <v>845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845</v>
      </c>
      <c r="AE30">
        <v>0</v>
      </c>
      <c r="AG30" t="s">
        <v>845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845</v>
      </c>
      <c r="AE31">
        <v>0</v>
      </c>
      <c r="AG31" t="s">
        <v>845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845</v>
      </c>
      <c r="AE32">
        <v>0</v>
      </c>
      <c r="AG32" t="s">
        <v>845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845</v>
      </c>
      <c r="AE33">
        <v>0</v>
      </c>
      <c r="AG33" t="s">
        <v>845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845</v>
      </c>
      <c r="AE34">
        <v>0</v>
      </c>
      <c r="AG34" t="s">
        <v>845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845</v>
      </c>
      <c r="AE35">
        <v>0</v>
      </c>
      <c r="AG35" t="s">
        <v>845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845</v>
      </c>
      <c r="AE36">
        <v>0</v>
      </c>
      <c r="AG36" t="s">
        <v>845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845</v>
      </c>
      <c r="AE37">
        <v>0</v>
      </c>
      <c r="AG37" t="s">
        <v>845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845</v>
      </c>
      <c r="AE38">
        <v>0</v>
      </c>
      <c r="AG38" t="s">
        <v>845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845</v>
      </c>
      <c r="AE39">
        <v>0</v>
      </c>
      <c r="AG39" t="s">
        <v>845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845</v>
      </c>
      <c r="AE40">
        <v>0</v>
      </c>
      <c r="AG40" t="s">
        <v>845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845</v>
      </c>
      <c r="AE41">
        <v>0</v>
      </c>
      <c r="AG41" t="s">
        <v>845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845</v>
      </c>
      <c r="AE42">
        <v>0</v>
      </c>
      <c r="AG42" t="s">
        <v>845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845</v>
      </c>
      <c r="AE43">
        <v>0</v>
      </c>
      <c r="AG43" t="s">
        <v>845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845</v>
      </c>
      <c r="AE44">
        <v>0</v>
      </c>
      <c r="AG44" t="s">
        <v>845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845</v>
      </c>
      <c r="AE45">
        <v>0</v>
      </c>
      <c r="AG45" t="s">
        <v>845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845</v>
      </c>
      <c r="AE46">
        <v>0</v>
      </c>
      <c r="AG46" t="s">
        <v>845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845</v>
      </c>
      <c r="AE47">
        <v>0</v>
      </c>
      <c r="AG47" t="s">
        <v>845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845</v>
      </c>
      <c r="AE48">
        <v>0</v>
      </c>
      <c r="AG48" t="s">
        <v>845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845</v>
      </c>
      <c r="AE49">
        <v>0</v>
      </c>
      <c r="AG49" t="s">
        <v>845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845</v>
      </c>
      <c r="AE50">
        <v>0</v>
      </c>
      <c r="AG50" t="s">
        <v>845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845</v>
      </c>
      <c r="AE51">
        <v>0</v>
      </c>
      <c r="AG51" t="s">
        <v>845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845</v>
      </c>
      <c r="AE52">
        <v>0</v>
      </c>
      <c r="AG52" t="s">
        <v>845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845</v>
      </c>
      <c r="AE53">
        <v>0</v>
      </c>
      <c r="AG53" t="s">
        <v>845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845</v>
      </c>
      <c r="AE54">
        <v>0</v>
      </c>
      <c r="AG54" t="s">
        <v>845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845</v>
      </c>
      <c r="AE55">
        <v>0</v>
      </c>
      <c r="AG55" t="s">
        <v>845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845</v>
      </c>
      <c r="AE56">
        <v>0</v>
      </c>
      <c r="AG56" t="s">
        <v>845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845</v>
      </c>
      <c r="AE57">
        <v>0</v>
      </c>
      <c r="AG57" t="s">
        <v>845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845</v>
      </c>
      <c r="AE58">
        <v>0</v>
      </c>
      <c r="AG58" t="s">
        <v>845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845</v>
      </c>
      <c r="AE59">
        <v>0</v>
      </c>
      <c r="AG59" t="s">
        <v>845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845</v>
      </c>
      <c r="AE60">
        <v>0</v>
      </c>
      <c r="AG60" t="s">
        <v>845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845</v>
      </c>
      <c r="AE61">
        <v>0</v>
      </c>
      <c r="AG61" t="s">
        <v>845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845</v>
      </c>
      <c r="AE62">
        <v>0</v>
      </c>
      <c r="AG62" t="s">
        <v>845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845</v>
      </c>
      <c r="AE63">
        <v>0</v>
      </c>
      <c r="AG63" t="s">
        <v>845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845</v>
      </c>
      <c r="AE64">
        <v>0</v>
      </c>
      <c r="AG64" t="s">
        <v>845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845</v>
      </c>
      <c r="AE65">
        <v>0</v>
      </c>
      <c r="AG65" t="s">
        <v>845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845</v>
      </c>
      <c r="AE66">
        <v>0</v>
      </c>
      <c r="AG66" t="s">
        <v>845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845</v>
      </c>
      <c r="AE67">
        <v>0</v>
      </c>
      <c r="AG67" t="s">
        <v>845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845</v>
      </c>
      <c r="AE68">
        <v>0</v>
      </c>
      <c r="AG68" t="s">
        <v>845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845</v>
      </c>
      <c r="AE69">
        <v>0</v>
      </c>
      <c r="AG69" t="s">
        <v>845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845</v>
      </c>
      <c r="AE70">
        <v>0</v>
      </c>
      <c r="AG70" t="s">
        <v>845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845</v>
      </c>
      <c r="AE71">
        <v>0</v>
      </c>
      <c r="AG71" t="s">
        <v>845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845</v>
      </c>
      <c r="AE72">
        <v>0</v>
      </c>
      <c r="AG72" t="s">
        <v>845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845</v>
      </c>
      <c r="AE73">
        <v>0</v>
      </c>
      <c r="AG73" t="s">
        <v>845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845</v>
      </c>
      <c r="AE74">
        <v>0</v>
      </c>
      <c r="AG74" t="s">
        <v>845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845</v>
      </c>
      <c r="AE75">
        <v>0</v>
      </c>
      <c r="AG75" t="s">
        <v>845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845</v>
      </c>
      <c r="AE76">
        <v>0</v>
      </c>
      <c r="AG76" t="s">
        <v>845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845</v>
      </c>
      <c r="AE77">
        <v>0</v>
      </c>
      <c r="AG77" t="s">
        <v>845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845</v>
      </c>
      <c r="AE78">
        <v>0</v>
      </c>
      <c r="AG78" t="s">
        <v>845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845</v>
      </c>
      <c r="AE79">
        <v>0</v>
      </c>
      <c r="AG79" t="s">
        <v>845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845</v>
      </c>
      <c r="AE80">
        <v>0</v>
      </c>
      <c r="AG80" t="s">
        <v>845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845</v>
      </c>
      <c r="AE81">
        <v>0</v>
      </c>
      <c r="AG81" t="s">
        <v>845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845</v>
      </c>
      <c r="AE82">
        <v>0</v>
      </c>
      <c r="AG82" t="s">
        <v>845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845</v>
      </c>
      <c r="AE83">
        <v>0</v>
      </c>
      <c r="AG83" t="s">
        <v>845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845</v>
      </c>
      <c r="AE84">
        <v>0</v>
      </c>
      <c r="AG84" t="s">
        <v>845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845</v>
      </c>
      <c r="AE85">
        <v>0</v>
      </c>
      <c r="AG85" t="s">
        <v>845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845</v>
      </c>
      <c r="AE86">
        <v>0</v>
      </c>
      <c r="AG86" t="s">
        <v>845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845</v>
      </c>
      <c r="AE87">
        <v>0</v>
      </c>
      <c r="AG87" t="s">
        <v>845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845</v>
      </c>
      <c r="AE88">
        <v>0</v>
      </c>
      <c r="AG88" t="s">
        <v>845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845</v>
      </c>
      <c r="AE89">
        <v>0</v>
      </c>
      <c r="AG89" t="s">
        <v>845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845</v>
      </c>
      <c r="AE90">
        <v>0</v>
      </c>
      <c r="AG90" t="s">
        <v>845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845</v>
      </c>
      <c r="AE91">
        <v>0</v>
      </c>
      <c r="AG91" t="s">
        <v>845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845</v>
      </c>
      <c r="AE92">
        <v>0</v>
      </c>
      <c r="AG92" t="s">
        <v>845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845</v>
      </c>
      <c r="AE93">
        <v>0</v>
      </c>
      <c r="AG93" t="s">
        <v>845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845</v>
      </c>
      <c r="AE94">
        <v>0</v>
      </c>
      <c r="AG94" t="s">
        <v>845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845</v>
      </c>
      <c r="AE95">
        <v>0</v>
      </c>
      <c r="AG95" t="s">
        <v>845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845</v>
      </c>
      <c r="AE96">
        <v>0</v>
      </c>
      <c r="AG96" t="s">
        <v>845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845</v>
      </c>
      <c r="AE97">
        <v>0</v>
      </c>
      <c r="AG97" t="s">
        <v>845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845</v>
      </c>
      <c r="AE98">
        <v>0</v>
      </c>
      <c r="AG98" t="s">
        <v>845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845</v>
      </c>
      <c r="AE99">
        <v>0</v>
      </c>
      <c r="AG99" t="s">
        <v>845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845</v>
      </c>
      <c r="AE100">
        <v>0</v>
      </c>
      <c r="AG100" t="s">
        <v>845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845</v>
      </c>
      <c r="AE101">
        <v>0</v>
      </c>
      <c r="AG101" t="s">
        <v>845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845</v>
      </c>
      <c r="AE102">
        <v>0</v>
      </c>
      <c r="AG102" t="s">
        <v>845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845</v>
      </c>
      <c r="AE103">
        <v>0</v>
      </c>
      <c r="AG103" t="s">
        <v>845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845</v>
      </c>
      <c r="AE104">
        <v>0</v>
      </c>
      <c r="AG104" t="s">
        <v>845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845</v>
      </c>
      <c r="AE105">
        <v>0</v>
      </c>
      <c r="AG105" t="s">
        <v>845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845</v>
      </c>
      <c r="AE106">
        <v>0</v>
      </c>
      <c r="AG106" t="s">
        <v>845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845</v>
      </c>
      <c r="AE107">
        <v>0</v>
      </c>
      <c r="AG107" t="s">
        <v>845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845</v>
      </c>
      <c r="AE108">
        <v>0</v>
      </c>
      <c r="AG108" t="s">
        <v>845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845</v>
      </c>
      <c r="AE109">
        <v>0</v>
      </c>
      <c r="AG109" t="s">
        <v>845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845</v>
      </c>
      <c r="AE110">
        <v>0</v>
      </c>
      <c r="AG110" t="s">
        <v>845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845</v>
      </c>
      <c r="AE111">
        <v>0</v>
      </c>
      <c r="AG111" t="s">
        <v>845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845</v>
      </c>
      <c r="AE112">
        <v>0</v>
      </c>
      <c r="AG112" t="s">
        <v>845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845</v>
      </c>
      <c r="AE113">
        <v>0</v>
      </c>
      <c r="AG113" t="s">
        <v>845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845</v>
      </c>
      <c r="AE114">
        <v>0</v>
      </c>
      <c r="AG114" t="s">
        <v>845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845</v>
      </c>
      <c r="AE115">
        <v>0</v>
      </c>
      <c r="AG115" t="s">
        <v>845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845</v>
      </c>
      <c r="AE116">
        <v>0</v>
      </c>
      <c r="AG116" t="s">
        <v>845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845</v>
      </c>
      <c r="AE117">
        <v>0</v>
      </c>
      <c r="AG117" t="s">
        <v>845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845</v>
      </c>
      <c r="AE118">
        <v>0</v>
      </c>
      <c r="AG118" t="s">
        <v>845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845</v>
      </c>
      <c r="AE119">
        <v>0</v>
      </c>
      <c r="AG119" t="s">
        <v>845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845</v>
      </c>
      <c r="AE120">
        <v>0</v>
      </c>
      <c r="AG120" t="s">
        <v>845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845</v>
      </c>
      <c r="AE121">
        <v>0</v>
      </c>
      <c r="AG121" t="s">
        <v>845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845</v>
      </c>
      <c r="AE122">
        <v>0</v>
      </c>
      <c r="AG122" t="s">
        <v>845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845</v>
      </c>
      <c r="AE123">
        <v>0</v>
      </c>
      <c r="AG123" t="s">
        <v>845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845</v>
      </c>
      <c r="AE124">
        <v>0</v>
      </c>
      <c r="AG124" t="s">
        <v>845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845</v>
      </c>
      <c r="AE125">
        <v>0</v>
      </c>
      <c r="AG125" t="s">
        <v>845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845</v>
      </c>
      <c r="AE126">
        <v>0</v>
      </c>
      <c r="AG126" t="s">
        <v>845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845</v>
      </c>
      <c r="AE127">
        <v>0</v>
      </c>
      <c r="AG127" t="s">
        <v>845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845</v>
      </c>
      <c r="AE128">
        <v>0</v>
      </c>
      <c r="AG128" t="s">
        <v>845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845</v>
      </c>
      <c r="AE129">
        <v>0</v>
      </c>
      <c r="AG129" t="s">
        <v>845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845</v>
      </c>
      <c r="AE130">
        <v>0</v>
      </c>
      <c r="AG130" t="s">
        <v>845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845</v>
      </c>
      <c r="AE131">
        <v>0</v>
      </c>
      <c r="AG131" t="s">
        <v>845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845</v>
      </c>
      <c r="AE132">
        <v>0</v>
      </c>
      <c r="AG132" t="s">
        <v>845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845</v>
      </c>
      <c r="AE133">
        <v>0</v>
      </c>
      <c r="AG133" t="s">
        <v>845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845</v>
      </c>
      <c r="AE134">
        <v>0</v>
      </c>
      <c r="AG134" t="s">
        <v>845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845</v>
      </c>
      <c r="AE135">
        <v>0</v>
      </c>
      <c r="AG135" t="s">
        <v>845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845</v>
      </c>
      <c r="AE136">
        <v>0</v>
      </c>
      <c r="AG136" t="s">
        <v>845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845</v>
      </c>
      <c r="AE137">
        <v>0</v>
      </c>
      <c r="AG137" t="s">
        <v>845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845</v>
      </c>
      <c r="AE138">
        <v>0</v>
      </c>
      <c r="AG138" t="s">
        <v>845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845</v>
      </c>
      <c r="AE139">
        <v>0</v>
      </c>
      <c r="AG139" t="s">
        <v>845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845</v>
      </c>
      <c r="AE140">
        <v>0</v>
      </c>
      <c r="AG140" t="s">
        <v>845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845</v>
      </c>
      <c r="AE141">
        <v>0</v>
      </c>
      <c r="AG141" t="s">
        <v>845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845</v>
      </c>
      <c r="AE142">
        <v>0</v>
      </c>
      <c r="AG142" t="s">
        <v>845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845</v>
      </c>
      <c r="AE143">
        <v>0</v>
      </c>
      <c r="AG143" t="s">
        <v>845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845</v>
      </c>
      <c r="AE144">
        <v>0</v>
      </c>
      <c r="AG144" t="s">
        <v>845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845</v>
      </c>
      <c r="AE145">
        <v>0</v>
      </c>
      <c r="AG145" t="s">
        <v>845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14.109375" bestFit="1" customWidth="1"/>
    <col min="10" max="10" width="13.33203125" bestFit="1" customWidth="1"/>
    <col min="11" max="11" width="6.88671875" bestFit="1" customWidth="1"/>
    <col min="12" max="12" width="13.33203125" bestFit="1" customWidth="1"/>
    <col min="13" max="13" width="14.44140625" bestFit="1" customWidth="1"/>
    <col min="14" max="14" width="12.33203125" bestFit="1" customWidth="1"/>
    <col min="15" max="15" width="13.44140625" bestFit="1" customWidth="1"/>
    <col min="16" max="16" width="8.6640625" bestFit="1" customWidth="1"/>
    <col min="17" max="17" width="7.88671875" bestFit="1" customWidth="1"/>
    <col min="18" max="18" width="6.33203125" bestFit="1" customWidth="1"/>
    <col min="19" max="19" width="6.44140625" bestFit="1" customWidth="1"/>
    <col min="20" max="20" width="6.33203125" bestFit="1" customWidth="1"/>
    <col min="21" max="21" width="6.5546875" bestFit="1" customWidth="1"/>
    <col min="22" max="22" width="32.33203125" bestFit="1" customWidth="1"/>
    <col min="23" max="23" width="14.33203125" bestFit="1" customWidth="1"/>
    <col min="24" max="24" width="15.44140625" bestFit="1" customWidth="1"/>
    <col min="25" max="25" width="23" bestFit="1" customWidth="1"/>
    <col min="26" max="26" width="19.6640625" bestFit="1" customWidth="1"/>
    <col min="27" max="27" width="20.5546875" bestFit="1" customWidth="1"/>
    <col min="28" max="28" width="12.109375" bestFit="1" customWidth="1"/>
    <col min="29" max="29" width="13" bestFit="1" customWidth="1"/>
    <col min="30" max="30" width="19.5546875" bestFit="1" customWidth="1"/>
    <col min="31" max="31" width="20.5546875" bestFit="1" customWidth="1"/>
    <col min="32" max="32" width="13.6640625" bestFit="1" customWidth="1"/>
    <col min="33" max="33" width="7.88671875" bestFit="1" customWidth="1"/>
    <col min="34" max="34" width="9.88671875" bestFit="1" customWidth="1"/>
    <col min="35" max="35" width="18.5546875" bestFit="1" customWidth="1"/>
    <col min="36" max="36" width="11" bestFit="1" customWidth="1"/>
    <col min="37" max="38" width="9" bestFit="1" customWidth="1"/>
    <col min="39" max="39" width="18" bestFit="1" customWidth="1"/>
    <col min="40" max="40" width="22.88671875" bestFit="1" customWidth="1"/>
    <col min="41" max="41" width="21.88671875" bestFit="1" customWidth="1"/>
    <col min="42" max="42" width="19.6640625" bestFit="1" customWidth="1"/>
    <col min="43" max="43" width="26.6640625" bestFit="1" customWidth="1"/>
    <col min="44" max="44" width="19.109375" bestFit="1" customWidth="1"/>
    <col min="45" max="45" width="25.6640625" bestFit="1" customWidth="1"/>
    <col min="46" max="46" width="23.6640625" bestFit="1" customWidth="1"/>
    <col min="47" max="47" width="6.33203125" bestFit="1" customWidth="1"/>
    <col min="48" max="48" width="8.109375" bestFit="1" customWidth="1"/>
    <col min="49" max="49" width="7.664062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8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Refresh Formula Progress and Plan"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Jalil</cp:lastModifiedBy>
  <cp:lastPrinted>2021-07-15T18:38:48Z</cp:lastPrinted>
  <dcterms:created xsi:type="dcterms:W3CDTF">2021-07-09T08:38:21Z</dcterms:created>
  <dcterms:modified xsi:type="dcterms:W3CDTF">2021-09-28T12:02:08Z</dcterms:modified>
</cp:coreProperties>
</file>