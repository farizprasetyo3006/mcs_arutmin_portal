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queryTables/queryTable11.xml" ContentType="application/vnd.openxmlformats-officedocument.spreadsheetml.queryTable+xml"/>
  <Override PartName="/xl/tables/table35.xml" ContentType="application/vnd.openxmlformats-officedocument.spreadsheetml.table+xml"/>
  <Override PartName="/xl/queryTables/queryTable12.xml" ContentType="application/vnd.openxmlformats-officedocument.spreadsheetml.queryTable+xml"/>
  <Override PartName="/xl/tables/table36.xml" ContentType="application/vnd.openxmlformats-officedocument.spreadsheetml.table+xml"/>
  <Override PartName="/xl/queryTables/queryTable13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14.xml" ContentType="application/vnd.openxmlformats-officedocument.spreadsheetml.queryTable+xml"/>
  <Override PartName="/xl/tables/table40.xml" ContentType="application/vnd.openxmlformats-officedocument.spreadsheetml.table+xml"/>
  <Override PartName="/xl/queryTables/queryTable15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queryTables/queryTable16.xml" ContentType="application/vnd.openxmlformats-officedocument.spreadsheetml.query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queryTables/queryTable17.xml" ContentType="application/vnd.openxmlformats-officedocument.spreadsheetml.queryTable+xml"/>
  <Override PartName="/xl/tables/table64.xml" ContentType="application/vnd.openxmlformats-officedocument.spreadsheetml.table+xml"/>
  <Override PartName="/xl/queryTables/queryTable18.xml" ContentType="application/vnd.openxmlformats-officedocument.spreadsheetml.queryTable+xml"/>
  <Override PartName="/xl/tables/table65.xml" ContentType="application/vnd.openxmlformats-officedocument.spreadsheetml.table+xml"/>
  <Override PartName="/xl/queryTables/queryTable19.xml" ContentType="application/vnd.openxmlformats-officedocument.spreadsheetml.queryTable+xml"/>
  <Override PartName="/xl/tables/table66.xml" ContentType="application/vnd.openxmlformats-officedocument.spreadsheetml.table+xml"/>
  <Override PartName="/xl/queryTables/queryTable20.xml" ContentType="application/vnd.openxmlformats-officedocument.spreadsheetml.queryTable+xml"/>
  <Override PartName="/xl/tables/table67.xml" ContentType="application/vnd.openxmlformats-officedocument.spreadsheetml.table+xml"/>
  <Override PartName="/xl/queryTables/queryTable21.xml" ContentType="application/vnd.openxmlformats-officedocument.spreadsheetml.queryTable+xml"/>
  <Override PartName="/xl/tables/table68.xml" ContentType="application/vnd.openxmlformats-officedocument.spreadsheetml.table+xml"/>
  <Override PartName="/xl/queryTables/queryTable22.xml" ContentType="application/vnd.openxmlformats-officedocument.spreadsheetml.query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574743027494f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duction Logistic\"/>
    </mc:Choice>
  </mc:AlternateContent>
  <xr:revisionPtr revIDLastSave="0" documentId="13_ncr:1_{003A5BF2-C0DD-49F4-B246-368775EB2BF3}" xr6:coauthVersionLast="47" xr6:coauthVersionMax="47" xr10:uidLastSave="{00000000-0000-0000-0000-000000000000}"/>
  <bookViews>
    <workbookView xWindow="-110" yWindow="-110" windowWidth="19420" windowHeight="11020" tabRatio="728" firstSheet="3" activeTab="3" xr2:uid="{00000000-000D-0000-FFFF-FFFF00000000}"/>
  </bookViews>
  <sheets>
    <sheet name="db" sheetId="6" state="hidden" r:id="rId1"/>
    <sheet name="dbAPI" sheetId="50" state="hidden" r:id="rId2"/>
    <sheet name="JSONImport" sheetId="68" state="hidden" r:id="rId3"/>
    <sheet name="Data Input Progress" sheetId="2" r:id="rId4"/>
    <sheet name="Data Input Plan" sheetId="7" r:id="rId5"/>
    <sheet name="ValidationPlan" sheetId="67" r:id="rId6"/>
    <sheet name="ValidationActualProgress" sheetId="65" r:id="rId7"/>
    <sheet name="InputData2Web" sheetId="62" r:id="rId8"/>
    <sheet name="PlanProductivity" sheetId="66" r:id="rId9"/>
    <sheet name="SM_Analys_Input" sheetId="28" state="hidden" r:id="rId10"/>
    <sheet name="SM_Actualinput" sheetId="29" state="hidden" r:id="rId11"/>
    <sheet name="SM_Inputplan" sheetId="30" state="hidden" r:id="rId12"/>
  </sheets>
  <functionGroups builtInGroupCount="19"/>
  <definedNames>
    <definedName name="__IntlFixup" hidden="1">TRUE</definedName>
    <definedName name="_Order2" hidden="1">255</definedName>
    <definedName name="ActiveURL">dbAPI!$C$13</definedName>
    <definedName name="anscount" hidden="1">1</definedName>
    <definedName name="API_Key">API_Q[Api key]</definedName>
    <definedName name="ExternalData_1" localSheetId="1" hidden="1">dbAPI!$L$10:$T$12</definedName>
    <definedName name="ExternalData_1" localSheetId="8" hidden="1">PlanProductivity!$A$1:$I$13</definedName>
    <definedName name="ExternalData_1" localSheetId="10" hidden="1">SM_Actualinput!$A$1:$DT$145</definedName>
    <definedName name="ExternalData_1" localSheetId="9" hidden="1">SM_Analys_Input!$A$1:$KC$121</definedName>
    <definedName name="ExternalData_1" localSheetId="11" hidden="1">SM_Inputplan!$A$1:$AW$49</definedName>
    <definedName name="ExternalData_10" localSheetId="1" hidden="1">dbAPI!$CV$10:$CX$25</definedName>
    <definedName name="ExternalData_11" localSheetId="1" hidden="1">dbAPI!$DF$10:$DO$19</definedName>
    <definedName name="ExternalData_12" localSheetId="1" hidden="1">dbAPI!$DR$10:$DX$89</definedName>
    <definedName name="ExternalData_12" localSheetId="7" hidden="1">InputData2Web!$A$1:$Z$13</definedName>
    <definedName name="ExternalData_13" localSheetId="1" hidden="1">dbAPI!$EB$10:$EI$19</definedName>
    <definedName name="ExternalData_14" localSheetId="1" hidden="1">dbAPI!$EM$10:$ET$89</definedName>
    <definedName name="ExternalData_15" localSheetId="1" hidden="1">dbAPI!$W$10:$AA$48</definedName>
    <definedName name="ExternalData_16" localSheetId="1" hidden="1">dbAPI!$EW$10:$EZ$38</definedName>
    <definedName name="ExternalData_16" localSheetId="6" hidden="1">ValidationActualProgress!$A$1:$D$2</definedName>
    <definedName name="ExternalData_17" localSheetId="1" hidden="1">dbAPI!$FE$10:$FF$48</definedName>
    <definedName name="ExternalData_17" localSheetId="6" hidden="1">ValidationActualProgress!$G$1:$J$2</definedName>
    <definedName name="ExternalData_17" localSheetId="5" hidden="1">ValidationPlan!$A$1:$D$2</definedName>
    <definedName name="ExternalData_18" localSheetId="6" hidden="1">ValidationActualProgress!$O$1:$R$2</definedName>
    <definedName name="ExternalData_3" localSheetId="1" hidden="1">dbAPI!$AE$10:$AH$11</definedName>
    <definedName name="ExternalData_4" localSheetId="1" hidden="1">dbAPI!$AK$10:$AS$61</definedName>
    <definedName name="ExternalData_5" localSheetId="1" hidden="1">dbAPI!$AW$10:$BE$21</definedName>
    <definedName name="ExternalData_6" localSheetId="1" hidden="1">dbAPI!$BH$10:$BR$43</definedName>
    <definedName name="ExternalData_7" localSheetId="1" hidden="1">dbAPI!$BU$10:$CF$21</definedName>
    <definedName name="ExternalData_8" localSheetId="1" hidden="1">dbAPI!$CI$10:$CN$26</definedName>
    <definedName name="ExternalData_9" localSheetId="1" hidden="1">dbAPI!$CQ$10:$CS$20</definedName>
    <definedName name="HTML_CodePage" hidden="1">1252</definedName>
    <definedName name="HTML_LineAfter" hidden="1">FALSE</definedName>
    <definedName name="HTML_LineBefore" hidden="1">TRUE</definedName>
    <definedName name="HTML_OBDlg2" hidden="1">TRUE</definedName>
    <definedName name="HTML_OBDlg4" hidden="1">TRUE</definedName>
    <definedName name="HTML_OS" hidden="1">0</definedName>
    <definedName name="HTML1_10" hidden="1">""</definedName>
    <definedName name="HTML1_11" hidden="1">1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Count" hidden="1">1</definedName>
    <definedName name="LastUpdate">dbAPI!$B$5</definedName>
    <definedName name="limcount" hidden="1">1</definedName>
    <definedName name="rowke">db!$DB$7</definedName>
    <definedName name="sencount" hidden="1">1</definedName>
    <definedName name="StatusUpdate">dbAPI!$B$8</definedName>
    <definedName name="WebLink">LinkConnection[[#Headers],[URL Link]]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H24" i="2" l="1"/>
  <c r="DL24" i="2" s="1"/>
  <c r="DH25" i="2"/>
  <c r="DK25" i="2" s="1"/>
  <c r="CV25" i="2"/>
  <c r="CZ25" i="2" s="1"/>
  <c r="P22" i="7"/>
  <c r="Q22" i="7"/>
  <c r="DH14" i="2"/>
  <c r="DL14" i="2" s="1"/>
  <c r="DH15" i="2"/>
  <c r="DL15" i="2" s="1"/>
  <c r="DH16" i="2"/>
  <c r="DJ16" i="2" s="1"/>
  <c r="DH17" i="2"/>
  <c r="DL17" i="2" s="1"/>
  <c r="DH18" i="2"/>
  <c r="DL18" i="2" s="1"/>
  <c r="DH19" i="2"/>
  <c r="DL19" i="2" s="1"/>
  <c r="DH20" i="2"/>
  <c r="DL20" i="2" s="1"/>
  <c r="DH21" i="2"/>
  <c r="DJ21" i="2" s="1"/>
  <c r="DH22" i="2"/>
  <c r="DJ22" i="2" s="1"/>
  <c r="DH23" i="2"/>
  <c r="DK23" i="2" s="1"/>
  <c r="CW14" i="2"/>
  <c r="CW15" i="2"/>
  <c r="CW16" i="2"/>
  <c r="CW17" i="2"/>
  <c r="CW18" i="2"/>
  <c r="CW19" i="2"/>
  <c r="CW20" i="2"/>
  <c r="CW21" i="2"/>
  <c r="CW22" i="2"/>
  <c r="CW23" i="2"/>
  <c r="CW24" i="2"/>
  <c r="CW25" i="2"/>
  <c r="CV14" i="2"/>
  <c r="CZ14" i="2" s="1"/>
  <c r="CV15" i="2"/>
  <c r="CZ15" i="2" s="1"/>
  <c r="CV16" i="2"/>
  <c r="CZ16" i="2" s="1"/>
  <c r="CV17" i="2"/>
  <c r="CZ17" i="2" s="1"/>
  <c r="CV18" i="2"/>
  <c r="CZ18" i="2" s="1"/>
  <c r="CV19" i="2"/>
  <c r="CZ19" i="2" s="1"/>
  <c r="CV20" i="2"/>
  <c r="CZ20" i="2" s="1"/>
  <c r="CV21" i="2"/>
  <c r="CZ21" i="2" s="1"/>
  <c r="CV22" i="2"/>
  <c r="CZ22" i="2" s="1"/>
  <c r="CV23" i="2"/>
  <c r="CZ23" i="2" s="1"/>
  <c r="CV24" i="2"/>
  <c r="CZ24" i="2" s="1"/>
  <c r="DJ15" i="2" l="1"/>
  <c r="DK16" i="2"/>
  <c r="DJ14" i="2"/>
  <c r="DK15" i="2"/>
  <c r="DJ20" i="2"/>
  <c r="DK22" i="2"/>
  <c r="DK14" i="2"/>
  <c r="DL16" i="2"/>
  <c r="DJ19" i="2"/>
  <c r="DK21" i="2"/>
  <c r="DL23" i="2"/>
  <c r="DJ18" i="2"/>
  <c r="DK20" i="2"/>
  <c r="DL22" i="2"/>
  <c r="DJ17" i="2"/>
  <c r="DK19" i="2"/>
  <c r="DL21" i="2"/>
  <c r="DK18" i="2"/>
  <c r="DJ23" i="2"/>
  <c r="DK17" i="2"/>
  <c r="DJ25" i="2"/>
  <c r="DL25" i="2"/>
  <c r="DK24" i="2"/>
  <c r="DJ24" i="2"/>
  <c r="G16" i="2" l="1"/>
  <c r="G17" i="2"/>
  <c r="G18" i="2"/>
  <c r="G19" i="2"/>
  <c r="G20" i="2"/>
  <c r="G21" i="2"/>
  <c r="G22" i="2"/>
  <c r="G23" i="2"/>
  <c r="G24" i="2"/>
  <c r="G25" i="2"/>
  <c r="C23" i="2"/>
  <c r="C24" i="2"/>
  <c r="C25" i="2"/>
  <c r="D23" i="2"/>
  <c r="D24" i="2"/>
  <c r="D25" i="2"/>
  <c r="J23" i="2"/>
  <c r="J24" i="2"/>
  <c r="J25" i="2"/>
  <c r="K23" i="2"/>
  <c r="CY23" i="2" s="1"/>
  <c r="K24" i="2"/>
  <c r="CY24" i="2" s="1"/>
  <c r="K25" i="2"/>
  <c r="CY25" i="2" s="1"/>
  <c r="L23" i="2"/>
  <c r="L24" i="2"/>
  <c r="L25" i="2"/>
  <c r="M23" i="2"/>
  <c r="M24" i="2"/>
  <c r="M25" i="2"/>
  <c r="N23" i="2"/>
  <c r="N24" i="2"/>
  <c r="N25" i="2"/>
  <c r="O23" i="2"/>
  <c r="O24" i="2"/>
  <c r="O25" i="2"/>
  <c r="P23" i="2"/>
  <c r="P24" i="2"/>
  <c r="P25" i="2"/>
  <c r="S23" i="2"/>
  <c r="S24" i="2"/>
  <c r="S25" i="2"/>
  <c r="T23" i="2"/>
  <c r="T24" i="2"/>
  <c r="T25" i="2"/>
  <c r="V23" i="2"/>
  <c r="V24" i="2"/>
  <c r="V25" i="2"/>
  <c r="W23" i="2"/>
  <c r="W24" i="2"/>
  <c r="W25" i="2"/>
  <c r="Y23" i="2"/>
  <c r="Y24" i="2"/>
  <c r="Y25" i="2"/>
  <c r="Z23" i="2"/>
  <c r="Z24" i="2"/>
  <c r="Z25" i="2"/>
  <c r="AA23" i="2"/>
  <c r="AA24" i="2"/>
  <c r="AA25" i="2"/>
  <c r="AD23" i="2"/>
  <c r="AD24" i="2"/>
  <c r="AD25" i="2"/>
  <c r="AG23" i="2"/>
  <c r="AH23" i="2" s="1"/>
  <c r="AG24" i="2"/>
  <c r="AH24" i="2" s="1"/>
  <c r="AG25" i="2"/>
  <c r="AH25" i="2" s="1"/>
  <c r="AJ23" i="2"/>
  <c r="AJ24" i="2"/>
  <c r="AJ25" i="2"/>
  <c r="C16" i="2"/>
  <c r="C17" i="2"/>
  <c r="C18" i="2"/>
  <c r="C19" i="2"/>
  <c r="C20" i="2"/>
  <c r="C21" i="2"/>
  <c r="C22" i="2"/>
  <c r="D16" i="2"/>
  <c r="D17" i="2"/>
  <c r="D18" i="2"/>
  <c r="D19" i="2"/>
  <c r="D20" i="2"/>
  <c r="D21" i="2"/>
  <c r="D22" i="2"/>
  <c r="J16" i="2"/>
  <c r="J17" i="2"/>
  <c r="J18" i="2"/>
  <c r="J19" i="2"/>
  <c r="J20" i="2"/>
  <c r="J21" i="2"/>
  <c r="J22" i="2"/>
  <c r="K16" i="2"/>
  <c r="CY16" i="2" s="1"/>
  <c r="K17" i="2"/>
  <c r="CY17" i="2" s="1"/>
  <c r="K18" i="2"/>
  <c r="CY18" i="2" s="1"/>
  <c r="K19" i="2"/>
  <c r="CY19" i="2" s="1"/>
  <c r="K20" i="2"/>
  <c r="CY20" i="2" s="1"/>
  <c r="K21" i="2"/>
  <c r="CY21" i="2" s="1"/>
  <c r="K22" i="2"/>
  <c r="CY22" i="2" s="1"/>
  <c r="L16" i="2"/>
  <c r="L17" i="2"/>
  <c r="L18" i="2"/>
  <c r="L19" i="2"/>
  <c r="L20" i="2"/>
  <c r="L21" i="2"/>
  <c r="L22" i="2"/>
  <c r="M16" i="2"/>
  <c r="M17" i="2"/>
  <c r="M18" i="2"/>
  <c r="M19" i="2"/>
  <c r="M20" i="2"/>
  <c r="M21" i="2"/>
  <c r="M22" i="2"/>
  <c r="N16" i="2"/>
  <c r="N17" i="2"/>
  <c r="N18" i="2"/>
  <c r="N19" i="2"/>
  <c r="N20" i="2"/>
  <c r="N21" i="2"/>
  <c r="N22" i="2"/>
  <c r="O16" i="2"/>
  <c r="O17" i="2"/>
  <c r="O18" i="2"/>
  <c r="O19" i="2"/>
  <c r="O20" i="2"/>
  <c r="O21" i="2"/>
  <c r="O22" i="2"/>
  <c r="P16" i="2"/>
  <c r="P17" i="2"/>
  <c r="P18" i="2"/>
  <c r="P19" i="2"/>
  <c r="P20" i="2"/>
  <c r="P21" i="2"/>
  <c r="P22" i="2"/>
  <c r="S16" i="2"/>
  <c r="S17" i="2"/>
  <c r="S18" i="2"/>
  <c r="S19" i="2"/>
  <c r="S20" i="2"/>
  <c r="S21" i="2"/>
  <c r="S22" i="2"/>
  <c r="T16" i="2"/>
  <c r="T17" i="2"/>
  <c r="T18" i="2"/>
  <c r="T19" i="2"/>
  <c r="T20" i="2"/>
  <c r="T21" i="2"/>
  <c r="T22" i="2"/>
  <c r="V16" i="2"/>
  <c r="V17" i="2"/>
  <c r="V18" i="2"/>
  <c r="V19" i="2"/>
  <c r="V20" i="2"/>
  <c r="V21" i="2"/>
  <c r="V22" i="2"/>
  <c r="W16" i="2"/>
  <c r="W17" i="2"/>
  <c r="W18" i="2"/>
  <c r="W19" i="2"/>
  <c r="W20" i="2"/>
  <c r="W21" i="2"/>
  <c r="W22" i="2"/>
  <c r="Y16" i="2"/>
  <c r="Y17" i="2"/>
  <c r="Y18" i="2"/>
  <c r="Y19" i="2"/>
  <c r="Y20" i="2"/>
  <c r="Y21" i="2"/>
  <c r="Y22" i="2"/>
  <c r="Z16" i="2"/>
  <c r="Z17" i="2"/>
  <c r="Z18" i="2"/>
  <c r="Z19" i="2"/>
  <c r="Z20" i="2"/>
  <c r="Z21" i="2"/>
  <c r="Z22" i="2"/>
  <c r="AA16" i="2"/>
  <c r="AA17" i="2"/>
  <c r="AA18" i="2"/>
  <c r="AA19" i="2"/>
  <c r="AA20" i="2"/>
  <c r="AA21" i="2"/>
  <c r="AA22" i="2"/>
  <c r="AD16" i="2"/>
  <c r="AD17" i="2"/>
  <c r="AD18" i="2"/>
  <c r="AD19" i="2"/>
  <c r="AD20" i="2"/>
  <c r="AD21" i="2"/>
  <c r="AD22" i="2"/>
  <c r="AG16" i="2"/>
  <c r="AH16" i="2" s="1"/>
  <c r="AG17" i="2"/>
  <c r="AH17" i="2" s="1"/>
  <c r="AG18" i="2"/>
  <c r="AH18" i="2" s="1"/>
  <c r="AG19" i="2"/>
  <c r="AH19" i="2" s="1"/>
  <c r="AG20" i="2"/>
  <c r="AH20" i="2" s="1"/>
  <c r="AG21" i="2"/>
  <c r="AH21" i="2" s="1"/>
  <c r="AG22" i="2"/>
  <c r="AH22" i="2" s="1"/>
  <c r="AJ16" i="2"/>
  <c r="AJ17" i="2"/>
  <c r="AJ18" i="2"/>
  <c r="AJ19" i="2"/>
  <c r="AJ20" i="2"/>
  <c r="AJ21" i="2"/>
  <c r="AJ22" i="2"/>
  <c r="G15" i="2"/>
  <c r="C15" i="2"/>
  <c r="D15" i="2"/>
  <c r="J15" i="2"/>
  <c r="K15" i="2"/>
  <c r="CY15" i="2" s="1"/>
  <c r="L15" i="2"/>
  <c r="M15" i="2"/>
  <c r="N15" i="2"/>
  <c r="O15" i="2"/>
  <c r="P15" i="2"/>
  <c r="S15" i="2"/>
  <c r="T15" i="2"/>
  <c r="V15" i="2"/>
  <c r="W15" i="2"/>
  <c r="Y15" i="2"/>
  <c r="Z15" i="2"/>
  <c r="AA15" i="2"/>
  <c r="AD15" i="2"/>
  <c r="AG15" i="2"/>
  <c r="AH15" i="2" s="1"/>
  <c r="AJ15" i="2"/>
  <c r="A24" i="7"/>
  <c r="A25" i="7"/>
  <c r="A15" i="7"/>
  <c r="A16" i="7"/>
  <c r="A17" i="7"/>
  <c r="A18" i="7"/>
  <c r="A19" i="7"/>
  <c r="A20" i="7"/>
  <c r="A21" i="7"/>
  <c r="A22" i="7"/>
  <c r="A23" i="7"/>
  <c r="B15" i="7"/>
  <c r="B16" i="7"/>
  <c r="B17" i="7"/>
  <c r="B18" i="7"/>
  <c r="B19" i="7"/>
  <c r="B20" i="7"/>
  <c r="B21" i="7"/>
  <c r="B22" i="7"/>
  <c r="B23" i="7"/>
  <c r="B24" i="7"/>
  <c r="B25" i="7"/>
  <c r="E15" i="7"/>
  <c r="E16" i="7"/>
  <c r="E17" i="7"/>
  <c r="E18" i="7"/>
  <c r="E19" i="7"/>
  <c r="E20" i="7"/>
  <c r="E21" i="7"/>
  <c r="E22" i="7"/>
  <c r="E23" i="7"/>
  <c r="E24" i="7"/>
  <c r="E25" i="7"/>
  <c r="G15" i="7"/>
  <c r="G16" i="7"/>
  <c r="G17" i="7"/>
  <c r="G18" i="7"/>
  <c r="G19" i="7"/>
  <c r="G20" i="7"/>
  <c r="G21" i="7"/>
  <c r="G22" i="7"/>
  <c r="G23" i="7"/>
  <c r="G24" i="7"/>
  <c r="G25" i="7"/>
  <c r="O15" i="7"/>
  <c r="O16" i="7"/>
  <c r="O17" i="7"/>
  <c r="O18" i="7"/>
  <c r="O19" i="7"/>
  <c r="O20" i="7"/>
  <c r="O21" i="7"/>
  <c r="O22" i="7"/>
  <c r="O23" i="7"/>
  <c r="O24" i="7"/>
  <c r="O25" i="7"/>
  <c r="P15" i="7"/>
  <c r="P16" i="7"/>
  <c r="P17" i="7"/>
  <c r="P18" i="7"/>
  <c r="P19" i="7"/>
  <c r="P20" i="7"/>
  <c r="P21" i="7"/>
  <c r="P23" i="7"/>
  <c r="P24" i="7"/>
  <c r="P25" i="7"/>
  <c r="Q15" i="7"/>
  <c r="Q16" i="7"/>
  <c r="Q17" i="7"/>
  <c r="Q18" i="7"/>
  <c r="Q19" i="7"/>
  <c r="Q20" i="7"/>
  <c r="Q21" i="7"/>
  <c r="Q23" i="7"/>
  <c r="Q24" i="7"/>
  <c r="Q25" i="7"/>
  <c r="R15" i="7"/>
  <c r="R16" i="7"/>
  <c r="R17" i="7"/>
  <c r="R18" i="7"/>
  <c r="R19" i="7"/>
  <c r="R20" i="7"/>
  <c r="R21" i="7"/>
  <c r="R22" i="7"/>
  <c r="R23" i="7"/>
  <c r="R24" i="7"/>
  <c r="R25" i="7"/>
  <c r="R14" i="7"/>
  <c r="Q14" i="7"/>
  <c r="P14" i="7"/>
  <c r="O14" i="7"/>
  <c r="G14" i="7"/>
  <c r="E14" i="7"/>
  <c r="B14" i="7"/>
  <c r="A14" i="7"/>
  <c r="S12" i="7"/>
  <c r="R12" i="7"/>
  <c r="Q12" i="7"/>
  <c r="P12" i="7"/>
  <c r="O12" i="7"/>
  <c r="N12" i="7"/>
  <c r="M12" i="7"/>
  <c r="G12" i="7"/>
  <c r="E12" i="7"/>
  <c r="B12" i="7"/>
  <c r="A12" i="7"/>
  <c r="E9" i="7"/>
  <c r="S14" i="2"/>
  <c r="AJ14" i="2"/>
  <c r="AG14" i="2"/>
  <c r="AH14" i="2" s="1"/>
  <c r="AD14" i="2"/>
  <c r="AA14" i="2"/>
  <c r="Z14" i="2"/>
  <c r="Y14" i="2"/>
  <c r="W14" i="2"/>
  <c r="T14" i="2"/>
  <c r="P14" i="2"/>
  <c r="O14" i="2"/>
  <c r="N14" i="2"/>
  <c r="M14" i="2"/>
  <c r="L14" i="2"/>
  <c r="K14" i="2"/>
  <c r="CY14" i="2" s="1"/>
  <c r="J14" i="2"/>
  <c r="G14" i="2"/>
  <c r="D14" i="2"/>
  <c r="C14" i="2"/>
  <c r="DR12" i="2"/>
  <c r="DL12" i="2"/>
  <c r="DK12" i="2"/>
  <c r="DJ12" i="2"/>
  <c r="DH12" i="2"/>
  <c r="CZ12" i="2"/>
  <c r="CY12" i="2"/>
  <c r="CW12" i="2"/>
  <c r="CV12" i="2"/>
  <c r="AJ12" i="2"/>
  <c r="AH12" i="2"/>
  <c r="AG12" i="2"/>
  <c r="AD12" i="2"/>
  <c r="AA12" i="2"/>
  <c r="Z12" i="2"/>
  <c r="Y12" i="2"/>
  <c r="W12" i="2"/>
  <c r="V12" i="2"/>
  <c r="T12" i="2"/>
  <c r="S12" i="2"/>
  <c r="Q12" i="2"/>
  <c r="P12" i="2"/>
  <c r="O12" i="2"/>
  <c r="N12" i="2"/>
  <c r="M12" i="2"/>
  <c r="L12" i="2"/>
  <c r="K12" i="2"/>
  <c r="J12" i="2"/>
  <c r="G12" i="2"/>
  <c r="D12" i="2"/>
  <c r="C12" i="2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X62" i="6"/>
  <c r="CE60" i="6"/>
  <c r="CE59" i="6"/>
  <c r="CE58" i="6"/>
  <c r="CE57" i="6"/>
  <c r="CE56" i="6"/>
  <c r="CE55" i="6"/>
  <c r="CE54" i="6"/>
  <c r="CE53" i="6"/>
  <c r="CE52" i="6"/>
  <c r="CE51" i="6"/>
  <c r="CE50" i="6"/>
  <c r="CE49" i="6"/>
  <c r="CE48" i="6"/>
  <c r="CE47" i="6"/>
  <c r="AC47" i="6"/>
  <c r="CE46" i="6"/>
  <c r="CE45" i="6"/>
  <c r="CE44" i="6"/>
  <c r="CE43" i="6"/>
  <c r="CE42" i="6"/>
  <c r="CE41" i="6"/>
  <c r="CE40" i="6"/>
  <c r="CE39" i="6"/>
  <c r="BU39" i="6"/>
  <c r="CE38" i="6"/>
  <c r="BV38" i="6"/>
  <c r="BU38" i="6"/>
  <c r="CE37" i="6"/>
  <c r="BU37" i="6"/>
  <c r="CE36" i="6"/>
  <c r="BU36" i="6"/>
  <c r="CE35" i="6"/>
  <c r="BU35" i="6"/>
  <c r="CE34" i="6"/>
  <c r="BU34" i="6"/>
  <c r="CE33" i="6"/>
  <c r="BU33" i="6"/>
  <c r="CE32" i="6"/>
  <c r="BU32" i="6"/>
  <c r="CE31" i="6"/>
  <c r="BU31" i="6"/>
  <c r="CE30" i="6"/>
  <c r="BU30" i="6"/>
  <c r="CE29" i="6"/>
  <c r="BU29" i="6"/>
  <c r="CE28" i="6"/>
  <c r="BU28" i="6"/>
  <c r="CE27" i="6"/>
  <c r="BU27" i="6"/>
  <c r="CE26" i="6"/>
  <c r="BU26" i="6"/>
  <c r="CE25" i="6"/>
  <c r="BU25" i="6"/>
  <c r="CE24" i="6"/>
  <c r="BU24" i="6"/>
  <c r="CE23" i="6"/>
  <c r="BU23" i="6"/>
  <c r="CE22" i="6"/>
  <c r="BU22" i="6"/>
  <c r="CE21" i="6"/>
  <c r="BU21" i="6"/>
  <c r="CE20" i="6"/>
  <c r="BU20" i="6"/>
  <c r="CE19" i="6"/>
  <c r="BU19" i="6"/>
  <c r="CE18" i="6"/>
  <c r="BU18" i="6"/>
  <c r="CE17" i="6"/>
  <c r="BU17" i="6"/>
  <c r="CE16" i="6"/>
  <c r="BU16" i="6"/>
  <c r="CE15" i="6"/>
  <c r="BV15" i="6"/>
  <c r="BU15" i="6"/>
  <c r="CE14" i="6"/>
  <c r="BU14" i="6"/>
  <c r="BP14" i="6"/>
  <c r="CE13" i="6"/>
  <c r="BU13" i="6"/>
  <c r="CE12" i="6"/>
  <c r="BU12" i="6"/>
  <c r="CE11" i="6"/>
  <c r="BU11" i="6"/>
  <c r="AM11" i="6"/>
  <c r="AM12" i="6" s="1"/>
  <c r="AM13" i="6" s="1"/>
  <c r="AM14" i="6" s="1"/>
  <c r="AM15" i="6" s="1"/>
  <c r="AM16" i="6" s="1"/>
  <c r="AM17" i="6" s="1"/>
  <c r="AM18" i="6" s="1"/>
  <c r="AM19" i="6" s="1"/>
  <c r="AM20" i="6" s="1"/>
  <c r="AM21" i="6" s="1"/>
  <c r="AC11" i="6"/>
  <c r="AC12" i="6" s="1"/>
  <c r="AC13" i="6" s="1"/>
  <c r="AC14" i="6" s="1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B11" i="6"/>
  <c r="J11" i="6" s="1"/>
  <c r="CE10" i="6"/>
  <c r="BU10" i="6"/>
  <c r="Z10" i="6"/>
  <c r="S10" i="6"/>
  <c r="O10" i="6"/>
  <c r="P10" i="6" s="1"/>
  <c r="M10" i="6"/>
  <c r="L10" i="6"/>
  <c r="J10" i="6"/>
  <c r="F10" i="6"/>
  <c r="AO10" i="6" s="1"/>
  <c r="Z428" i="6" s="1"/>
  <c r="E10" i="6"/>
  <c r="H10" i="6" s="1"/>
  <c r="D10" i="6"/>
  <c r="C10" i="6"/>
  <c r="Q10" i="6" s="1"/>
  <c r="AC8" i="6"/>
  <c r="AD47" i="6" s="1"/>
  <c r="CH7" i="6"/>
  <c r="CE7" i="6"/>
  <c r="AD7" i="6"/>
  <c r="BZ6" i="6"/>
  <c r="AG6" i="6"/>
  <c r="AO5" i="6"/>
  <c r="Q24" i="2" l="1"/>
  <c r="Q25" i="2"/>
  <c r="Q23" i="2"/>
  <c r="Q17" i="2"/>
  <c r="Q18" i="2"/>
  <c r="Q16" i="2"/>
  <c r="Q22" i="2"/>
  <c r="Q21" i="2"/>
  <c r="Q20" i="2"/>
  <c r="Q19" i="2"/>
  <c r="Q15" i="2"/>
  <c r="R10" i="6"/>
  <c r="C11" i="6"/>
  <c r="Q11" i="6" s="1"/>
  <c r="S11" i="6"/>
  <c r="Z11" i="6"/>
  <c r="N10" i="6"/>
  <c r="G10" i="6" s="1"/>
  <c r="D11" i="6"/>
  <c r="K11" i="6" s="1"/>
  <c r="M11" i="6" s="1"/>
  <c r="B12" i="6"/>
  <c r="E11" i="6"/>
  <c r="S17" i="7"/>
  <c r="S22" i="7"/>
  <c r="S24" i="7"/>
  <c r="S18" i="7"/>
  <c r="S25" i="7"/>
  <c r="S16" i="7"/>
  <c r="S20" i="7"/>
  <c r="S19" i="7"/>
  <c r="S23" i="7"/>
  <c r="S21" i="7"/>
  <c r="S15" i="7"/>
  <c r="I10" i="6"/>
  <c r="L11" i="6"/>
  <c r="O11" i="6"/>
  <c r="P11" i="6" s="1"/>
  <c r="AR10" i="6"/>
  <c r="F11" i="6"/>
  <c r="AO11" i="6" s="1"/>
  <c r="Z12" i="6"/>
  <c r="J12" i="6"/>
  <c r="C12" i="6"/>
  <c r="Q12" i="6" s="1"/>
  <c r="S12" i="6"/>
  <c r="D12" i="6"/>
  <c r="S14" i="7"/>
  <c r="Q14" i="2"/>
  <c r="V14" i="2"/>
  <c r="K12" i="6" l="1"/>
  <c r="E12" i="6"/>
  <c r="F12" i="6"/>
  <c r="AO12" i="6" s="1"/>
  <c r="Z430" i="6" s="1"/>
  <c r="B13" i="6"/>
  <c r="M19" i="7"/>
  <c r="N19" i="7"/>
  <c r="M15" i="7"/>
  <c r="N15" i="7"/>
  <c r="M24" i="7"/>
  <c r="N24" i="7"/>
  <c r="M16" i="7"/>
  <c r="N16" i="7"/>
  <c r="M20" i="7"/>
  <c r="N20" i="7"/>
  <c r="M23" i="7"/>
  <c r="N23" i="7"/>
  <c r="M25" i="7"/>
  <c r="N25" i="7"/>
  <c r="M18" i="7"/>
  <c r="N18" i="7"/>
  <c r="N21" i="7"/>
  <c r="M21" i="7"/>
  <c r="M22" i="7"/>
  <c r="N22" i="7"/>
  <c r="M14" i="7"/>
  <c r="N14" i="7"/>
  <c r="N17" i="7"/>
  <c r="M17" i="7"/>
  <c r="M12" i="6"/>
  <c r="L12" i="6"/>
  <c r="O12" i="6"/>
  <c r="P12" i="6" s="1"/>
  <c r="Z429" i="6"/>
  <c r="N11" i="6"/>
  <c r="W10" i="6"/>
  <c r="H11" i="6"/>
  <c r="F13" i="6" l="1"/>
  <c r="AO13" i="6" s="1"/>
  <c r="Z431" i="6" s="1"/>
  <c r="Z13" i="6"/>
  <c r="D13" i="6"/>
  <c r="K13" i="6" s="1"/>
  <c r="M13" i="6" s="1"/>
  <c r="B14" i="6"/>
  <c r="J13" i="6"/>
  <c r="E13" i="6"/>
  <c r="C13" i="6"/>
  <c r="Q13" i="6" s="1"/>
  <c r="S13" i="6"/>
  <c r="N12" i="6"/>
  <c r="G12" i="6" s="1"/>
  <c r="H12" i="6"/>
  <c r="R12" i="6" s="1"/>
  <c r="G11" i="6"/>
  <c r="R11" i="6"/>
  <c r="I11" i="6"/>
  <c r="L13" i="6" l="1"/>
  <c r="N13" i="6"/>
  <c r="G13" i="6" s="1"/>
  <c r="H13" i="6"/>
  <c r="R13" i="6" s="1"/>
  <c r="O13" i="6"/>
  <c r="P13" i="6" s="1"/>
  <c r="S14" i="6"/>
  <c r="B15" i="6"/>
  <c r="J14" i="6"/>
  <c r="D14" i="6"/>
  <c r="K14" i="6" s="1"/>
  <c r="Z14" i="6"/>
  <c r="E14" i="6"/>
  <c r="F14" i="6"/>
  <c r="AO14" i="6" s="1"/>
  <c r="Z432" i="6" s="1"/>
  <c r="C14" i="6"/>
  <c r="Q14" i="6" s="1"/>
  <c r="I12" i="6"/>
  <c r="W11" i="6" s="1"/>
  <c r="X10" i="6" s="1"/>
  <c r="I13" i="6"/>
  <c r="O14" i="6" l="1"/>
  <c r="P14" i="6" s="1"/>
  <c r="M14" i="6"/>
  <c r="N14" i="6" s="1"/>
  <c r="I14" i="6" s="1"/>
  <c r="L14" i="6"/>
  <c r="J15" i="6"/>
  <c r="Z15" i="6"/>
  <c r="E15" i="6"/>
  <c r="C15" i="6"/>
  <c r="Q15" i="6" s="1"/>
  <c r="F15" i="6"/>
  <c r="AO15" i="6" s="1"/>
  <c r="Z433" i="6" s="1"/>
  <c r="S15" i="6"/>
  <c r="D15" i="6"/>
  <c r="K15" i="6" s="1"/>
  <c r="B16" i="6"/>
  <c r="H14" i="6"/>
  <c r="R14" i="6" s="1"/>
  <c r="G14" i="6" l="1"/>
  <c r="O15" i="6"/>
  <c r="P15" i="6" s="1"/>
  <c r="M15" i="6"/>
  <c r="N15" i="6" s="1"/>
  <c r="G15" i="6" s="1"/>
  <c r="L15" i="6"/>
  <c r="H15" i="6"/>
  <c r="R15" i="6" s="1"/>
  <c r="J16" i="6"/>
  <c r="B17" i="6"/>
  <c r="Z16" i="6"/>
  <c r="F16" i="6"/>
  <c r="AO16" i="6" s="1"/>
  <c r="Z434" i="6" s="1"/>
  <c r="S16" i="6"/>
  <c r="C16" i="6"/>
  <c r="Q16" i="6" s="1"/>
  <c r="E16" i="6"/>
  <c r="D16" i="6"/>
  <c r="K16" i="6" s="1"/>
  <c r="I15" i="6" l="1"/>
  <c r="E17" i="6"/>
  <c r="B18" i="6"/>
  <c r="S17" i="6"/>
  <c r="C17" i="6"/>
  <c r="Q17" i="6" s="1"/>
  <c r="D17" i="6"/>
  <c r="K17" i="6" s="1"/>
  <c r="J17" i="6"/>
  <c r="Z17" i="6"/>
  <c r="F17" i="6"/>
  <c r="AO17" i="6" s="1"/>
  <c r="Z435" i="6" s="1"/>
  <c r="M16" i="6"/>
  <c r="L16" i="6"/>
  <c r="O16" i="6"/>
  <c r="P16" i="6" s="1"/>
  <c r="H16" i="6"/>
  <c r="R16" i="6" s="1"/>
  <c r="H17" i="6" l="1"/>
  <c r="N16" i="6"/>
  <c r="G16" i="6" s="1"/>
  <c r="L17" i="6"/>
  <c r="M17" i="6"/>
  <c r="N17" i="6" s="1"/>
  <c r="O17" i="6"/>
  <c r="P17" i="6" s="1"/>
  <c r="R17" i="6"/>
  <c r="S18" i="6"/>
  <c r="C18" i="6"/>
  <c r="Q18" i="6" s="1"/>
  <c r="B19" i="6"/>
  <c r="E18" i="6"/>
  <c r="D18" i="6"/>
  <c r="K18" i="6" s="1"/>
  <c r="J18" i="6"/>
  <c r="Z18" i="6"/>
  <c r="F18" i="6"/>
  <c r="AO18" i="6" s="1"/>
  <c r="Z436" i="6" s="1"/>
  <c r="G17" i="6"/>
  <c r="I16" i="6" l="1"/>
  <c r="C19" i="6"/>
  <c r="Q19" i="6" s="1"/>
  <c r="Z19" i="6"/>
  <c r="F19" i="6"/>
  <c r="AO19" i="6" s="1"/>
  <c r="Z437" i="6" s="1"/>
  <c r="E19" i="6"/>
  <c r="H19" i="6" s="1"/>
  <c r="S19" i="6"/>
  <c r="B20" i="6"/>
  <c r="D19" i="6"/>
  <c r="K19" i="6" s="1"/>
  <c r="J19" i="6"/>
  <c r="L18" i="6"/>
  <c r="M18" i="6"/>
  <c r="O18" i="6"/>
  <c r="P18" i="6" s="1"/>
  <c r="I17" i="6"/>
  <c r="H18" i="6"/>
  <c r="R18" i="6" s="1"/>
  <c r="N18" i="6" l="1"/>
  <c r="G18" i="6" s="1"/>
  <c r="R19" i="6"/>
  <c r="I18" i="6"/>
  <c r="O19" i="6"/>
  <c r="P19" i="6" s="1"/>
  <c r="L19" i="6"/>
  <c r="M19" i="6"/>
  <c r="S20" i="6"/>
  <c r="C20" i="6"/>
  <c r="Q20" i="6" s="1"/>
  <c r="J20" i="6"/>
  <c r="D20" i="6"/>
  <c r="K20" i="6" s="1"/>
  <c r="F20" i="6"/>
  <c r="AO20" i="6" s="1"/>
  <c r="Z438" i="6" s="1"/>
  <c r="B21" i="6"/>
  <c r="Z20" i="6"/>
  <c r="E20" i="6"/>
  <c r="L20" i="6" l="1"/>
  <c r="O20" i="6"/>
  <c r="P20" i="6" s="1"/>
  <c r="M20" i="6"/>
  <c r="N19" i="6"/>
  <c r="G19" i="6" s="1"/>
  <c r="H20" i="6"/>
  <c r="R20" i="6" s="1"/>
  <c r="D21" i="6"/>
  <c r="K21" i="6" s="1"/>
  <c r="E21" i="6"/>
  <c r="C21" i="6"/>
  <c r="Q21" i="6" s="1"/>
  <c r="J21" i="6"/>
  <c r="F21" i="6"/>
  <c r="AO21" i="6" s="1"/>
  <c r="Z439" i="6" s="1"/>
  <c r="S21" i="6"/>
  <c r="B22" i="6"/>
  <c r="Z21" i="6"/>
  <c r="L21" i="6" l="1"/>
  <c r="M21" i="6"/>
  <c r="O21" i="6"/>
  <c r="P21" i="6" s="1"/>
  <c r="H21" i="6"/>
  <c r="R21" i="6" s="1"/>
  <c r="I19" i="6"/>
  <c r="E22" i="6"/>
  <c r="H22" i="6" s="1"/>
  <c r="D22" i="6"/>
  <c r="K22" i="6" s="1"/>
  <c r="B23" i="6"/>
  <c r="S22" i="6"/>
  <c r="C22" i="6"/>
  <c r="Q22" i="6" s="1"/>
  <c r="J22" i="6"/>
  <c r="F22" i="6"/>
  <c r="Z22" i="6"/>
  <c r="N20" i="6"/>
  <c r="G20" i="6" s="1"/>
  <c r="I20" i="6" l="1"/>
  <c r="R22" i="6"/>
  <c r="L22" i="6"/>
  <c r="O22" i="6"/>
  <c r="P22" i="6" s="1"/>
  <c r="M22" i="6"/>
  <c r="E23" i="6"/>
  <c r="H23" i="6" s="1"/>
  <c r="J23" i="6"/>
  <c r="Z23" i="6"/>
  <c r="F23" i="6"/>
  <c r="D23" i="6"/>
  <c r="K23" i="6" s="1"/>
  <c r="B24" i="6"/>
  <c r="S23" i="6"/>
  <c r="C23" i="6"/>
  <c r="Q23" i="6" s="1"/>
  <c r="N21" i="6"/>
  <c r="G21" i="6" s="1"/>
  <c r="N22" i="6" l="1"/>
  <c r="G22" i="6" s="1"/>
  <c r="M23" i="6"/>
  <c r="N23" i="6" s="1"/>
  <c r="G23" i="6" s="1"/>
  <c r="O23" i="6"/>
  <c r="P23" i="6" s="1"/>
  <c r="L23" i="6"/>
  <c r="R23" i="6"/>
  <c r="I21" i="6"/>
  <c r="I22" i="6"/>
  <c r="E24" i="6"/>
  <c r="S24" i="6"/>
  <c r="C24" i="6"/>
  <c r="Q24" i="6" s="1"/>
  <c r="J24" i="6"/>
  <c r="B25" i="6"/>
  <c r="Z24" i="6"/>
  <c r="F24" i="6"/>
  <c r="D24" i="6"/>
  <c r="K24" i="6" s="1"/>
  <c r="H24" i="6" l="1"/>
  <c r="R24" i="6" s="1"/>
  <c r="O24" i="6"/>
  <c r="P24" i="6" s="1"/>
  <c r="M24" i="6"/>
  <c r="L24" i="6"/>
  <c r="J25" i="6"/>
  <c r="S25" i="6"/>
  <c r="Z25" i="6"/>
  <c r="B26" i="6"/>
  <c r="E25" i="6"/>
  <c r="D25" i="6"/>
  <c r="K25" i="6" s="1"/>
  <c r="F25" i="6"/>
  <c r="C25" i="6"/>
  <c r="Q25" i="6" s="1"/>
  <c r="I23" i="6"/>
  <c r="N24" i="6" l="1"/>
  <c r="G24" i="6" s="1"/>
  <c r="O25" i="6"/>
  <c r="P25" i="6" s="1"/>
  <c r="M25" i="6"/>
  <c r="L25" i="6"/>
  <c r="D26" i="6"/>
  <c r="K26" i="6" s="1"/>
  <c r="J26" i="6"/>
  <c r="S26" i="6"/>
  <c r="B27" i="6"/>
  <c r="Z26" i="6"/>
  <c r="C26" i="6"/>
  <c r="Q26" i="6" s="1"/>
  <c r="F26" i="6"/>
  <c r="E26" i="6"/>
  <c r="H25" i="6"/>
  <c r="R25" i="6" s="1"/>
  <c r="H26" i="6" l="1"/>
  <c r="I24" i="6"/>
  <c r="N25" i="6"/>
  <c r="G25" i="6" s="1"/>
  <c r="E27" i="6"/>
  <c r="D27" i="6"/>
  <c r="K27" i="6" s="1"/>
  <c r="F27" i="6"/>
  <c r="B28" i="6"/>
  <c r="S27" i="6"/>
  <c r="C27" i="6"/>
  <c r="Q27" i="6" s="1"/>
  <c r="J27" i="6"/>
  <c r="Z27" i="6"/>
  <c r="R26" i="6"/>
  <c r="O26" i="6"/>
  <c r="P26" i="6" s="1"/>
  <c r="M26" i="6"/>
  <c r="N26" i="6" s="1"/>
  <c r="G26" i="6" s="1"/>
  <c r="L26" i="6"/>
  <c r="I26" i="6" l="1"/>
  <c r="H27" i="6"/>
  <c r="R27" i="6" s="1"/>
  <c r="I25" i="6"/>
  <c r="D28" i="6"/>
  <c r="K28" i="6" s="1"/>
  <c r="S28" i="6"/>
  <c r="C28" i="6"/>
  <c r="Q28" i="6" s="1"/>
  <c r="E28" i="6"/>
  <c r="J28" i="6"/>
  <c r="Z28" i="6"/>
  <c r="F28" i="6"/>
  <c r="B29" i="6"/>
  <c r="L27" i="6"/>
  <c r="O27" i="6"/>
  <c r="P27" i="6" s="1"/>
  <c r="M27" i="6"/>
  <c r="E29" i="6" l="1"/>
  <c r="D29" i="6"/>
  <c r="K29" i="6" s="1"/>
  <c r="B30" i="6"/>
  <c r="S29" i="6"/>
  <c r="C29" i="6"/>
  <c r="Q29" i="6" s="1"/>
  <c r="F29" i="6"/>
  <c r="Z29" i="6"/>
  <c r="J29" i="6"/>
  <c r="H28" i="6"/>
  <c r="R28" i="6"/>
  <c r="N27" i="6"/>
  <c r="O28" i="6"/>
  <c r="P28" i="6" s="1"/>
  <c r="M28" i="6"/>
  <c r="L28" i="6"/>
  <c r="N28" i="6" l="1"/>
  <c r="G28" i="6" s="1"/>
  <c r="G27" i="6"/>
  <c r="I27" i="6"/>
  <c r="E30" i="6"/>
  <c r="D30" i="6"/>
  <c r="K30" i="6" s="1"/>
  <c r="J30" i="6"/>
  <c r="Z30" i="6"/>
  <c r="F30" i="6"/>
  <c r="B31" i="6"/>
  <c r="S30" i="6"/>
  <c r="C30" i="6"/>
  <c r="Q30" i="6" s="1"/>
  <c r="M29" i="6"/>
  <c r="L29" i="6"/>
  <c r="O29" i="6"/>
  <c r="P29" i="6" s="1"/>
  <c r="H29" i="6"/>
  <c r="R29" i="6" s="1"/>
  <c r="O30" i="6" l="1"/>
  <c r="P30" i="6" s="1"/>
  <c r="M30" i="6"/>
  <c r="L30" i="6"/>
  <c r="H30" i="6"/>
  <c r="R30" i="6" s="1"/>
  <c r="N29" i="6"/>
  <c r="G29" i="6" s="1"/>
  <c r="B32" i="6"/>
  <c r="S31" i="6"/>
  <c r="C31" i="6"/>
  <c r="Q31" i="6" s="1"/>
  <c r="J31" i="6"/>
  <c r="Z31" i="6"/>
  <c r="E31" i="6"/>
  <c r="F31" i="6"/>
  <c r="D31" i="6"/>
  <c r="K31" i="6" s="1"/>
  <c r="I28" i="6"/>
  <c r="I29" i="6" l="1"/>
  <c r="O31" i="6"/>
  <c r="P31" i="6" s="1"/>
  <c r="L31" i="6"/>
  <c r="M31" i="6"/>
  <c r="H31" i="6"/>
  <c r="Z32" i="6"/>
  <c r="F32" i="6"/>
  <c r="E32" i="6"/>
  <c r="D32" i="6"/>
  <c r="K32" i="6" s="1"/>
  <c r="B33" i="6"/>
  <c r="C32" i="6"/>
  <c r="Q32" i="6" s="1"/>
  <c r="J32" i="6"/>
  <c r="S32" i="6"/>
  <c r="N30" i="6"/>
  <c r="R31" i="6"/>
  <c r="H32" i="6" l="1"/>
  <c r="N31" i="6"/>
  <c r="G31" i="6" s="1"/>
  <c r="I31" i="6"/>
  <c r="O32" i="6"/>
  <c r="P32" i="6" s="1"/>
  <c r="L32" i="6"/>
  <c r="M32" i="6"/>
  <c r="C33" i="6"/>
  <c r="Q33" i="6" s="1"/>
  <c r="Z33" i="6"/>
  <c r="S33" i="6"/>
  <c r="E33" i="6"/>
  <c r="J33" i="6"/>
  <c r="F33" i="6"/>
  <c r="B34" i="6"/>
  <c r="D33" i="6"/>
  <c r="K33" i="6" s="1"/>
  <c r="G30" i="6"/>
  <c r="I30" i="6"/>
  <c r="R32" i="6"/>
  <c r="H33" i="6" l="1"/>
  <c r="R33" i="6"/>
  <c r="M33" i="6"/>
  <c r="O33" i="6"/>
  <c r="P33" i="6" s="1"/>
  <c r="L33" i="6"/>
  <c r="N32" i="6"/>
  <c r="F34" i="6"/>
  <c r="D34" i="6"/>
  <c r="K34" i="6" s="1"/>
  <c r="B35" i="6"/>
  <c r="S34" i="6"/>
  <c r="Z34" i="6"/>
  <c r="J34" i="6"/>
  <c r="C34" i="6"/>
  <c r="Q34" i="6" s="1"/>
  <c r="E34" i="6"/>
  <c r="H34" i="6" l="1"/>
  <c r="O34" i="6"/>
  <c r="P34" i="6" s="1"/>
  <c r="L34" i="6"/>
  <c r="M34" i="6"/>
  <c r="N33" i="6"/>
  <c r="G33" i="6" s="1"/>
  <c r="E35" i="6"/>
  <c r="B36" i="6"/>
  <c r="S35" i="6"/>
  <c r="D35" i="6"/>
  <c r="K35" i="6" s="1"/>
  <c r="F35" i="6"/>
  <c r="C35" i="6"/>
  <c r="Q35" i="6" s="1"/>
  <c r="J35" i="6"/>
  <c r="Z35" i="6"/>
  <c r="R34" i="6"/>
  <c r="G32" i="6"/>
  <c r="I32" i="6"/>
  <c r="I33" i="6" l="1"/>
  <c r="L35" i="6"/>
  <c r="O35" i="6"/>
  <c r="P35" i="6" s="1"/>
  <c r="M35" i="6"/>
  <c r="C36" i="6"/>
  <c r="Q36" i="6" s="1"/>
  <c r="D36" i="6"/>
  <c r="K36" i="6" s="1"/>
  <c r="S36" i="6"/>
  <c r="J36" i="6"/>
  <c r="Z36" i="6"/>
  <c r="F36" i="6"/>
  <c r="E36" i="6"/>
  <c r="H36" i="6" s="1"/>
  <c r="B37" i="6"/>
  <c r="H35" i="6"/>
  <c r="R35" i="6" s="1"/>
  <c r="N34" i="6"/>
  <c r="G34" i="6" s="1"/>
  <c r="N35" i="6" l="1"/>
  <c r="G35" i="6" s="1"/>
  <c r="O36" i="6"/>
  <c r="P36" i="6" s="1"/>
  <c r="M36" i="6"/>
  <c r="N36" i="6" s="1"/>
  <c r="G36" i="6" s="1"/>
  <c r="L36" i="6"/>
  <c r="R36" i="6"/>
  <c r="S37" i="6"/>
  <c r="C37" i="6"/>
  <c r="Q37" i="6" s="1"/>
  <c r="J37" i="6"/>
  <c r="Z37" i="6"/>
  <c r="F37" i="6"/>
  <c r="E37" i="6"/>
  <c r="H37" i="6" s="1"/>
  <c r="D37" i="6"/>
  <c r="K37" i="6" s="1"/>
  <c r="B38" i="6"/>
  <c r="I35" i="6"/>
  <c r="I34" i="6"/>
  <c r="I36" i="6" l="1"/>
  <c r="B39" i="6"/>
  <c r="Z38" i="6"/>
  <c r="D38" i="6"/>
  <c r="K38" i="6" s="1"/>
  <c r="S38" i="6"/>
  <c r="C38" i="6"/>
  <c r="Q38" i="6" s="1"/>
  <c r="J38" i="6"/>
  <c r="E38" i="6"/>
  <c r="F38" i="6"/>
  <c r="R37" i="6"/>
  <c r="L37" i="6"/>
  <c r="O37" i="6"/>
  <c r="P37" i="6" s="1"/>
  <c r="M37" i="6"/>
  <c r="N37" i="6" s="1"/>
  <c r="G37" i="6" s="1"/>
  <c r="H38" i="6" l="1"/>
  <c r="R38" i="6" s="1"/>
  <c r="L38" i="6"/>
  <c r="O38" i="6"/>
  <c r="P38" i="6" s="1"/>
  <c r="M38" i="6"/>
  <c r="I37" i="6"/>
  <c r="C39" i="6"/>
  <c r="Q39" i="6" s="1"/>
  <c r="S39" i="6"/>
  <c r="B40" i="6"/>
  <c r="D39" i="6"/>
  <c r="K39" i="6" s="1"/>
  <c r="F39" i="6"/>
  <c r="E39" i="6"/>
  <c r="Z39" i="6"/>
  <c r="J39" i="6"/>
  <c r="L39" i="6" l="1"/>
  <c r="M39" i="6"/>
  <c r="O39" i="6"/>
  <c r="P39" i="6" s="1"/>
  <c r="E40" i="6"/>
  <c r="H40" i="6" s="1"/>
  <c r="R40" i="6" s="1"/>
  <c r="D40" i="6"/>
  <c r="K40" i="6" s="1"/>
  <c r="J40" i="6"/>
  <c r="Z40" i="6"/>
  <c r="B41" i="6"/>
  <c r="S40" i="6"/>
  <c r="F40" i="6"/>
  <c r="C40" i="6"/>
  <c r="Q40" i="6" s="1"/>
  <c r="N38" i="6"/>
  <c r="H39" i="6"/>
  <c r="R39" i="6" s="1"/>
  <c r="O40" i="6" l="1"/>
  <c r="P40" i="6" s="1"/>
  <c r="M40" i="6"/>
  <c r="L40" i="6"/>
  <c r="F41" i="6"/>
  <c r="D41" i="6"/>
  <c r="K41" i="6" s="1"/>
  <c r="Z41" i="6"/>
  <c r="J41" i="6"/>
  <c r="B42" i="6"/>
  <c r="C41" i="6"/>
  <c r="Q41" i="6" s="1"/>
  <c r="S41" i="6"/>
  <c r="E41" i="6"/>
  <c r="G38" i="6"/>
  <c r="I38" i="6"/>
  <c r="N39" i="6"/>
  <c r="G39" i="6" s="1"/>
  <c r="H41" i="6" l="1"/>
  <c r="N40" i="6"/>
  <c r="R41" i="6"/>
  <c r="J42" i="6"/>
  <c r="D42" i="6"/>
  <c r="K42" i="6" s="1"/>
  <c r="B43" i="6"/>
  <c r="E42" i="6"/>
  <c r="F42" i="6"/>
  <c r="C42" i="6"/>
  <c r="Q42" i="6" s="1"/>
  <c r="Z42" i="6"/>
  <c r="S42" i="6"/>
  <c r="I39" i="6"/>
  <c r="L41" i="6"/>
  <c r="M41" i="6"/>
  <c r="O41" i="6"/>
  <c r="P41" i="6" s="1"/>
  <c r="H42" i="6" l="1"/>
  <c r="R42" i="6" s="1"/>
  <c r="N41" i="6"/>
  <c r="G41" i="6" s="1"/>
  <c r="D43" i="6"/>
  <c r="K43" i="6" s="1"/>
  <c r="C43" i="6"/>
  <c r="Q43" i="6" s="1"/>
  <c r="Z43" i="6"/>
  <c r="J43" i="6"/>
  <c r="E43" i="6"/>
  <c r="F43" i="6"/>
  <c r="S43" i="6"/>
  <c r="B44" i="6"/>
  <c r="G40" i="6"/>
  <c r="I40" i="6"/>
  <c r="O42" i="6"/>
  <c r="P42" i="6" s="1"/>
  <c r="M42" i="6"/>
  <c r="L42" i="6"/>
  <c r="I41" i="6" l="1"/>
  <c r="H43" i="6"/>
  <c r="R43" i="6" s="1"/>
  <c r="N42" i="6"/>
  <c r="M43" i="6"/>
  <c r="O43" i="6"/>
  <c r="P43" i="6" s="1"/>
  <c r="L43" i="6"/>
  <c r="E44" i="6"/>
  <c r="D44" i="6"/>
  <c r="K44" i="6" s="1"/>
  <c r="C44" i="6"/>
  <c r="Q44" i="6" s="1"/>
  <c r="F44" i="6"/>
  <c r="J44" i="6"/>
  <c r="B45" i="6"/>
  <c r="Z44" i="6"/>
  <c r="S44" i="6"/>
  <c r="N43" i="6" l="1"/>
  <c r="G43" i="6" s="1"/>
  <c r="H44" i="6"/>
  <c r="R44" i="6" s="1"/>
  <c r="O44" i="6"/>
  <c r="P44" i="6" s="1"/>
  <c r="M44" i="6"/>
  <c r="L44" i="6"/>
  <c r="I43" i="6"/>
  <c r="D45" i="6"/>
  <c r="K45" i="6" s="1"/>
  <c r="S45" i="6"/>
  <c r="C45" i="6"/>
  <c r="Q45" i="6" s="1"/>
  <c r="J45" i="6"/>
  <c r="Z45" i="6"/>
  <c r="B46" i="6"/>
  <c r="F45" i="6"/>
  <c r="E45" i="6"/>
  <c r="G42" i="6"/>
  <c r="I42" i="6"/>
  <c r="H45" i="6" l="1"/>
  <c r="L45" i="6"/>
  <c r="M45" i="6"/>
  <c r="O45" i="6"/>
  <c r="P45" i="6" s="1"/>
  <c r="R45" i="6"/>
  <c r="S46" i="6"/>
  <c r="C46" i="6"/>
  <c r="Q46" i="6" s="1"/>
  <c r="E46" i="6"/>
  <c r="H46" i="6" s="1"/>
  <c r="D46" i="6"/>
  <c r="K46" i="6" s="1"/>
  <c r="J46" i="6"/>
  <c r="Z46" i="6"/>
  <c r="B47" i="6"/>
  <c r="F46" i="6"/>
  <c r="N44" i="6"/>
  <c r="G44" i="6" s="1"/>
  <c r="R46" i="6" l="1"/>
  <c r="F47" i="6"/>
  <c r="E47" i="6"/>
  <c r="D47" i="6"/>
  <c r="K47" i="6" s="1"/>
  <c r="S47" i="6"/>
  <c r="C47" i="6"/>
  <c r="Q47" i="6" s="1"/>
  <c r="B48" i="6"/>
  <c r="J47" i="6"/>
  <c r="Z47" i="6"/>
  <c r="N45" i="6"/>
  <c r="O46" i="6"/>
  <c r="P46" i="6" s="1"/>
  <c r="M46" i="6"/>
  <c r="L46" i="6"/>
  <c r="I44" i="6"/>
  <c r="N46" i="6" l="1"/>
  <c r="G46" i="6" s="1"/>
  <c r="H47" i="6"/>
  <c r="F48" i="6"/>
  <c r="B49" i="6"/>
  <c r="D48" i="6"/>
  <c r="K48" i="6" s="1"/>
  <c r="E48" i="6"/>
  <c r="H48" i="6" s="1"/>
  <c r="J48" i="6"/>
  <c r="Z48" i="6"/>
  <c r="S48" i="6"/>
  <c r="C48" i="6"/>
  <c r="Q48" i="6" s="1"/>
  <c r="R47" i="6"/>
  <c r="I46" i="6"/>
  <c r="G45" i="6"/>
  <c r="I45" i="6"/>
  <c r="O47" i="6"/>
  <c r="P47" i="6" s="1"/>
  <c r="L47" i="6"/>
  <c r="M47" i="6"/>
  <c r="R48" i="6" l="1"/>
  <c r="N47" i="6"/>
  <c r="M48" i="6"/>
  <c r="L48" i="6"/>
  <c r="O48" i="6"/>
  <c r="P48" i="6" s="1"/>
  <c r="F49" i="6"/>
  <c r="D49" i="6"/>
  <c r="K49" i="6" s="1"/>
  <c r="S49" i="6"/>
  <c r="C49" i="6"/>
  <c r="Q49" i="6" s="1"/>
  <c r="E49" i="6"/>
  <c r="B50" i="6"/>
  <c r="J49" i="6"/>
  <c r="Z49" i="6"/>
  <c r="O49" i="6" l="1"/>
  <c r="P49" i="6" s="1"/>
  <c r="M49" i="6"/>
  <c r="L49" i="6"/>
  <c r="H49" i="6"/>
  <c r="R49" i="6" s="1"/>
  <c r="S50" i="6"/>
  <c r="C50" i="6"/>
  <c r="Q50" i="6" s="1"/>
  <c r="Z50" i="6"/>
  <c r="F50" i="6"/>
  <c r="E50" i="6"/>
  <c r="J50" i="6"/>
  <c r="B51" i="6"/>
  <c r="D50" i="6"/>
  <c r="K50" i="6" s="1"/>
  <c r="N48" i="6"/>
  <c r="G47" i="6"/>
  <c r="I47" i="6"/>
  <c r="G48" i="6" l="1"/>
  <c r="I48" i="6"/>
  <c r="M50" i="6"/>
  <c r="L50" i="6"/>
  <c r="O50" i="6"/>
  <c r="P50" i="6" s="1"/>
  <c r="C51" i="6"/>
  <c r="Q51" i="6" s="1"/>
  <c r="J51" i="6"/>
  <c r="Z51" i="6"/>
  <c r="S51" i="6"/>
  <c r="B52" i="6"/>
  <c r="D51" i="6"/>
  <c r="K51" i="6" s="1"/>
  <c r="F51" i="6"/>
  <c r="E51" i="6"/>
  <c r="H51" i="6" s="1"/>
  <c r="N49" i="6"/>
  <c r="H50" i="6"/>
  <c r="R50" i="6" s="1"/>
  <c r="N50" i="6" l="1"/>
  <c r="G49" i="6"/>
  <c r="I49" i="6"/>
  <c r="R51" i="6"/>
  <c r="O51" i="6"/>
  <c r="P51" i="6" s="1"/>
  <c r="M51" i="6"/>
  <c r="N51" i="6" s="1"/>
  <c r="G51" i="6" s="1"/>
  <c r="L51" i="6"/>
  <c r="C52" i="6"/>
  <c r="Q52" i="6" s="1"/>
  <c r="J52" i="6"/>
  <c r="E52" i="6"/>
  <c r="S52" i="6"/>
  <c r="B53" i="6"/>
  <c r="Z52" i="6"/>
  <c r="F52" i="6"/>
  <c r="D52" i="6"/>
  <c r="K52" i="6" s="1"/>
  <c r="H52" i="6" l="1"/>
  <c r="R52" i="6" s="1"/>
  <c r="I51" i="6"/>
  <c r="G50" i="6"/>
  <c r="I50" i="6"/>
  <c r="O52" i="6"/>
  <c r="P52" i="6" s="1"/>
  <c r="L52" i="6"/>
  <c r="M52" i="6"/>
  <c r="J53" i="6"/>
  <c r="B54" i="6"/>
  <c r="Z53" i="6"/>
  <c r="E53" i="6"/>
  <c r="S53" i="6"/>
  <c r="D53" i="6"/>
  <c r="K53" i="6" s="1"/>
  <c r="C53" i="6"/>
  <c r="Q53" i="6" s="1"/>
  <c r="F53" i="6"/>
  <c r="H53" i="6" l="1"/>
  <c r="R53" i="6"/>
  <c r="D54" i="6"/>
  <c r="K54" i="6" s="1"/>
  <c r="E54" i="6"/>
  <c r="Z54" i="6"/>
  <c r="S54" i="6"/>
  <c r="F54" i="6"/>
  <c r="C54" i="6"/>
  <c r="Q54" i="6" s="1"/>
  <c r="J54" i="6"/>
  <c r="B55" i="6"/>
  <c r="N52" i="6"/>
  <c r="G52" i="6" s="1"/>
  <c r="M53" i="6"/>
  <c r="L53" i="6"/>
  <c r="O53" i="6"/>
  <c r="P53" i="6" s="1"/>
  <c r="N53" i="6" l="1"/>
  <c r="G53" i="6" s="1"/>
  <c r="H54" i="6"/>
  <c r="R54" i="6" s="1"/>
  <c r="M54" i="6"/>
  <c r="L54" i="6"/>
  <c r="O54" i="6"/>
  <c r="P54" i="6" s="1"/>
  <c r="J55" i="6"/>
  <c r="B56" i="6"/>
  <c r="Z55" i="6"/>
  <c r="F55" i="6"/>
  <c r="E55" i="6"/>
  <c r="D55" i="6"/>
  <c r="K55" i="6" s="1"/>
  <c r="S55" i="6"/>
  <c r="C55" i="6"/>
  <c r="Q55" i="6" s="1"/>
  <c r="I52" i="6"/>
  <c r="I53" i="6" l="1"/>
  <c r="H55" i="6"/>
  <c r="R55" i="6" s="1"/>
  <c r="Z56" i="6"/>
  <c r="D56" i="6"/>
  <c r="K56" i="6" s="1"/>
  <c r="J56" i="6"/>
  <c r="F56" i="6"/>
  <c r="S56" i="6"/>
  <c r="C56" i="6"/>
  <c r="Q56" i="6" s="1"/>
  <c r="B57" i="6"/>
  <c r="E56" i="6"/>
  <c r="H56" i="6" s="1"/>
  <c r="M55" i="6"/>
  <c r="L55" i="6"/>
  <c r="O55" i="6"/>
  <c r="P55" i="6" s="1"/>
  <c r="N54" i="6"/>
  <c r="Z57" i="6" l="1"/>
  <c r="E57" i="6"/>
  <c r="D57" i="6"/>
  <c r="K57" i="6" s="1"/>
  <c r="S57" i="6"/>
  <c r="B58" i="6"/>
  <c r="J57" i="6"/>
  <c r="C57" i="6"/>
  <c r="Q57" i="6" s="1"/>
  <c r="F57" i="6"/>
  <c r="R56" i="6"/>
  <c r="G54" i="6"/>
  <c r="I54" i="6"/>
  <c r="N55" i="6"/>
  <c r="G55" i="6" s="1"/>
  <c r="L56" i="6"/>
  <c r="M56" i="6"/>
  <c r="O56" i="6"/>
  <c r="P56" i="6" s="1"/>
  <c r="F58" i="6" l="1"/>
  <c r="D58" i="6"/>
  <c r="K58" i="6" s="1"/>
  <c r="B59" i="6"/>
  <c r="Z58" i="6"/>
  <c r="E58" i="6"/>
  <c r="H58" i="6" s="1"/>
  <c r="J58" i="6"/>
  <c r="S58" i="6"/>
  <c r="C58" i="6"/>
  <c r="Q58" i="6" s="1"/>
  <c r="N56" i="6"/>
  <c r="I55" i="6"/>
  <c r="O57" i="6"/>
  <c r="P57" i="6" s="1"/>
  <c r="M57" i="6"/>
  <c r="L57" i="6"/>
  <c r="H57" i="6"/>
  <c r="R57" i="6" s="1"/>
  <c r="N57" i="6" l="1"/>
  <c r="C59" i="6"/>
  <c r="Q59" i="6" s="1"/>
  <c r="J59" i="6"/>
  <c r="E59" i="6"/>
  <c r="D59" i="6"/>
  <c r="K59" i="6" s="1"/>
  <c r="B60" i="6"/>
  <c r="Z59" i="6"/>
  <c r="F59" i="6"/>
  <c r="S59" i="6"/>
  <c r="G56" i="6"/>
  <c r="I56" i="6"/>
  <c r="O58" i="6"/>
  <c r="P58" i="6" s="1"/>
  <c r="M58" i="6"/>
  <c r="L58" i="6"/>
  <c r="R58" i="6"/>
  <c r="H59" i="6" l="1"/>
  <c r="E60" i="6"/>
  <c r="H60" i="6" s="1"/>
  <c r="B61" i="6"/>
  <c r="F60" i="6"/>
  <c r="S60" i="6"/>
  <c r="Z60" i="6"/>
  <c r="D60" i="6"/>
  <c r="K60" i="6" s="1"/>
  <c r="C60" i="6"/>
  <c r="Q60" i="6" s="1"/>
  <c r="J60" i="6"/>
  <c r="O59" i="6"/>
  <c r="P59" i="6" s="1"/>
  <c r="M59" i="6"/>
  <c r="L59" i="6"/>
  <c r="R59" i="6"/>
  <c r="N58" i="6"/>
  <c r="G58" i="6" s="1"/>
  <c r="G57" i="6"/>
  <c r="I57" i="6"/>
  <c r="L60" i="6" l="1"/>
  <c r="M60" i="6"/>
  <c r="O60" i="6"/>
  <c r="P60" i="6" s="1"/>
  <c r="N59" i="6"/>
  <c r="G59" i="6" s="1"/>
  <c r="S61" i="6"/>
  <c r="C61" i="6"/>
  <c r="Q61" i="6" s="1"/>
  <c r="E61" i="6"/>
  <c r="H61" i="6" s="1"/>
  <c r="F61" i="6"/>
  <c r="J61" i="6"/>
  <c r="B62" i="6"/>
  <c r="Z61" i="6"/>
  <c r="D61" i="6"/>
  <c r="K61" i="6" s="1"/>
  <c r="R60" i="6"/>
  <c r="I58" i="6"/>
  <c r="N60" i="6" l="1"/>
  <c r="G60" i="6" s="1"/>
  <c r="I59" i="6"/>
  <c r="R61" i="6"/>
  <c r="M61" i="6"/>
  <c r="L61" i="6"/>
  <c r="O61" i="6"/>
  <c r="P61" i="6" s="1"/>
  <c r="D62" i="6"/>
  <c r="K62" i="6" s="1"/>
  <c r="S62" i="6"/>
  <c r="C62" i="6"/>
  <c r="Q62" i="6" s="1"/>
  <c r="E62" i="6"/>
  <c r="H62" i="6" s="1"/>
  <c r="J62" i="6"/>
  <c r="F62" i="6"/>
  <c r="B63" i="6"/>
  <c r="Z62" i="6"/>
  <c r="I60" i="6" l="1"/>
  <c r="R62" i="6"/>
  <c r="L62" i="6"/>
  <c r="O62" i="6"/>
  <c r="P62" i="6" s="1"/>
  <c r="M62" i="6"/>
  <c r="Z63" i="6"/>
  <c r="E63" i="6"/>
  <c r="D63" i="6"/>
  <c r="K63" i="6" s="1"/>
  <c r="S63" i="6"/>
  <c r="B64" i="6"/>
  <c r="F63" i="6"/>
  <c r="C63" i="6"/>
  <c r="Q63" i="6" s="1"/>
  <c r="J63" i="6"/>
  <c r="N61" i="6"/>
  <c r="G61" i="6" s="1"/>
  <c r="H63" i="6" l="1"/>
  <c r="M63" i="6"/>
  <c r="N63" i="6" s="1"/>
  <c r="G63" i="6" s="1"/>
  <c r="L63" i="6"/>
  <c r="O63" i="6"/>
  <c r="P63" i="6" s="1"/>
  <c r="N62" i="6"/>
  <c r="G62" i="6" s="1"/>
  <c r="R63" i="6"/>
  <c r="E64" i="6"/>
  <c r="H64" i="6" s="1"/>
  <c r="Z64" i="6"/>
  <c r="C64" i="6"/>
  <c r="Q64" i="6" s="1"/>
  <c r="J64" i="6"/>
  <c r="B65" i="6"/>
  <c r="D64" i="6"/>
  <c r="K64" i="6" s="1"/>
  <c r="S64" i="6"/>
  <c r="F64" i="6"/>
  <c r="I61" i="6"/>
  <c r="R64" i="6" l="1"/>
  <c r="I62" i="6"/>
  <c r="I63" i="6"/>
  <c r="M64" i="6"/>
  <c r="O64" i="6"/>
  <c r="P64" i="6" s="1"/>
  <c r="L64" i="6"/>
  <c r="E65" i="6"/>
  <c r="J65" i="6"/>
  <c r="B66" i="6"/>
  <c r="Z65" i="6"/>
  <c r="D65" i="6"/>
  <c r="K65" i="6" s="1"/>
  <c r="S65" i="6"/>
  <c r="C65" i="6"/>
  <c r="Q65" i="6" s="1"/>
  <c r="F65" i="6"/>
  <c r="C66" i="6" l="1"/>
  <c r="Q66" i="6" s="1"/>
  <c r="J66" i="6"/>
  <c r="F66" i="6"/>
  <c r="E66" i="6"/>
  <c r="Z66" i="6"/>
  <c r="B67" i="6"/>
  <c r="S66" i="6"/>
  <c r="D66" i="6"/>
  <c r="K66" i="6" s="1"/>
  <c r="H65" i="6"/>
  <c r="R65" i="6" s="1"/>
  <c r="N64" i="6"/>
  <c r="O65" i="6"/>
  <c r="P65" i="6" s="1"/>
  <c r="M65" i="6"/>
  <c r="L65" i="6"/>
  <c r="O66" i="6" l="1"/>
  <c r="P66" i="6" s="1"/>
  <c r="M66" i="6"/>
  <c r="L66" i="6"/>
  <c r="J67" i="6"/>
  <c r="F67" i="6"/>
  <c r="Z67" i="6"/>
  <c r="C67" i="6"/>
  <c r="Q67" i="6" s="1"/>
  <c r="B68" i="6"/>
  <c r="E67" i="6"/>
  <c r="D67" i="6"/>
  <c r="K67" i="6" s="1"/>
  <c r="S67" i="6"/>
  <c r="N65" i="6"/>
  <c r="G65" i="6" s="1"/>
  <c r="H66" i="6"/>
  <c r="R66" i="6" s="1"/>
  <c r="G64" i="6"/>
  <c r="I64" i="6"/>
  <c r="N66" i="6" l="1"/>
  <c r="G66" i="6" s="1"/>
  <c r="H67" i="6"/>
  <c r="R67" i="6" s="1"/>
  <c r="M67" i="6"/>
  <c r="O67" i="6"/>
  <c r="P67" i="6" s="1"/>
  <c r="L67" i="6"/>
  <c r="S68" i="6"/>
  <c r="C68" i="6"/>
  <c r="Q68" i="6" s="1"/>
  <c r="J68" i="6"/>
  <c r="B69" i="6"/>
  <c r="D68" i="6"/>
  <c r="K68" i="6" s="1"/>
  <c r="F68" i="6"/>
  <c r="E68" i="6"/>
  <c r="Z68" i="6"/>
  <c r="I65" i="6"/>
  <c r="N67" i="6" l="1"/>
  <c r="G67" i="6" s="1"/>
  <c r="I66" i="6"/>
  <c r="J69" i="6"/>
  <c r="F69" i="6"/>
  <c r="B70" i="6"/>
  <c r="C69" i="6"/>
  <c r="Q69" i="6" s="1"/>
  <c r="E69" i="6"/>
  <c r="H69" i="6" s="1"/>
  <c r="D69" i="6"/>
  <c r="K69" i="6" s="1"/>
  <c r="Z69" i="6"/>
  <c r="S69" i="6"/>
  <c r="I67" i="6"/>
  <c r="H68" i="6"/>
  <c r="R68" i="6" s="1"/>
  <c r="M68" i="6"/>
  <c r="L68" i="6"/>
  <c r="O68" i="6"/>
  <c r="P68" i="6" s="1"/>
  <c r="R69" i="6" l="1"/>
  <c r="N68" i="6"/>
  <c r="G68" i="6" s="1"/>
  <c r="D70" i="6"/>
  <c r="K70" i="6" s="1"/>
  <c r="F70" i="6"/>
  <c r="B71" i="6"/>
  <c r="C70" i="6"/>
  <c r="Q70" i="6" s="1"/>
  <c r="E70" i="6"/>
  <c r="H70" i="6" s="1"/>
  <c r="J70" i="6"/>
  <c r="S70" i="6"/>
  <c r="Z70" i="6"/>
  <c r="L69" i="6"/>
  <c r="M69" i="6"/>
  <c r="N69" i="6" s="1"/>
  <c r="G69" i="6" s="1"/>
  <c r="O69" i="6"/>
  <c r="P69" i="6" s="1"/>
  <c r="I69" i="6" l="1"/>
  <c r="R70" i="6"/>
  <c r="B72" i="6"/>
  <c r="D71" i="6"/>
  <c r="K71" i="6" s="1"/>
  <c r="E71" i="6"/>
  <c r="Z71" i="6"/>
  <c r="S71" i="6"/>
  <c r="C71" i="6"/>
  <c r="Q71" i="6" s="1"/>
  <c r="F71" i="6"/>
  <c r="J71" i="6"/>
  <c r="O70" i="6"/>
  <c r="P70" i="6" s="1"/>
  <c r="M70" i="6"/>
  <c r="L70" i="6"/>
  <c r="I68" i="6"/>
  <c r="H71" i="6" l="1"/>
  <c r="R71" i="6" s="1"/>
  <c r="O71" i="6"/>
  <c r="P71" i="6" s="1"/>
  <c r="L71" i="6"/>
  <c r="M71" i="6"/>
  <c r="N70" i="6"/>
  <c r="C72" i="6"/>
  <c r="Q72" i="6" s="1"/>
  <c r="J72" i="6"/>
  <c r="E72" i="6"/>
  <c r="Z72" i="6"/>
  <c r="S72" i="6"/>
  <c r="B73" i="6"/>
  <c r="D72" i="6"/>
  <c r="K72" i="6" s="1"/>
  <c r="F72" i="6"/>
  <c r="N71" i="6" l="1"/>
  <c r="G71" i="6" s="1"/>
  <c r="H72" i="6"/>
  <c r="R72" i="6" s="1"/>
  <c r="G70" i="6"/>
  <c r="I70" i="6"/>
  <c r="O72" i="6"/>
  <c r="P72" i="6" s="1"/>
  <c r="M72" i="6"/>
  <c r="N72" i="6" s="1"/>
  <c r="G72" i="6" s="1"/>
  <c r="L72" i="6"/>
  <c r="F73" i="6"/>
  <c r="B74" i="6"/>
  <c r="E73" i="6"/>
  <c r="D73" i="6"/>
  <c r="K73" i="6" s="1"/>
  <c r="J73" i="6"/>
  <c r="C73" i="6"/>
  <c r="Q73" i="6" s="1"/>
  <c r="S73" i="6"/>
  <c r="Z73" i="6"/>
  <c r="I71" i="6" l="1"/>
  <c r="S74" i="6"/>
  <c r="C74" i="6"/>
  <c r="Q74" i="6" s="1"/>
  <c r="F74" i="6"/>
  <c r="E74" i="6"/>
  <c r="B75" i="6"/>
  <c r="J74" i="6"/>
  <c r="Z74" i="6"/>
  <c r="D74" i="6"/>
  <c r="K74" i="6" s="1"/>
  <c r="I72" i="6"/>
  <c r="L73" i="6"/>
  <c r="O73" i="6"/>
  <c r="P73" i="6" s="1"/>
  <c r="M73" i="6"/>
  <c r="H73" i="6"/>
  <c r="R73" i="6" s="1"/>
  <c r="L74" i="6" l="1"/>
  <c r="O74" i="6"/>
  <c r="P74" i="6" s="1"/>
  <c r="M74" i="6"/>
  <c r="N73" i="6"/>
  <c r="G73" i="6" s="1"/>
  <c r="D75" i="6"/>
  <c r="K75" i="6" s="1"/>
  <c r="S75" i="6"/>
  <c r="B76" i="6"/>
  <c r="J75" i="6"/>
  <c r="F75" i="6"/>
  <c r="C75" i="6"/>
  <c r="Q75" i="6" s="1"/>
  <c r="Z75" i="6"/>
  <c r="E75" i="6"/>
  <c r="H74" i="6"/>
  <c r="R74" i="6" s="1"/>
  <c r="E76" i="6" l="1"/>
  <c r="Z76" i="6"/>
  <c r="D76" i="6"/>
  <c r="K76" i="6" s="1"/>
  <c r="S76" i="6"/>
  <c r="B77" i="6"/>
  <c r="C76" i="6"/>
  <c r="Q76" i="6" s="1"/>
  <c r="F76" i="6"/>
  <c r="J76" i="6"/>
  <c r="O75" i="6"/>
  <c r="P75" i="6" s="1"/>
  <c r="I75" i="6" s="1"/>
  <c r="L75" i="6"/>
  <c r="M75" i="6"/>
  <c r="N75" i="6" s="1"/>
  <c r="G75" i="6" s="1"/>
  <c r="H75" i="6"/>
  <c r="N74" i="6"/>
  <c r="G74" i="6" s="1"/>
  <c r="R75" i="6"/>
  <c r="I73" i="6"/>
  <c r="H76" i="6" l="1"/>
  <c r="R76" i="6" s="1"/>
  <c r="I74" i="6"/>
  <c r="Z77" i="6"/>
  <c r="D77" i="6"/>
  <c r="K77" i="6" s="1"/>
  <c r="C77" i="6"/>
  <c r="Q77" i="6" s="1"/>
  <c r="J77" i="6"/>
  <c r="S77" i="6"/>
  <c r="F77" i="6"/>
  <c r="B78" i="6"/>
  <c r="E77" i="6"/>
  <c r="O76" i="6"/>
  <c r="P76" i="6" s="1"/>
  <c r="M76" i="6"/>
  <c r="L76" i="6"/>
  <c r="C78" i="6" l="1"/>
  <c r="Q78" i="6" s="1"/>
  <c r="J78" i="6"/>
  <c r="D78" i="6"/>
  <c r="K78" i="6" s="1"/>
  <c r="S78" i="6"/>
  <c r="Z78" i="6"/>
  <c r="F78" i="6"/>
  <c r="B79" i="6"/>
  <c r="E78" i="6"/>
  <c r="N76" i="6"/>
  <c r="G76" i="6" s="1"/>
  <c r="M77" i="6"/>
  <c r="O77" i="6"/>
  <c r="P77" i="6" s="1"/>
  <c r="L77" i="6"/>
  <c r="H77" i="6"/>
  <c r="R77" i="6" s="1"/>
  <c r="H78" i="6" l="1"/>
  <c r="R78" i="6" s="1"/>
  <c r="O78" i="6"/>
  <c r="P78" i="6" s="1"/>
  <c r="L78" i="6"/>
  <c r="M78" i="6"/>
  <c r="N78" i="6" s="1"/>
  <c r="G78" i="6" s="1"/>
  <c r="B80" i="6"/>
  <c r="J79" i="6"/>
  <c r="E79" i="6"/>
  <c r="F79" i="6"/>
  <c r="Z79" i="6"/>
  <c r="S79" i="6"/>
  <c r="C79" i="6"/>
  <c r="Q79" i="6" s="1"/>
  <c r="D79" i="6"/>
  <c r="K79" i="6" s="1"/>
  <c r="N77" i="6"/>
  <c r="I76" i="6"/>
  <c r="I78" i="6"/>
  <c r="H79" i="6" l="1"/>
  <c r="R79" i="6" s="1"/>
  <c r="G77" i="6"/>
  <c r="I77" i="6"/>
  <c r="C80" i="6"/>
  <c r="Q80" i="6" s="1"/>
  <c r="F80" i="6"/>
  <c r="J80" i="6"/>
  <c r="Z80" i="6"/>
  <c r="S80" i="6"/>
  <c r="B81" i="6"/>
  <c r="E80" i="6"/>
  <c r="D80" i="6"/>
  <c r="K80" i="6" s="1"/>
  <c r="M79" i="6"/>
  <c r="L79" i="6"/>
  <c r="O79" i="6"/>
  <c r="P79" i="6" s="1"/>
  <c r="N79" i="6" l="1"/>
  <c r="J81" i="6"/>
  <c r="C81" i="6"/>
  <c r="Q81" i="6" s="1"/>
  <c r="S81" i="6"/>
  <c r="B82" i="6"/>
  <c r="F81" i="6"/>
  <c r="E81" i="6"/>
  <c r="Z81" i="6"/>
  <c r="D81" i="6"/>
  <c r="K81" i="6" s="1"/>
  <c r="L80" i="6"/>
  <c r="O80" i="6"/>
  <c r="P80" i="6" s="1"/>
  <c r="M80" i="6"/>
  <c r="H80" i="6"/>
  <c r="R80" i="6" s="1"/>
  <c r="H81" i="6" l="1"/>
  <c r="R81" i="6" s="1"/>
  <c r="O81" i="6"/>
  <c r="P81" i="6" s="1"/>
  <c r="M81" i="6"/>
  <c r="L81" i="6"/>
  <c r="G79" i="6"/>
  <c r="I79" i="6"/>
  <c r="S82" i="6"/>
  <c r="C82" i="6"/>
  <c r="Q82" i="6" s="1"/>
  <c r="J82" i="6"/>
  <c r="F82" i="6"/>
  <c r="E82" i="6"/>
  <c r="H82" i="6" s="1"/>
  <c r="Z82" i="6"/>
  <c r="D82" i="6"/>
  <c r="K82" i="6" s="1"/>
  <c r="B83" i="6"/>
  <c r="N80" i="6"/>
  <c r="G80" i="6" s="1"/>
  <c r="L82" i="6" l="1"/>
  <c r="O82" i="6"/>
  <c r="P82" i="6" s="1"/>
  <c r="M82" i="6"/>
  <c r="D83" i="6"/>
  <c r="K83" i="6" s="1"/>
  <c r="S83" i="6"/>
  <c r="C83" i="6"/>
  <c r="Q83" i="6" s="1"/>
  <c r="E83" i="6"/>
  <c r="B84" i="6"/>
  <c r="J83" i="6"/>
  <c r="F83" i="6"/>
  <c r="Z83" i="6"/>
  <c r="N81" i="6"/>
  <c r="G81" i="6" s="1"/>
  <c r="I80" i="6"/>
  <c r="R82" i="6"/>
  <c r="I81" i="6" l="1"/>
  <c r="H83" i="6"/>
  <c r="R83" i="6" s="1"/>
  <c r="S84" i="6"/>
  <c r="F84" i="6"/>
  <c r="D84" i="6"/>
  <c r="K84" i="6" s="1"/>
  <c r="C84" i="6"/>
  <c r="Q84" i="6" s="1"/>
  <c r="R84" i="6" s="1"/>
  <c r="J84" i="6"/>
  <c r="B85" i="6"/>
  <c r="E84" i="6"/>
  <c r="H84" i="6" s="1"/>
  <c r="Z84" i="6"/>
  <c r="O83" i="6"/>
  <c r="P83" i="6" s="1"/>
  <c r="L83" i="6"/>
  <c r="M83" i="6"/>
  <c r="N83" i="6" s="1"/>
  <c r="G83" i="6" s="1"/>
  <c r="N82" i="6"/>
  <c r="G82" i="6" s="1"/>
  <c r="I83" i="6" l="1"/>
  <c r="J85" i="6"/>
  <c r="E85" i="6"/>
  <c r="D85" i="6"/>
  <c r="K85" i="6" s="1"/>
  <c r="S85" i="6"/>
  <c r="F85" i="6"/>
  <c r="B86" i="6"/>
  <c r="Z85" i="6"/>
  <c r="C85" i="6"/>
  <c r="Q85" i="6" s="1"/>
  <c r="I82" i="6"/>
  <c r="M84" i="6"/>
  <c r="L84" i="6"/>
  <c r="O84" i="6"/>
  <c r="P84" i="6" s="1"/>
  <c r="C86" i="6" l="1"/>
  <c r="Q86" i="6" s="1"/>
  <c r="D86" i="6"/>
  <c r="K86" i="6" s="1"/>
  <c r="Z86" i="6"/>
  <c r="F86" i="6"/>
  <c r="B87" i="6"/>
  <c r="E86" i="6"/>
  <c r="S86" i="6"/>
  <c r="J86" i="6"/>
  <c r="M85" i="6"/>
  <c r="O85" i="6"/>
  <c r="P85" i="6" s="1"/>
  <c r="L85" i="6"/>
  <c r="H85" i="6"/>
  <c r="R85" i="6" s="1"/>
  <c r="N84" i="6"/>
  <c r="G84" i="6" s="1"/>
  <c r="I84" i="6" l="1"/>
  <c r="H86" i="6"/>
  <c r="R86" i="6" s="1"/>
  <c r="E87" i="6"/>
  <c r="Z87" i="6"/>
  <c r="D87" i="6"/>
  <c r="K87" i="6" s="1"/>
  <c r="S87" i="6"/>
  <c r="J87" i="6"/>
  <c r="F87" i="6"/>
  <c r="B88" i="6"/>
  <c r="C87" i="6"/>
  <c r="Q87" i="6" s="1"/>
  <c r="O86" i="6"/>
  <c r="P86" i="6" s="1"/>
  <c r="M86" i="6"/>
  <c r="L86" i="6"/>
  <c r="N85" i="6"/>
  <c r="G85" i="6" l="1"/>
  <c r="I85" i="6"/>
  <c r="E88" i="6"/>
  <c r="Z88" i="6"/>
  <c r="D88" i="6"/>
  <c r="K88" i="6" s="1"/>
  <c r="F88" i="6"/>
  <c r="B89" i="6"/>
  <c r="C88" i="6"/>
  <c r="Q88" i="6" s="1"/>
  <c r="J88" i="6"/>
  <c r="S88" i="6"/>
  <c r="L87" i="6"/>
  <c r="O87" i="6"/>
  <c r="P87" i="6" s="1"/>
  <c r="M87" i="6"/>
  <c r="N86" i="6"/>
  <c r="H87" i="6"/>
  <c r="R87" i="6" s="1"/>
  <c r="G86" i="6" l="1"/>
  <c r="I86" i="6"/>
  <c r="N87" i="6"/>
  <c r="S89" i="6"/>
  <c r="D89" i="6"/>
  <c r="K89" i="6" s="1"/>
  <c r="C89" i="6"/>
  <c r="Q89" i="6" s="1"/>
  <c r="F89" i="6"/>
  <c r="J89" i="6"/>
  <c r="B90" i="6"/>
  <c r="Z89" i="6"/>
  <c r="E89" i="6"/>
  <c r="H88" i="6"/>
  <c r="R88" i="6" s="1"/>
  <c r="L88" i="6"/>
  <c r="M88" i="6"/>
  <c r="O88" i="6"/>
  <c r="P88" i="6" s="1"/>
  <c r="H89" i="6" l="1"/>
  <c r="R89" i="6" s="1"/>
  <c r="C90" i="6"/>
  <c r="Q90" i="6" s="1"/>
  <c r="F90" i="6"/>
  <c r="J90" i="6"/>
  <c r="Z90" i="6"/>
  <c r="D90" i="6"/>
  <c r="K90" i="6" s="1"/>
  <c r="S90" i="6"/>
  <c r="B91" i="6"/>
  <c r="E90" i="6"/>
  <c r="H90" i="6" s="1"/>
  <c r="O89" i="6"/>
  <c r="P89" i="6" s="1"/>
  <c r="L89" i="6"/>
  <c r="M89" i="6"/>
  <c r="N88" i="6"/>
  <c r="G88" i="6" s="1"/>
  <c r="G87" i="6"/>
  <c r="I87" i="6"/>
  <c r="J91" i="6" l="1"/>
  <c r="Z91" i="6"/>
  <c r="S91" i="6"/>
  <c r="C91" i="6"/>
  <c r="Q91" i="6" s="1"/>
  <c r="D91" i="6"/>
  <c r="K91" i="6" s="1"/>
  <c r="E91" i="6"/>
  <c r="H91" i="6" s="1"/>
  <c r="R91" i="6" s="1"/>
  <c r="B92" i="6"/>
  <c r="F91" i="6"/>
  <c r="M90" i="6"/>
  <c r="L90" i="6"/>
  <c r="O90" i="6"/>
  <c r="P90" i="6" s="1"/>
  <c r="N89" i="6"/>
  <c r="G89" i="6" s="1"/>
  <c r="R90" i="6"/>
  <c r="I88" i="6"/>
  <c r="N90" i="6" l="1"/>
  <c r="G90" i="6" s="1"/>
  <c r="C92" i="6"/>
  <c r="Q92" i="6" s="1"/>
  <c r="J92" i="6"/>
  <c r="F92" i="6"/>
  <c r="B93" i="6"/>
  <c r="Z92" i="6"/>
  <c r="E92" i="6"/>
  <c r="H92" i="6" s="1"/>
  <c r="R92" i="6" s="1"/>
  <c r="D92" i="6"/>
  <c r="K92" i="6" s="1"/>
  <c r="S92" i="6"/>
  <c r="L91" i="6"/>
  <c r="M91" i="6"/>
  <c r="O91" i="6"/>
  <c r="P91" i="6" s="1"/>
  <c r="I90" i="6"/>
  <c r="I89" i="6"/>
  <c r="O92" i="6" l="1"/>
  <c r="P92" i="6" s="1"/>
  <c r="M92" i="6"/>
  <c r="L92" i="6"/>
  <c r="J93" i="6"/>
  <c r="F93" i="6"/>
  <c r="E93" i="6"/>
  <c r="H93" i="6" s="1"/>
  <c r="B94" i="6"/>
  <c r="D93" i="6"/>
  <c r="K93" i="6" s="1"/>
  <c r="S93" i="6"/>
  <c r="C93" i="6"/>
  <c r="Q93" i="6" s="1"/>
  <c r="Z93" i="6"/>
  <c r="N91" i="6"/>
  <c r="G91" i="6" s="1"/>
  <c r="O93" i="6" l="1"/>
  <c r="P93" i="6" s="1"/>
  <c r="M93" i="6"/>
  <c r="L93" i="6"/>
  <c r="C94" i="6"/>
  <c r="Q94" i="6" s="1"/>
  <c r="J94" i="6"/>
  <c r="F94" i="6"/>
  <c r="B95" i="6"/>
  <c r="E94" i="6"/>
  <c r="Z94" i="6"/>
  <c r="D94" i="6"/>
  <c r="K94" i="6" s="1"/>
  <c r="S94" i="6"/>
  <c r="I91" i="6"/>
  <c r="R93" i="6"/>
  <c r="N92" i="6"/>
  <c r="H94" i="6" l="1"/>
  <c r="F95" i="6"/>
  <c r="B96" i="6"/>
  <c r="E95" i="6"/>
  <c r="Z95" i="6"/>
  <c r="D95" i="6"/>
  <c r="K95" i="6" s="1"/>
  <c r="J95" i="6"/>
  <c r="S95" i="6"/>
  <c r="C95" i="6"/>
  <c r="Q95" i="6" s="1"/>
  <c r="G92" i="6"/>
  <c r="I92" i="6"/>
  <c r="R94" i="6"/>
  <c r="N93" i="6"/>
  <c r="G93" i="6" s="1"/>
  <c r="O94" i="6"/>
  <c r="P94" i="6" s="1"/>
  <c r="L94" i="6"/>
  <c r="M94" i="6"/>
  <c r="N94" i="6" s="1"/>
  <c r="G94" i="6" s="1"/>
  <c r="I93" i="6"/>
  <c r="O95" i="6" l="1"/>
  <c r="P95" i="6" s="1"/>
  <c r="M95" i="6"/>
  <c r="L95" i="6"/>
  <c r="I94" i="6"/>
  <c r="H95" i="6"/>
  <c r="R95" i="6" s="1"/>
  <c r="E96" i="6"/>
  <c r="S96" i="6"/>
  <c r="C96" i="6"/>
  <c r="Q96" i="6" s="1"/>
  <c r="Z96" i="6"/>
  <c r="J96" i="6"/>
  <c r="F96" i="6"/>
  <c r="D96" i="6"/>
  <c r="K96" i="6" s="1"/>
  <c r="B97" i="6"/>
  <c r="H96" i="6" l="1"/>
  <c r="O96" i="6"/>
  <c r="P96" i="6" s="1"/>
  <c r="M96" i="6"/>
  <c r="L96" i="6"/>
  <c r="E97" i="6"/>
  <c r="D97" i="6"/>
  <c r="K97" i="6" s="1"/>
  <c r="S97" i="6"/>
  <c r="F97" i="6"/>
  <c r="C97" i="6"/>
  <c r="Q97" i="6" s="1"/>
  <c r="J97" i="6"/>
  <c r="Z97" i="6"/>
  <c r="B98" i="6"/>
  <c r="N95" i="6"/>
  <c r="R96" i="6"/>
  <c r="H97" i="6" l="1"/>
  <c r="R97" i="6" s="1"/>
  <c r="L97" i="6"/>
  <c r="M97" i="6"/>
  <c r="N97" i="6" s="1"/>
  <c r="G97" i="6" s="1"/>
  <c r="O97" i="6"/>
  <c r="P97" i="6" s="1"/>
  <c r="I97" i="6" s="1"/>
  <c r="G95" i="6"/>
  <c r="I95" i="6"/>
  <c r="F98" i="6"/>
  <c r="B99" i="6"/>
  <c r="E98" i="6"/>
  <c r="S98" i="6"/>
  <c r="C98" i="6"/>
  <c r="Q98" i="6" s="1"/>
  <c r="J98" i="6"/>
  <c r="Z98" i="6"/>
  <c r="D98" i="6"/>
  <c r="K98" i="6" s="1"/>
  <c r="N96" i="6"/>
  <c r="H98" i="6" l="1"/>
  <c r="Z99" i="6"/>
  <c r="D99" i="6"/>
  <c r="K99" i="6" s="1"/>
  <c r="J99" i="6"/>
  <c r="F99" i="6"/>
  <c r="C99" i="6"/>
  <c r="Q99" i="6" s="1"/>
  <c r="S99" i="6"/>
  <c r="B100" i="6"/>
  <c r="E99" i="6"/>
  <c r="M98" i="6"/>
  <c r="L98" i="6"/>
  <c r="O98" i="6"/>
  <c r="P98" i="6" s="1"/>
  <c r="G96" i="6"/>
  <c r="I96" i="6"/>
  <c r="R98" i="6"/>
  <c r="L99" i="6" l="1"/>
  <c r="O99" i="6"/>
  <c r="P99" i="6" s="1"/>
  <c r="M99" i="6"/>
  <c r="F100" i="6"/>
  <c r="C100" i="6"/>
  <c r="Q100" i="6" s="1"/>
  <c r="S100" i="6"/>
  <c r="J100" i="6"/>
  <c r="B101" i="6"/>
  <c r="E100" i="6"/>
  <c r="H100" i="6" s="1"/>
  <c r="D100" i="6"/>
  <c r="K100" i="6" s="1"/>
  <c r="Z100" i="6"/>
  <c r="N98" i="6"/>
  <c r="G98" i="6" s="1"/>
  <c r="H99" i="6"/>
  <c r="R99" i="6" s="1"/>
  <c r="N99" i="6" l="1"/>
  <c r="G99" i="6" s="1"/>
  <c r="L100" i="6"/>
  <c r="M100" i="6"/>
  <c r="O100" i="6"/>
  <c r="P100" i="6" s="1"/>
  <c r="R100" i="6"/>
  <c r="D101" i="6"/>
  <c r="K101" i="6" s="1"/>
  <c r="J101" i="6"/>
  <c r="S101" i="6"/>
  <c r="Z101" i="6"/>
  <c r="E101" i="6"/>
  <c r="C101" i="6"/>
  <c r="Q101" i="6" s="1"/>
  <c r="F101" i="6"/>
  <c r="B102" i="6"/>
  <c r="I98" i="6"/>
  <c r="O101" i="6" l="1"/>
  <c r="P101" i="6" s="1"/>
  <c r="L101" i="6"/>
  <c r="M101" i="6"/>
  <c r="N101" i="6" s="1"/>
  <c r="G101" i="6" s="1"/>
  <c r="S102" i="6"/>
  <c r="F102" i="6"/>
  <c r="J102" i="6"/>
  <c r="E102" i="6"/>
  <c r="Z102" i="6"/>
  <c r="D102" i="6"/>
  <c r="K102" i="6" s="1"/>
  <c r="C102" i="6"/>
  <c r="Q102" i="6" s="1"/>
  <c r="B103" i="6"/>
  <c r="N100" i="6"/>
  <c r="G100" i="6" s="1"/>
  <c r="H101" i="6"/>
  <c r="R101" i="6" s="1"/>
  <c r="I99" i="6"/>
  <c r="H102" i="6" l="1"/>
  <c r="L102" i="6"/>
  <c r="O102" i="6"/>
  <c r="P102" i="6" s="1"/>
  <c r="M102" i="6"/>
  <c r="N102" i="6" s="1"/>
  <c r="G102" i="6" s="1"/>
  <c r="Z103" i="6"/>
  <c r="D103" i="6"/>
  <c r="K103" i="6" s="1"/>
  <c r="S103" i="6"/>
  <c r="C103" i="6"/>
  <c r="Q103" i="6" s="1"/>
  <c r="J103" i="6"/>
  <c r="B104" i="6"/>
  <c r="F103" i="6"/>
  <c r="E103" i="6"/>
  <c r="H103" i="6" s="1"/>
  <c r="I100" i="6"/>
  <c r="R102" i="6"/>
  <c r="I101" i="6"/>
  <c r="R103" i="6" l="1"/>
  <c r="S104" i="6"/>
  <c r="F104" i="6"/>
  <c r="B105" i="6"/>
  <c r="C104" i="6"/>
  <c r="Q104" i="6" s="1"/>
  <c r="J104" i="6"/>
  <c r="Z104" i="6"/>
  <c r="D104" i="6"/>
  <c r="K104" i="6" s="1"/>
  <c r="E104" i="6"/>
  <c r="M103" i="6"/>
  <c r="L103" i="6"/>
  <c r="O103" i="6"/>
  <c r="P103" i="6" s="1"/>
  <c r="I102" i="6"/>
  <c r="H104" i="6" l="1"/>
  <c r="R104" i="6" s="1"/>
  <c r="M104" i="6"/>
  <c r="O104" i="6"/>
  <c r="P104" i="6" s="1"/>
  <c r="L104" i="6"/>
  <c r="S105" i="6"/>
  <c r="C105" i="6"/>
  <c r="Q105" i="6" s="1"/>
  <c r="J105" i="6"/>
  <c r="F105" i="6"/>
  <c r="B106" i="6"/>
  <c r="E105" i="6"/>
  <c r="Z105" i="6"/>
  <c r="D105" i="6"/>
  <c r="K105" i="6" s="1"/>
  <c r="N103" i="6"/>
  <c r="G103" i="6" s="1"/>
  <c r="N104" i="6" l="1"/>
  <c r="M105" i="6"/>
  <c r="N105" i="6" s="1"/>
  <c r="G105" i="6" s="1"/>
  <c r="L105" i="6"/>
  <c r="O105" i="6"/>
  <c r="P105" i="6" s="1"/>
  <c r="I103" i="6"/>
  <c r="B107" i="6"/>
  <c r="E106" i="6"/>
  <c r="H106" i="6" s="1"/>
  <c r="S106" i="6"/>
  <c r="C106" i="6"/>
  <c r="Q106" i="6" s="1"/>
  <c r="J106" i="6"/>
  <c r="F106" i="6"/>
  <c r="D106" i="6"/>
  <c r="K106" i="6" s="1"/>
  <c r="Z106" i="6"/>
  <c r="H105" i="6"/>
  <c r="R105" i="6" s="1"/>
  <c r="I105" i="6" l="1"/>
  <c r="R106" i="6"/>
  <c r="G104" i="6"/>
  <c r="I104" i="6"/>
  <c r="E107" i="6"/>
  <c r="Z107" i="6"/>
  <c r="J107" i="6"/>
  <c r="C107" i="6"/>
  <c r="Q107" i="6" s="1"/>
  <c r="F107" i="6"/>
  <c r="B108" i="6"/>
  <c r="D107" i="6"/>
  <c r="K107" i="6" s="1"/>
  <c r="S107" i="6"/>
  <c r="O106" i="6"/>
  <c r="P106" i="6" s="1"/>
  <c r="L106" i="6"/>
  <c r="M106" i="6"/>
  <c r="N106" i="6" l="1"/>
  <c r="G106" i="6" s="1"/>
  <c r="O107" i="6"/>
  <c r="P107" i="6" s="1"/>
  <c r="M107" i="6"/>
  <c r="L107" i="6"/>
  <c r="Z108" i="6"/>
  <c r="D108" i="6"/>
  <c r="K108" i="6" s="1"/>
  <c r="F108" i="6"/>
  <c r="C108" i="6"/>
  <c r="Q108" i="6" s="1"/>
  <c r="S108" i="6"/>
  <c r="B109" i="6"/>
  <c r="J108" i="6"/>
  <c r="E108" i="6"/>
  <c r="H107" i="6"/>
  <c r="R107" i="6" s="1"/>
  <c r="I106" i="6" l="1"/>
  <c r="O108" i="6"/>
  <c r="P108" i="6" s="1"/>
  <c r="M108" i="6"/>
  <c r="L108" i="6"/>
  <c r="H108" i="6"/>
  <c r="R108" i="6" s="1"/>
  <c r="N107" i="6"/>
  <c r="Z109" i="6"/>
  <c r="D109" i="6"/>
  <c r="K109" i="6" s="1"/>
  <c r="J109" i="6"/>
  <c r="E109" i="6"/>
  <c r="C109" i="6"/>
  <c r="Q109" i="6" s="1"/>
  <c r="B110" i="6"/>
  <c r="S109" i="6"/>
  <c r="F109" i="6"/>
  <c r="O109" i="6" l="1"/>
  <c r="P109" i="6" s="1"/>
  <c r="L109" i="6"/>
  <c r="M109" i="6"/>
  <c r="N108" i="6"/>
  <c r="G108" i="6" s="1"/>
  <c r="G107" i="6"/>
  <c r="I107" i="6"/>
  <c r="D110" i="6"/>
  <c r="K110" i="6" s="1"/>
  <c r="S110" i="6"/>
  <c r="C110" i="6"/>
  <c r="Q110" i="6" s="1"/>
  <c r="F110" i="6"/>
  <c r="J110" i="6"/>
  <c r="E110" i="6"/>
  <c r="B111" i="6"/>
  <c r="Z110" i="6"/>
  <c r="H109" i="6"/>
  <c r="R109" i="6" s="1"/>
  <c r="I108" i="6"/>
  <c r="O110" i="6" l="1"/>
  <c r="P110" i="6" s="1"/>
  <c r="M110" i="6"/>
  <c r="L110" i="6"/>
  <c r="B112" i="6"/>
  <c r="Z111" i="6"/>
  <c r="F111" i="6"/>
  <c r="D111" i="6"/>
  <c r="K111" i="6" s="1"/>
  <c r="C111" i="6"/>
  <c r="Q111" i="6" s="1"/>
  <c r="E111" i="6"/>
  <c r="S111" i="6"/>
  <c r="J111" i="6"/>
  <c r="H110" i="6"/>
  <c r="R110" i="6" s="1"/>
  <c r="N109" i="6"/>
  <c r="G109" i="6" s="1"/>
  <c r="H111" i="6" l="1"/>
  <c r="L111" i="6"/>
  <c r="M111" i="6"/>
  <c r="N111" i="6" s="1"/>
  <c r="G111" i="6" s="1"/>
  <c r="O111" i="6"/>
  <c r="P111" i="6" s="1"/>
  <c r="I109" i="6"/>
  <c r="E112" i="6"/>
  <c r="H112" i="6" s="1"/>
  <c r="S112" i="6"/>
  <c r="Z112" i="6"/>
  <c r="D112" i="6"/>
  <c r="K112" i="6" s="1"/>
  <c r="F112" i="6"/>
  <c r="C112" i="6"/>
  <c r="Q112" i="6" s="1"/>
  <c r="J112" i="6"/>
  <c r="B113" i="6"/>
  <c r="R111" i="6"/>
  <c r="N110" i="6"/>
  <c r="G110" i="6" s="1"/>
  <c r="M112" i="6" l="1"/>
  <c r="O112" i="6"/>
  <c r="P112" i="6" s="1"/>
  <c r="L112" i="6"/>
  <c r="I110" i="6"/>
  <c r="Z113" i="6"/>
  <c r="J113" i="6"/>
  <c r="F113" i="6"/>
  <c r="S113" i="6"/>
  <c r="C113" i="6"/>
  <c r="Q113" i="6" s="1"/>
  <c r="B114" i="6"/>
  <c r="D113" i="6"/>
  <c r="K113" i="6" s="1"/>
  <c r="E113" i="6"/>
  <c r="H113" i="6" s="1"/>
  <c r="R113" i="6" s="1"/>
  <c r="I111" i="6"/>
  <c r="R112" i="6"/>
  <c r="M113" i="6" l="1"/>
  <c r="L113" i="6"/>
  <c r="O113" i="6"/>
  <c r="P113" i="6" s="1"/>
  <c r="D114" i="6"/>
  <c r="K114" i="6" s="1"/>
  <c r="J114" i="6"/>
  <c r="Z114" i="6"/>
  <c r="B115" i="6"/>
  <c r="E114" i="6"/>
  <c r="H114" i="6" s="1"/>
  <c r="S114" i="6"/>
  <c r="F114" i="6"/>
  <c r="C114" i="6"/>
  <c r="Q114" i="6" s="1"/>
  <c r="N112" i="6"/>
  <c r="D115" i="6" l="1"/>
  <c r="K115" i="6" s="1"/>
  <c r="J115" i="6"/>
  <c r="S115" i="6"/>
  <c r="F115" i="6"/>
  <c r="B116" i="6"/>
  <c r="E115" i="6"/>
  <c r="H115" i="6" s="1"/>
  <c r="R115" i="6" s="1"/>
  <c r="C115" i="6"/>
  <c r="Q115" i="6" s="1"/>
  <c r="Z115" i="6"/>
  <c r="L114" i="6"/>
  <c r="O114" i="6"/>
  <c r="P114" i="6" s="1"/>
  <c r="M114" i="6"/>
  <c r="R114" i="6"/>
  <c r="G112" i="6"/>
  <c r="I112" i="6"/>
  <c r="N113" i="6"/>
  <c r="G113" i="6" l="1"/>
  <c r="I113" i="6"/>
  <c r="S116" i="6"/>
  <c r="F116" i="6"/>
  <c r="J116" i="6"/>
  <c r="E116" i="6"/>
  <c r="H116" i="6" s="1"/>
  <c r="R116" i="6" s="1"/>
  <c r="Z116" i="6"/>
  <c r="D116" i="6"/>
  <c r="K116" i="6" s="1"/>
  <c r="B117" i="6"/>
  <c r="C116" i="6"/>
  <c r="Q116" i="6" s="1"/>
  <c r="N114" i="6"/>
  <c r="M115" i="6"/>
  <c r="N115" i="6" s="1"/>
  <c r="G115" i="6" s="1"/>
  <c r="L115" i="6"/>
  <c r="O115" i="6"/>
  <c r="P115" i="6" s="1"/>
  <c r="I115" i="6" l="1"/>
  <c r="O116" i="6"/>
  <c r="P116" i="6" s="1"/>
  <c r="M116" i="6"/>
  <c r="L116" i="6"/>
  <c r="G114" i="6"/>
  <c r="I114" i="6"/>
  <c r="D117" i="6"/>
  <c r="K117" i="6" s="1"/>
  <c r="J117" i="6"/>
  <c r="F117" i="6"/>
  <c r="B118" i="6"/>
  <c r="Z117" i="6"/>
  <c r="E117" i="6"/>
  <c r="C117" i="6"/>
  <c r="Q117" i="6" s="1"/>
  <c r="S117" i="6"/>
  <c r="F118" i="6" l="1"/>
  <c r="E118" i="6"/>
  <c r="S118" i="6"/>
  <c r="B119" i="6"/>
  <c r="Z118" i="6"/>
  <c r="D118" i="6"/>
  <c r="K118" i="6" s="1"/>
  <c r="J118" i="6"/>
  <c r="C118" i="6"/>
  <c r="Q118" i="6" s="1"/>
  <c r="M117" i="6"/>
  <c r="L117" i="6"/>
  <c r="O117" i="6"/>
  <c r="P117" i="6" s="1"/>
  <c r="H117" i="6"/>
  <c r="R117" i="6" s="1"/>
  <c r="N116" i="6"/>
  <c r="G116" i="6" s="1"/>
  <c r="H118" i="6" l="1"/>
  <c r="R118" i="6" s="1"/>
  <c r="L118" i="6"/>
  <c r="O118" i="6"/>
  <c r="P118" i="6" s="1"/>
  <c r="M118" i="6"/>
  <c r="Z119" i="6"/>
  <c r="D119" i="6"/>
  <c r="K119" i="6" s="1"/>
  <c r="S119" i="6"/>
  <c r="C119" i="6"/>
  <c r="Q119" i="6" s="1"/>
  <c r="B120" i="6"/>
  <c r="J119" i="6"/>
  <c r="E119" i="6"/>
  <c r="F119" i="6"/>
  <c r="N117" i="6"/>
  <c r="I116" i="6"/>
  <c r="D120" i="6" l="1"/>
  <c r="K120" i="6" s="1"/>
  <c r="C120" i="6"/>
  <c r="Q120" i="6" s="1"/>
  <c r="E120" i="6"/>
  <c r="Z120" i="6"/>
  <c r="S120" i="6"/>
  <c r="J120" i="6"/>
  <c r="F120" i="6"/>
  <c r="B121" i="6"/>
  <c r="M119" i="6"/>
  <c r="O119" i="6"/>
  <c r="P119" i="6" s="1"/>
  <c r="L119" i="6"/>
  <c r="G117" i="6"/>
  <c r="I117" i="6"/>
  <c r="N118" i="6"/>
  <c r="G118" i="6" s="1"/>
  <c r="H119" i="6"/>
  <c r="R119" i="6" s="1"/>
  <c r="N119" i="6" l="1"/>
  <c r="G119" i="6" s="1"/>
  <c r="I118" i="6"/>
  <c r="E121" i="6"/>
  <c r="Z121" i="6"/>
  <c r="D121" i="6"/>
  <c r="K121" i="6" s="1"/>
  <c r="B122" i="6"/>
  <c r="S121" i="6"/>
  <c r="C121" i="6"/>
  <c r="Q121" i="6" s="1"/>
  <c r="J121" i="6"/>
  <c r="F121" i="6"/>
  <c r="H120" i="6"/>
  <c r="R120" i="6" s="1"/>
  <c r="O120" i="6"/>
  <c r="P120" i="6" s="1"/>
  <c r="M120" i="6"/>
  <c r="L120" i="6"/>
  <c r="N120" i="6" l="1"/>
  <c r="G120" i="6" s="1"/>
  <c r="H121" i="6"/>
  <c r="R121" i="6" s="1"/>
  <c r="D122" i="6"/>
  <c r="K122" i="6" s="1"/>
  <c r="Z122" i="6"/>
  <c r="J122" i="6"/>
  <c r="F122" i="6"/>
  <c r="B123" i="6"/>
  <c r="E122" i="6"/>
  <c r="S122" i="6"/>
  <c r="C122" i="6"/>
  <c r="Q122" i="6" s="1"/>
  <c r="O121" i="6"/>
  <c r="P121" i="6" s="1"/>
  <c r="L121" i="6"/>
  <c r="M121" i="6"/>
  <c r="I120" i="6"/>
  <c r="I119" i="6"/>
  <c r="N121" i="6" l="1"/>
  <c r="G121" i="6" s="1"/>
  <c r="H122" i="6"/>
  <c r="R122" i="6" s="1"/>
  <c r="E123" i="6"/>
  <c r="Z123" i="6"/>
  <c r="S123" i="6"/>
  <c r="C123" i="6"/>
  <c r="Q123" i="6" s="1"/>
  <c r="J123" i="6"/>
  <c r="D123" i="6"/>
  <c r="K123" i="6" s="1"/>
  <c r="F123" i="6"/>
  <c r="B124" i="6"/>
  <c r="M122" i="6"/>
  <c r="L122" i="6"/>
  <c r="O122" i="6"/>
  <c r="P122" i="6" s="1"/>
  <c r="N122" i="6" l="1"/>
  <c r="G122" i="6" s="1"/>
  <c r="I121" i="6"/>
  <c r="M123" i="6"/>
  <c r="N123" i="6" s="1"/>
  <c r="G123" i="6" s="1"/>
  <c r="L123" i="6"/>
  <c r="O123" i="6"/>
  <c r="P123" i="6" s="1"/>
  <c r="B125" i="6"/>
  <c r="E124" i="6"/>
  <c r="Z124" i="6"/>
  <c r="D124" i="6"/>
  <c r="K124" i="6" s="1"/>
  <c r="S124" i="6"/>
  <c r="F124" i="6"/>
  <c r="C124" i="6"/>
  <c r="Q124" i="6" s="1"/>
  <c r="J124" i="6"/>
  <c r="I122" i="6"/>
  <c r="H123" i="6"/>
  <c r="R123" i="6" s="1"/>
  <c r="M124" i="6" l="1"/>
  <c r="L124" i="6"/>
  <c r="O124" i="6"/>
  <c r="P124" i="6" s="1"/>
  <c r="H124" i="6"/>
  <c r="R124" i="6" s="1"/>
  <c r="F125" i="6"/>
  <c r="Z125" i="6"/>
  <c r="D125" i="6"/>
  <c r="K125" i="6" s="1"/>
  <c r="B126" i="6"/>
  <c r="E125" i="6"/>
  <c r="H125" i="6" s="1"/>
  <c r="J125" i="6"/>
  <c r="C125" i="6"/>
  <c r="Q125" i="6" s="1"/>
  <c r="S125" i="6"/>
  <c r="I123" i="6"/>
  <c r="N124" i="6" l="1"/>
  <c r="G124" i="6" s="1"/>
  <c r="O125" i="6"/>
  <c r="P125" i="6" s="1"/>
  <c r="M125" i="6"/>
  <c r="L125" i="6"/>
  <c r="E126" i="6"/>
  <c r="J126" i="6"/>
  <c r="D126" i="6"/>
  <c r="K126" i="6" s="1"/>
  <c r="C126" i="6"/>
  <c r="Q126" i="6" s="1"/>
  <c r="F126" i="6"/>
  <c r="Z126" i="6"/>
  <c r="S126" i="6"/>
  <c r="B127" i="6"/>
  <c r="R125" i="6"/>
  <c r="I124" i="6"/>
  <c r="M126" i="6" l="1"/>
  <c r="L126" i="6"/>
  <c r="O126" i="6"/>
  <c r="P126" i="6" s="1"/>
  <c r="H126" i="6"/>
  <c r="R126" i="6" s="1"/>
  <c r="F127" i="6"/>
  <c r="J127" i="6"/>
  <c r="E127" i="6"/>
  <c r="Z127" i="6"/>
  <c r="S127" i="6"/>
  <c r="C127" i="6"/>
  <c r="Q127" i="6" s="1"/>
  <c r="D127" i="6"/>
  <c r="K127" i="6" s="1"/>
  <c r="B128" i="6"/>
  <c r="N125" i="6"/>
  <c r="G125" i="6" s="1"/>
  <c r="J128" i="6" l="1"/>
  <c r="E128" i="6"/>
  <c r="B129" i="6"/>
  <c r="D128" i="6"/>
  <c r="K128" i="6" s="1"/>
  <c r="F128" i="6"/>
  <c r="Z128" i="6"/>
  <c r="S128" i="6"/>
  <c r="C128" i="6"/>
  <c r="Q128" i="6" s="1"/>
  <c r="L127" i="6"/>
  <c r="M127" i="6"/>
  <c r="N127" i="6" s="1"/>
  <c r="G127" i="6" s="1"/>
  <c r="O127" i="6"/>
  <c r="P127" i="6" s="1"/>
  <c r="N126" i="6"/>
  <c r="H127" i="6"/>
  <c r="R127" i="6" s="1"/>
  <c r="I125" i="6"/>
  <c r="L128" i="6" l="1"/>
  <c r="M128" i="6"/>
  <c r="O128" i="6"/>
  <c r="P128" i="6" s="1"/>
  <c r="G126" i="6"/>
  <c r="I126" i="6"/>
  <c r="I127" i="6"/>
  <c r="F129" i="6"/>
  <c r="B130" i="6"/>
  <c r="E129" i="6"/>
  <c r="S129" i="6"/>
  <c r="C129" i="6"/>
  <c r="Q129" i="6" s="1"/>
  <c r="J129" i="6"/>
  <c r="D129" i="6"/>
  <c r="K129" i="6" s="1"/>
  <c r="Z129" i="6"/>
  <c r="H128" i="6"/>
  <c r="R128" i="6" s="1"/>
  <c r="M129" i="6" l="1"/>
  <c r="O129" i="6"/>
  <c r="P129" i="6" s="1"/>
  <c r="L129" i="6"/>
  <c r="N128" i="6"/>
  <c r="G128" i="6" s="1"/>
  <c r="H129" i="6"/>
  <c r="R129" i="6" s="1"/>
  <c r="S130" i="6"/>
  <c r="C130" i="6"/>
  <c r="Q130" i="6" s="1"/>
  <c r="J130" i="6"/>
  <c r="F130" i="6"/>
  <c r="E130" i="6"/>
  <c r="Z130" i="6"/>
  <c r="B131" i="6"/>
  <c r="D130" i="6"/>
  <c r="K130" i="6" s="1"/>
  <c r="M130" i="6" l="1"/>
  <c r="O130" i="6"/>
  <c r="P130" i="6" s="1"/>
  <c r="L130" i="6"/>
  <c r="C131" i="6"/>
  <c r="Q131" i="6" s="1"/>
  <c r="J131" i="6"/>
  <c r="B132" i="6"/>
  <c r="Z131" i="6"/>
  <c r="F131" i="6"/>
  <c r="D131" i="6"/>
  <c r="K131" i="6" s="1"/>
  <c r="S131" i="6"/>
  <c r="E131" i="6"/>
  <c r="H130" i="6"/>
  <c r="I128" i="6"/>
  <c r="R130" i="6"/>
  <c r="N129" i="6"/>
  <c r="G129" i="6" l="1"/>
  <c r="I129" i="6"/>
  <c r="E132" i="6"/>
  <c r="Z132" i="6"/>
  <c r="D132" i="6"/>
  <c r="K132" i="6" s="1"/>
  <c r="J132" i="6"/>
  <c r="B133" i="6"/>
  <c r="S132" i="6"/>
  <c r="F132" i="6"/>
  <c r="C132" i="6"/>
  <c r="Q132" i="6" s="1"/>
  <c r="R131" i="6"/>
  <c r="H131" i="6"/>
  <c r="M131" i="6"/>
  <c r="L131" i="6"/>
  <c r="O131" i="6"/>
  <c r="P131" i="6" s="1"/>
  <c r="N130" i="6"/>
  <c r="G130" i="6" l="1"/>
  <c r="I130" i="6"/>
  <c r="D133" i="6"/>
  <c r="K133" i="6" s="1"/>
  <c r="C133" i="6"/>
  <c r="Q133" i="6" s="1"/>
  <c r="S133" i="6"/>
  <c r="F133" i="6"/>
  <c r="Z133" i="6"/>
  <c r="B134" i="6"/>
  <c r="J133" i="6"/>
  <c r="E133" i="6"/>
  <c r="O132" i="6"/>
  <c r="P132" i="6" s="1"/>
  <c r="M132" i="6"/>
  <c r="L132" i="6"/>
  <c r="N131" i="6"/>
  <c r="H132" i="6"/>
  <c r="R132" i="6"/>
  <c r="N132" i="6" l="1"/>
  <c r="G132" i="6" s="1"/>
  <c r="C134" i="6"/>
  <c r="Q134" i="6" s="1"/>
  <c r="B135" i="6"/>
  <c r="S134" i="6"/>
  <c r="F134" i="6"/>
  <c r="D134" i="6"/>
  <c r="K134" i="6" s="1"/>
  <c r="J134" i="6"/>
  <c r="E134" i="6"/>
  <c r="Z134" i="6"/>
  <c r="G131" i="6"/>
  <c r="I131" i="6"/>
  <c r="M133" i="6"/>
  <c r="L133" i="6"/>
  <c r="O133" i="6"/>
  <c r="P133" i="6" s="1"/>
  <c r="I132" i="6"/>
  <c r="H133" i="6"/>
  <c r="R133" i="6" s="1"/>
  <c r="H134" i="6" l="1"/>
  <c r="R134" i="6" s="1"/>
  <c r="O134" i="6"/>
  <c r="P134" i="6" s="1"/>
  <c r="M134" i="6"/>
  <c r="L134" i="6"/>
  <c r="N133" i="6"/>
  <c r="G133" i="6" s="1"/>
  <c r="Z135" i="6"/>
  <c r="D135" i="6"/>
  <c r="K135" i="6" s="1"/>
  <c r="S135" i="6"/>
  <c r="C135" i="6"/>
  <c r="Q135" i="6" s="1"/>
  <c r="E135" i="6"/>
  <c r="F135" i="6"/>
  <c r="B136" i="6"/>
  <c r="J135" i="6"/>
  <c r="L135" i="6" l="1"/>
  <c r="O135" i="6"/>
  <c r="P135" i="6" s="1"/>
  <c r="M135" i="6"/>
  <c r="N135" i="6" s="1"/>
  <c r="G135" i="6" s="1"/>
  <c r="I133" i="6"/>
  <c r="F136" i="6"/>
  <c r="B137" i="6"/>
  <c r="Z136" i="6"/>
  <c r="S136" i="6"/>
  <c r="C136" i="6"/>
  <c r="Q136" i="6" s="1"/>
  <c r="J136" i="6"/>
  <c r="E136" i="6"/>
  <c r="D136" i="6"/>
  <c r="K136" i="6" s="1"/>
  <c r="H135" i="6"/>
  <c r="R135" i="6" s="1"/>
  <c r="N134" i="6"/>
  <c r="G134" i="6" s="1"/>
  <c r="H136" i="6" l="1"/>
  <c r="I134" i="6"/>
  <c r="B138" i="6"/>
  <c r="F137" i="6"/>
  <c r="E137" i="6"/>
  <c r="H137" i="6" s="1"/>
  <c r="S137" i="6"/>
  <c r="C137" i="6"/>
  <c r="Q137" i="6" s="1"/>
  <c r="J137" i="6"/>
  <c r="D137" i="6"/>
  <c r="K137" i="6" s="1"/>
  <c r="Z137" i="6"/>
  <c r="O136" i="6"/>
  <c r="P136" i="6" s="1"/>
  <c r="M136" i="6"/>
  <c r="L136" i="6"/>
  <c r="I135" i="6"/>
  <c r="R136" i="6"/>
  <c r="R137" i="6" l="1"/>
  <c r="M137" i="6"/>
  <c r="N137" i="6" s="1"/>
  <c r="G137" i="6" s="1"/>
  <c r="L137" i="6"/>
  <c r="O137" i="6"/>
  <c r="P137" i="6" s="1"/>
  <c r="C138" i="6"/>
  <c r="Q138" i="6" s="1"/>
  <c r="J138" i="6"/>
  <c r="F138" i="6"/>
  <c r="Z138" i="6"/>
  <c r="D138" i="6"/>
  <c r="K138" i="6" s="1"/>
  <c r="S138" i="6"/>
  <c r="B139" i="6"/>
  <c r="E138" i="6"/>
  <c r="N136" i="6"/>
  <c r="G136" i="6" s="1"/>
  <c r="O138" i="6" l="1"/>
  <c r="P138" i="6" s="1"/>
  <c r="L138" i="6"/>
  <c r="M138" i="6"/>
  <c r="H138" i="6"/>
  <c r="R138" i="6" s="1"/>
  <c r="I136" i="6"/>
  <c r="I137" i="6"/>
  <c r="S139" i="6"/>
  <c r="C139" i="6"/>
  <c r="Q139" i="6" s="1"/>
  <c r="D139" i="6"/>
  <c r="K139" i="6" s="1"/>
  <c r="Z139" i="6"/>
  <c r="J139" i="6"/>
  <c r="E139" i="6"/>
  <c r="F139" i="6"/>
  <c r="B140" i="6"/>
  <c r="N138" i="6" l="1"/>
  <c r="F140" i="6"/>
  <c r="C140" i="6"/>
  <c r="Q140" i="6" s="1"/>
  <c r="B141" i="6"/>
  <c r="E140" i="6"/>
  <c r="H140" i="6" s="1"/>
  <c r="R140" i="6" s="1"/>
  <c r="Z140" i="6"/>
  <c r="D140" i="6"/>
  <c r="K140" i="6" s="1"/>
  <c r="J140" i="6"/>
  <c r="S140" i="6"/>
  <c r="H139" i="6"/>
  <c r="R139" i="6" s="1"/>
  <c r="O139" i="6"/>
  <c r="P139" i="6" s="1"/>
  <c r="M139" i="6"/>
  <c r="L139" i="6"/>
  <c r="G138" i="6" l="1"/>
  <c r="I138" i="6"/>
  <c r="M140" i="6"/>
  <c r="L140" i="6"/>
  <c r="O140" i="6"/>
  <c r="P140" i="6" s="1"/>
  <c r="N139" i="6"/>
  <c r="G139" i="6" s="1"/>
  <c r="S141" i="6"/>
  <c r="J141" i="6"/>
  <c r="F141" i="6"/>
  <c r="C141" i="6"/>
  <c r="Q141" i="6" s="1"/>
  <c r="B142" i="6"/>
  <c r="E141" i="6"/>
  <c r="Z141" i="6"/>
  <c r="D141" i="6"/>
  <c r="K141" i="6" s="1"/>
  <c r="H141" i="6" l="1"/>
  <c r="R141" i="6" s="1"/>
  <c r="Z142" i="6"/>
  <c r="D142" i="6"/>
  <c r="K142" i="6" s="1"/>
  <c r="C142" i="6"/>
  <c r="Q142" i="6" s="1"/>
  <c r="J142" i="6"/>
  <c r="B143" i="6"/>
  <c r="S142" i="6"/>
  <c r="E142" i="6"/>
  <c r="F142" i="6"/>
  <c r="N140" i="6"/>
  <c r="G140" i="6" s="1"/>
  <c r="O141" i="6"/>
  <c r="P141" i="6" s="1"/>
  <c r="M141" i="6"/>
  <c r="L141" i="6"/>
  <c r="I139" i="6"/>
  <c r="Z143" i="6" l="1"/>
  <c r="C143" i="6"/>
  <c r="Q143" i="6" s="1"/>
  <c r="D143" i="6"/>
  <c r="K143" i="6" s="1"/>
  <c r="S143" i="6"/>
  <c r="F143" i="6"/>
  <c r="E143" i="6"/>
  <c r="B144" i="6"/>
  <c r="J143" i="6"/>
  <c r="O142" i="6"/>
  <c r="P142" i="6" s="1"/>
  <c r="L142" i="6"/>
  <c r="M142" i="6"/>
  <c r="N142" i="6" s="1"/>
  <c r="G142" i="6" s="1"/>
  <c r="N141" i="6"/>
  <c r="G141" i="6" s="1"/>
  <c r="H142" i="6"/>
  <c r="R142" i="6" s="1"/>
  <c r="I140" i="6"/>
  <c r="H143" i="6" l="1"/>
  <c r="R143" i="6" s="1"/>
  <c r="I141" i="6"/>
  <c r="E144" i="6"/>
  <c r="B145" i="6"/>
  <c r="D144" i="6"/>
  <c r="K144" i="6" s="1"/>
  <c r="J144" i="6"/>
  <c r="F144" i="6"/>
  <c r="S144" i="6"/>
  <c r="C144" i="6"/>
  <c r="Q144" i="6" s="1"/>
  <c r="Z144" i="6"/>
  <c r="O143" i="6"/>
  <c r="P143" i="6" s="1"/>
  <c r="M143" i="6"/>
  <c r="L143" i="6"/>
  <c r="I142" i="6"/>
  <c r="O144" i="6" l="1"/>
  <c r="P144" i="6" s="1"/>
  <c r="M144" i="6"/>
  <c r="L144" i="6"/>
  <c r="N143" i="6"/>
  <c r="G143" i="6" s="1"/>
  <c r="D145" i="6"/>
  <c r="K145" i="6" s="1"/>
  <c r="Z145" i="6"/>
  <c r="F145" i="6"/>
  <c r="B146" i="6"/>
  <c r="E145" i="6"/>
  <c r="S145" i="6"/>
  <c r="C145" i="6"/>
  <c r="Q145" i="6" s="1"/>
  <c r="J145" i="6"/>
  <c r="H144" i="6"/>
  <c r="R144" i="6" s="1"/>
  <c r="L145" i="6" l="1"/>
  <c r="M145" i="6"/>
  <c r="N145" i="6" s="1"/>
  <c r="G145" i="6" s="1"/>
  <c r="O145" i="6"/>
  <c r="P145" i="6" s="1"/>
  <c r="I143" i="6"/>
  <c r="H145" i="6"/>
  <c r="R145" i="6" s="1"/>
  <c r="N144" i="6"/>
  <c r="G144" i="6" s="1"/>
  <c r="B147" i="6"/>
  <c r="E146" i="6"/>
  <c r="D146" i="6"/>
  <c r="K146" i="6" s="1"/>
  <c r="Z146" i="6"/>
  <c r="S146" i="6"/>
  <c r="C146" i="6"/>
  <c r="Q146" i="6" s="1"/>
  <c r="J146" i="6"/>
  <c r="F146" i="6"/>
  <c r="I144" i="6" l="1"/>
  <c r="S147" i="6"/>
  <c r="C147" i="6"/>
  <c r="Q147" i="6" s="1"/>
  <c r="J147" i="6"/>
  <c r="F147" i="6"/>
  <c r="Z147" i="6"/>
  <c r="D147" i="6"/>
  <c r="K147" i="6" s="1"/>
  <c r="E147" i="6"/>
  <c r="H147" i="6" s="1"/>
  <c r="R147" i="6" s="1"/>
  <c r="B148" i="6"/>
  <c r="I145" i="6"/>
  <c r="L146" i="6"/>
  <c r="O146" i="6"/>
  <c r="P146" i="6" s="1"/>
  <c r="M146" i="6"/>
  <c r="N146" i="6" s="1"/>
  <c r="G146" i="6" s="1"/>
  <c r="H146" i="6"/>
  <c r="R146" i="6" s="1"/>
  <c r="L147" i="6" l="1"/>
  <c r="M147" i="6"/>
  <c r="O147" i="6"/>
  <c r="P147" i="6" s="1"/>
  <c r="I146" i="6"/>
  <c r="C148" i="6"/>
  <c r="Q148" i="6" s="1"/>
  <c r="F148" i="6"/>
  <c r="B149" i="6"/>
  <c r="E148" i="6"/>
  <c r="S148" i="6"/>
  <c r="Z148" i="6"/>
  <c r="D148" i="6"/>
  <c r="K148" i="6" s="1"/>
  <c r="J148" i="6"/>
  <c r="N147" i="6" l="1"/>
  <c r="G147" i="6" s="1"/>
  <c r="H148" i="6"/>
  <c r="R148" i="6" s="1"/>
  <c r="E149" i="6"/>
  <c r="H149" i="6" s="1"/>
  <c r="R149" i="6" s="1"/>
  <c r="Z149" i="6"/>
  <c r="F149" i="6"/>
  <c r="D149" i="6"/>
  <c r="K149" i="6" s="1"/>
  <c r="S149" i="6"/>
  <c r="C149" i="6"/>
  <c r="Q149" i="6" s="1"/>
  <c r="J149" i="6"/>
  <c r="B150" i="6"/>
  <c r="L148" i="6"/>
  <c r="O148" i="6"/>
  <c r="P148" i="6" s="1"/>
  <c r="M148" i="6"/>
  <c r="I147" i="6" l="1"/>
  <c r="L149" i="6"/>
  <c r="M149" i="6"/>
  <c r="N149" i="6" s="1"/>
  <c r="G149" i="6" s="1"/>
  <c r="O149" i="6"/>
  <c r="P149" i="6" s="1"/>
  <c r="N148" i="6"/>
  <c r="E150" i="6"/>
  <c r="H150" i="6" s="1"/>
  <c r="C150" i="6"/>
  <c r="Q150" i="6" s="1"/>
  <c r="R150" i="6" s="1"/>
  <c r="Z150" i="6"/>
  <c r="D150" i="6"/>
  <c r="K150" i="6" s="1"/>
  <c r="J150" i="6"/>
  <c r="S150" i="6"/>
  <c r="F150" i="6"/>
  <c r="B151" i="6"/>
  <c r="I149" i="6" l="1"/>
  <c r="G148" i="6"/>
  <c r="I148" i="6"/>
  <c r="O150" i="6"/>
  <c r="P150" i="6" s="1"/>
  <c r="L150" i="6"/>
  <c r="M150" i="6"/>
  <c r="N150" i="6" s="1"/>
  <c r="G150" i="6" s="1"/>
  <c r="F151" i="6"/>
  <c r="B152" i="6"/>
  <c r="J151" i="6"/>
  <c r="E151" i="6"/>
  <c r="Z151" i="6"/>
  <c r="S151" i="6"/>
  <c r="C151" i="6"/>
  <c r="Q151" i="6" s="1"/>
  <c r="D151" i="6"/>
  <c r="K151" i="6" s="1"/>
  <c r="B153" i="6" l="1"/>
  <c r="J152" i="6"/>
  <c r="F152" i="6"/>
  <c r="Z152" i="6"/>
  <c r="D152" i="6"/>
  <c r="K152" i="6" s="1"/>
  <c r="C152" i="6"/>
  <c r="Q152" i="6" s="1"/>
  <c r="S152" i="6"/>
  <c r="E152" i="6"/>
  <c r="H152" i="6" s="1"/>
  <c r="O151" i="6"/>
  <c r="P151" i="6" s="1"/>
  <c r="M151" i="6"/>
  <c r="L151" i="6"/>
  <c r="I150" i="6"/>
  <c r="H151" i="6"/>
  <c r="R151" i="6" s="1"/>
  <c r="R152" i="6" l="1"/>
  <c r="L152" i="6"/>
  <c r="M152" i="6"/>
  <c r="O152" i="6"/>
  <c r="P152" i="6" s="1"/>
  <c r="N151" i="6"/>
  <c r="S153" i="6"/>
  <c r="C153" i="6"/>
  <c r="Q153" i="6" s="1"/>
  <c r="D153" i="6"/>
  <c r="K153" i="6" s="1"/>
  <c r="Z153" i="6"/>
  <c r="J153" i="6"/>
  <c r="E153" i="6"/>
  <c r="F153" i="6"/>
  <c r="B154" i="6"/>
  <c r="N152" i="6" l="1"/>
  <c r="G152" i="6" s="1"/>
  <c r="M153" i="6"/>
  <c r="L153" i="6"/>
  <c r="O153" i="6"/>
  <c r="P153" i="6" s="1"/>
  <c r="E154" i="6"/>
  <c r="H154" i="6" s="1"/>
  <c r="D154" i="6"/>
  <c r="K154" i="6" s="1"/>
  <c r="Z154" i="6"/>
  <c r="S154" i="6"/>
  <c r="C154" i="6"/>
  <c r="Q154" i="6" s="1"/>
  <c r="R154" i="6" s="1"/>
  <c r="J154" i="6"/>
  <c r="B155" i="6"/>
  <c r="F154" i="6"/>
  <c r="G151" i="6"/>
  <c r="I151" i="6"/>
  <c r="I152" i="6"/>
  <c r="H153" i="6"/>
  <c r="R153" i="6" s="1"/>
  <c r="L154" i="6" l="1"/>
  <c r="M154" i="6"/>
  <c r="N154" i="6" s="1"/>
  <c r="G154" i="6" s="1"/>
  <c r="O154" i="6"/>
  <c r="P154" i="6" s="1"/>
  <c r="I154" i="6" s="1"/>
  <c r="E155" i="6"/>
  <c r="S155" i="6"/>
  <c r="C155" i="6"/>
  <c r="Q155" i="6" s="1"/>
  <c r="D155" i="6"/>
  <c r="K155" i="6" s="1"/>
  <c r="J155" i="6"/>
  <c r="Z155" i="6"/>
  <c r="B156" i="6"/>
  <c r="F155" i="6"/>
  <c r="N153" i="6"/>
  <c r="O155" i="6" l="1"/>
  <c r="P155" i="6" s="1"/>
  <c r="M155" i="6"/>
  <c r="L155" i="6"/>
  <c r="H155" i="6"/>
  <c r="R155" i="6" s="1"/>
  <c r="G153" i="6"/>
  <c r="I153" i="6"/>
  <c r="B157" i="6"/>
  <c r="Z156" i="6"/>
  <c r="J156" i="6"/>
  <c r="E156" i="6"/>
  <c r="D156" i="6"/>
  <c r="K156" i="6" s="1"/>
  <c r="S156" i="6"/>
  <c r="F156" i="6"/>
  <c r="C156" i="6"/>
  <c r="Q156" i="6" s="1"/>
  <c r="H156" i="6" l="1"/>
  <c r="S157" i="6"/>
  <c r="F157" i="6"/>
  <c r="J157" i="6"/>
  <c r="B158" i="6"/>
  <c r="Z157" i="6"/>
  <c r="D157" i="6"/>
  <c r="K157" i="6" s="1"/>
  <c r="C157" i="6"/>
  <c r="Q157" i="6" s="1"/>
  <c r="E157" i="6"/>
  <c r="R156" i="6"/>
  <c r="O156" i="6"/>
  <c r="P156" i="6" s="1"/>
  <c r="M156" i="6"/>
  <c r="L156" i="6"/>
  <c r="N155" i="6"/>
  <c r="N156" i="6" l="1"/>
  <c r="G156" i="6" s="1"/>
  <c r="O157" i="6"/>
  <c r="P157" i="6" s="1"/>
  <c r="M157" i="6"/>
  <c r="N157" i="6" s="1"/>
  <c r="G157" i="6" s="1"/>
  <c r="L157" i="6"/>
  <c r="G155" i="6"/>
  <c r="I155" i="6"/>
  <c r="H157" i="6"/>
  <c r="R157" i="6" s="1"/>
  <c r="S158" i="6"/>
  <c r="E158" i="6"/>
  <c r="H158" i="6" s="1"/>
  <c r="C158" i="6"/>
  <c r="Q158" i="6" s="1"/>
  <c r="B159" i="6"/>
  <c r="D158" i="6"/>
  <c r="K158" i="6" s="1"/>
  <c r="F158" i="6"/>
  <c r="Z158" i="6"/>
  <c r="J158" i="6"/>
  <c r="I156" i="6" l="1"/>
  <c r="R158" i="6"/>
  <c r="C159" i="6"/>
  <c r="Q159" i="6" s="1"/>
  <c r="B160" i="6"/>
  <c r="S159" i="6"/>
  <c r="F159" i="6"/>
  <c r="E159" i="6"/>
  <c r="J159" i="6"/>
  <c r="Z159" i="6"/>
  <c r="D159" i="6"/>
  <c r="K159" i="6" s="1"/>
  <c r="O158" i="6"/>
  <c r="P158" i="6" s="1"/>
  <c r="M158" i="6"/>
  <c r="L158" i="6"/>
  <c r="I157" i="6"/>
  <c r="H159" i="6" l="1"/>
  <c r="N158" i="6"/>
  <c r="G158" i="6" s="1"/>
  <c r="J160" i="6"/>
  <c r="S160" i="6"/>
  <c r="C160" i="6"/>
  <c r="Q160" i="6" s="1"/>
  <c r="B161" i="6"/>
  <c r="E160" i="6"/>
  <c r="H160" i="6" s="1"/>
  <c r="Z160" i="6"/>
  <c r="D160" i="6"/>
  <c r="K160" i="6" s="1"/>
  <c r="F160" i="6"/>
  <c r="R159" i="6"/>
  <c r="L159" i="6"/>
  <c r="O159" i="6"/>
  <c r="P159" i="6" s="1"/>
  <c r="M159" i="6"/>
  <c r="N159" i="6" s="1"/>
  <c r="G159" i="6" s="1"/>
  <c r="D161" i="6" l="1"/>
  <c r="K161" i="6" s="1"/>
  <c r="Z161" i="6"/>
  <c r="J161" i="6"/>
  <c r="F161" i="6"/>
  <c r="B162" i="6"/>
  <c r="E161" i="6"/>
  <c r="H161" i="6" s="1"/>
  <c r="S161" i="6"/>
  <c r="C161" i="6"/>
  <c r="Q161" i="6" s="1"/>
  <c r="R160" i="6"/>
  <c r="I159" i="6"/>
  <c r="L160" i="6"/>
  <c r="O160" i="6"/>
  <c r="P160" i="6" s="1"/>
  <c r="M160" i="6"/>
  <c r="N160" i="6" s="1"/>
  <c r="G160" i="6" s="1"/>
  <c r="I158" i="6"/>
  <c r="R161" i="6" l="1"/>
  <c r="S162" i="6"/>
  <c r="C162" i="6"/>
  <c r="Q162" i="6" s="1"/>
  <c r="B163" i="6"/>
  <c r="E162" i="6"/>
  <c r="Z162" i="6"/>
  <c r="J162" i="6"/>
  <c r="F162" i="6"/>
  <c r="D162" i="6"/>
  <c r="K162" i="6" s="1"/>
  <c r="I160" i="6"/>
  <c r="L161" i="6"/>
  <c r="O161" i="6"/>
  <c r="P161" i="6" s="1"/>
  <c r="M161" i="6"/>
  <c r="N161" i="6" l="1"/>
  <c r="G161" i="6" s="1"/>
  <c r="I161" i="6"/>
  <c r="L162" i="6"/>
  <c r="M162" i="6"/>
  <c r="O162" i="6"/>
  <c r="P162" i="6" s="1"/>
  <c r="H162" i="6"/>
  <c r="R162" i="6" s="1"/>
  <c r="Z163" i="6"/>
  <c r="C163" i="6"/>
  <c r="Q163" i="6" s="1"/>
  <c r="F163" i="6"/>
  <c r="D163" i="6"/>
  <c r="K163" i="6" s="1"/>
  <c r="B164" i="6"/>
  <c r="E163" i="6"/>
  <c r="S163" i="6"/>
  <c r="J163" i="6"/>
  <c r="N162" i="6" l="1"/>
  <c r="G162" i="6" s="1"/>
  <c r="O163" i="6"/>
  <c r="P163" i="6" s="1"/>
  <c r="M163" i="6"/>
  <c r="L163" i="6"/>
  <c r="H163" i="6"/>
  <c r="R163" i="6" s="1"/>
  <c r="J164" i="6"/>
  <c r="F164" i="6"/>
  <c r="S164" i="6"/>
  <c r="C164" i="6"/>
  <c r="Q164" i="6" s="1"/>
  <c r="B165" i="6"/>
  <c r="Z164" i="6"/>
  <c r="E164" i="6"/>
  <c r="D164" i="6"/>
  <c r="K164" i="6" s="1"/>
  <c r="H164" i="6" l="1"/>
  <c r="R164" i="6" s="1"/>
  <c r="I162" i="6"/>
  <c r="L164" i="6"/>
  <c r="O164" i="6"/>
  <c r="P164" i="6" s="1"/>
  <c r="M164" i="6"/>
  <c r="N164" i="6" s="1"/>
  <c r="G164" i="6" s="1"/>
  <c r="N163" i="6"/>
  <c r="S165" i="6"/>
  <c r="C165" i="6"/>
  <c r="Q165" i="6" s="1"/>
  <c r="D165" i="6"/>
  <c r="K165" i="6" s="1"/>
  <c r="J165" i="6"/>
  <c r="F165" i="6"/>
  <c r="B166" i="6"/>
  <c r="E165" i="6"/>
  <c r="H165" i="6" s="1"/>
  <c r="Z165" i="6"/>
  <c r="L165" i="6" l="1"/>
  <c r="O165" i="6"/>
  <c r="P165" i="6" s="1"/>
  <c r="M165" i="6"/>
  <c r="I164" i="6"/>
  <c r="G163" i="6"/>
  <c r="I163" i="6"/>
  <c r="R165" i="6"/>
  <c r="S166" i="6"/>
  <c r="E166" i="6"/>
  <c r="F166" i="6"/>
  <c r="Z166" i="6"/>
  <c r="D166" i="6"/>
  <c r="K166" i="6" s="1"/>
  <c r="J166" i="6"/>
  <c r="C166" i="6"/>
  <c r="Q166" i="6" s="1"/>
  <c r="B167" i="6"/>
  <c r="H166" i="6" l="1"/>
  <c r="J167" i="6"/>
  <c r="E167" i="6"/>
  <c r="B168" i="6"/>
  <c r="Z167" i="6"/>
  <c r="D167" i="6"/>
  <c r="K167" i="6" s="1"/>
  <c r="S167" i="6"/>
  <c r="C167" i="6"/>
  <c r="Q167" i="6" s="1"/>
  <c r="F167" i="6"/>
  <c r="M166" i="6"/>
  <c r="O166" i="6"/>
  <c r="P166" i="6" s="1"/>
  <c r="L166" i="6"/>
  <c r="R166" i="6"/>
  <c r="N165" i="6"/>
  <c r="G165" i="6" s="1"/>
  <c r="H167" i="6" l="1"/>
  <c r="N166" i="6"/>
  <c r="G166" i="6" s="1"/>
  <c r="R167" i="6"/>
  <c r="L167" i="6"/>
  <c r="O167" i="6"/>
  <c r="P167" i="6" s="1"/>
  <c r="M167" i="6"/>
  <c r="N167" i="6" s="1"/>
  <c r="G167" i="6" s="1"/>
  <c r="I165" i="6"/>
  <c r="D168" i="6"/>
  <c r="K168" i="6" s="1"/>
  <c r="S168" i="6"/>
  <c r="C168" i="6"/>
  <c r="Q168" i="6" s="1"/>
  <c r="B169" i="6"/>
  <c r="E168" i="6"/>
  <c r="J168" i="6"/>
  <c r="F168" i="6"/>
  <c r="Z168" i="6"/>
  <c r="H168" i="6" l="1"/>
  <c r="I166" i="6"/>
  <c r="R168" i="6"/>
  <c r="M168" i="6"/>
  <c r="L168" i="6"/>
  <c r="O168" i="6"/>
  <c r="P168" i="6" s="1"/>
  <c r="I167" i="6"/>
  <c r="C169" i="6"/>
  <c r="Q169" i="6" s="1"/>
  <c r="J169" i="6"/>
  <c r="D169" i="6"/>
  <c r="K169" i="6" s="1"/>
  <c r="F169" i="6"/>
  <c r="Z169" i="6"/>
  <c r="S169" i="6"/>
  <c r="B170" i="6"/>
  <c r="E169" i="6"/>
  <c r="N168" i="6" l="1"/>
  <c r="G168" i="6" s="1"/>
  <c r="M169" i="6"/>
  <c r="L169" i="6"/>
  <c r="O169" i="6"/>
  <c r="P169" i="6" s="1"/>
  <c r="H169" i="6"/>
  <c r="R169" i="6" s="1"/>
  <c r="Z170" i="6"/>
  <c r="S170" i="6"/>
  <c r="J170" i="6"/>
  <c r="F170" i="6"/>
  <c r="B171" i="6"/>
  <c r="D170" i="6"/>
  <c r="K170" i="6" s="1"/>
  <c r="C170" i="6"/>
  <c r="Q170" i="6" s="1"/>
  <c r="E170" i="6"/>
  <c r="I168" i="6"/>
  <c r="N169" i="6" l="1"/>
  <c r="G169" i="6" s="1"/>
  <c r="M170" i="6"/>
  <c r="O170" i="6"/>
  <c r="P170" i="6" s="1"/>
  <c r="L170" i="6"/>
  <c r="H170" i="6"/>
  <c r="R170" i="6" s="1"/>
  <c r="B172" i="6"/>
  <c r="S171" i="6"/>
  <c r="C171" i="6"/>
  <c r="Q171" i="6" s="1"/>
  <c r="J171" i="6"/>
  <c r="D171" i="6"/>
  <c r="K171" i="6" s="1"/>
  <c r="Z171" i="6"/>
  <c r="E171" i="6"/>
  <c r="F171" i="6"/>
  <c r="I169" i="6" l="1"/>
  <c r="D172" i="6"/>
  <c r="K172" i="6" s="1"/>
  <c r="J172" i="6"/>
  <c r="F172" i="6"/>
  <c r="Z172" i="6"/>
  <c r="C172" i="6"/>
  <c r="Q172" i="6" s="1"/>
  <c r="S172" i="6"/>
  <c r="B173" i="6"/>
  <c r="E172" i="6"/>
  <c r="H171" i="6"/>
  <c r="R171" i="6" s="1"/>
  <c r="L171" i="6"/>
  <c r="M171" i="6"/>
  <c r="N171" i="6" s="1"/>
  <c r="G171" i="6" s="1"/>
  <c r="O171" i="6"/>
  <c r="P171" i="6" s="1"/>
  <c r="N170" i="6"/>
  <c r="H172" i="6" l="1"/>
  <c r="R172" i="6" s="1"/>
  <c r="D173" i="6"/>
  <c r="K173" i="6" s="1"/>
  <c r="C173" i="6"/>
  <c r="Q173" i="6" s="1"/>
  <c r="S173" i="6"/>
  <c r="J173" i="6"/>
  <c r="F173" i="6"/>
  <c r="B174" i="6"/>
  <c r="Z173" i="6"/>
  <c r="E173" i="6"/>
  <c r="G170" i="6"/>
  <c r="I170" i="6"/>
  <c r="I171" i="6"/>
  <c r="L172" i="6"/>
  <c r="O172" i="6"/>
  <c r="P172" i="6" s="1"/>
  <c r="M172" i="6"/>
  <c r="N172" i="6" s="1"/>
  <c r="G172" i="6" s="1"/>
  <c r="I172" i="6" l="1"/>
  <c r="H173" i="6"/>
  <c r="R173" i="6" s="1"/>
  <c r="C174" i="6"/>
  <c r="Q174" i="6" s="1"/>
  <c r="F174" i="6"/>
  <c r="Z174" i="6"/>
  <c r="J174" i="6"/>
  <c r="E174" i="6"/>
  <c r="H174" i="6" s="1"/>
  <c r="B175" i="6"/>
  <c r="S174" i="6"/>
  <c r="D174" i="6"/>
  <c r="K174" i="6" s="1"/>
  <c r="O173" i="6"/>
  <c r="P173" i="6" s="1"/>
  <c r="M173" i="6"/>
  <c r="L173" i="6"/>
  <c r="R174" i="6" l="1"/>
  <c r="N173" i="6"/>
  <c r="G173" i="6" s="1"/>
  <c r="C175" i="6"/>
  <c r="Q175" i="6" s="1"/>
  <c r="F175" i="6"/>
  <c r="B176" i="6"/>
  <c r="D175" i="6"/>
  <c r="K175" i="6" s="1"/>
  <c r="S175" i="6"/>
  <c r="J175" i="6"/>
  <c r="E175" i="6"/>
  <c r="H175" i="6" s="1"/>
  <c r="Z175" i="6"/>
  <c r="L174" i="6"/>
  <c r="M174" i="6"/>
  <c r="O174" i="6"/>
  <c r="P174" i="6" s="1"/>
  <c r="I173" i="6" l="1"/>
  <c r="R175" i="6"/>
  <c r="L175" i="6"/>
  <c r="O175" i="6"/>
  <c r="P175" i="6" s="1"/>
  <c r="M175" i="6"/>
  <c r="N175" i="6" s="1"/>
  <c r="G175" i="6" s="1"/>
  <c r="D176" i="6"/>
  <c r="K176" i="6" s="1"/>
  <c r="S176" i="6"/>
  <c r="C176" i="6"/>
  <c r="Q176" i="6" s="1"/>
  <c r="E176" i="6"/>
  <c r="H176" i="6" s="1"/>
  <c r="J176" i="6"/>
  <c r="B177" i="6"/>
  <c r="F176" i="6"/>
  <c r="Z176" i="6"/>
  <c r="N174" i="6"/>
  <c r="G174" i="6" s="1"/>
  <c r="L176" i="6" l="1"/>
  <c r="O176" i="6"/>
  <c r="P176" i="6" s="1"/>
  <c r="M176" i="6"/>
  <c r="N176" i="6" s="1"/>
  <c r="G176" i="6" s="1"/>
  <c r="I174" i="6"/>
  <c r="D177" i="6"/>
  <c r="K177" i="6" s="1"/>
  <c r="J177" i="6"/>
  <c r="F177" i="6"/>
  <c r="E177" i="6"/>
  <c r="C177" i="6"/>
  <c r="Q177" i="6" s="1"/>
  <c r="Z177" i="6"/>
  <c r="B178" i="6"/>
  <c r="S177" i="6"/>
  <c r="I175" i="6"/>
  <c r="R176" i="6"/>
  <c r="H177" i="6" l="1"/>
  <c r="O177" i="6"/>
  <c r="P177" i="6" s="1"/>
  <c r="L177" i="6"/>
  <c r="M177" i="6"/>
  <c r="N177" i="6" s="1"/>
  <c r="G177" i="6" s="1"/>
  <c r="D178" i="6"/>
  <c r="K178" i="6" s="1"/>
  <c r="B179" i="6"/>
  <c r="C178" i="6"/>
  <c r="Q178" i="6" s="1"/>
  <c r="Z178" i="6"/>
  <c r="S178" i="6"/>
  <c r="E178" i="6"/>
  <c r="J178" i="6"/>
  <c r="F178" i="6"/>
  <c r="I176" i="6"/>
  <c r="R177" i="6"/>
  <c r="C179" i="6" l="1"/>
  <c r="Q179" i="6" s="1"/>
  <c r="J179" i="6"/>
  <c r="F179" i="6"/>
  <c r="B180" i="6"/>
  <c r="E179" i="6"/>
  <c r="H179" i="6" s="1"/>
  <c r="R179" i="6" s="1"/>
  <c r="D179" i="6"/>
  <c r="K179" i="6" s="1"/>
  <c r="Z179" i="6"/>
  <c r="S179" i="6"/>
  <c r="L178" i="6"/>
  <c r="O178" i="6"/>
  <c r="P178" i="6" s="1"/>
  <c r="M178" i="6"/>
  <c r="I177" i="6"/>
  <c r="H178" i="6"/>
  <c r="R178" i="6" s="1"/>
  <c r="N178" i="6" l="1"/>
  <c r="L179" i="6"/>
  <c r="M179" i="6"/>
  <c r="O179" i="6"/>
  <c r="P179" i="6" s="1"/>
  <c r="D180" i="6"/>
  <c r="K180" i="6" s="1"/>
  <c r="S180" i="6"/>
  <c r="F180" i="6"/>
  <c r="B181" i="6"/>
  <c r="J180" i="6"/>
  <c r="C180" i="6"/>
  <c r="Q180" i="6" s="1"/>
  <c r="Z180" i="6"/>
  <c r="E180" i="6"/>
  <c r="G178" i="6" l="1"/>
  <c r="I178" i="6"/>
  <c r="F181" i="6"/>
  <c r="C181" i="6"/>
  <c r="Q181" i="6" s="1"/>
  <c r="J181" i="6"/>
  <c r="Z181" i="6"/>
  <c r="D181" i="6"/>
  <c r="K181" i="6" s="1"/>
  <c r="S181" i="6"/>
  <c r="B182" i="6"/>
  <c r="E181" i="6"/>
  <c r="O180" i="6"/>
  <c r="P180" i="6" s="1"/>
  <c r="L180" i="6"/>
  <c r="M180" i="6"/>
  <c r="H180" i="6"/>
  <c r="R180" i="6" s="1"/>
  <c r="N179" i="6"/>
  <c r="H181" i="6" l="1"/>
  <c r="R181" i="6" s="1"/>
  <c r="Z182" i="6"/>
  <c r="D182" i="6"/>
  <c r="K182" i="6" s="1"/>
  <c r="J182" i="6"/>
  <c r="F182" i="6"/>
  <c r="S182" i="6"/>
  <c r="B183" i="6"/>
  <c r="E182" i="6"/>
  <c r="C182" i="6"/>
  <c r="Q182" i="6" s="1"/>
  <c r="M181" i="6"/>
  <c r="O181" i="6"/>
  <c r="P181" i="6" s="1"/>
  <c r="L181" i="6"/>
  <c r="G179" i="6"/>
  <c r="I179" i="6"/>
  <c r="N180" i="6"/>
  <c r="G180" i="6" s="1"/>
  <c r="S183" i="6" l="1"/>
  <c r="C183" i="6"/>
  <c r="Q183" i="6" s="1"/>
  <c r="E183" i="6"/>
  <c r="J183" i="6"/>
  <c r="F183" i="6"/>
  <c r="Z183" i="6"/>
  <c r="B184" i="6"/>
  <c r="D183" i="6"/>
  <c r="K183" i="6" s="1"/>
  <c r="H182" i="6"/>
  <c r="R182" i="6" s="1"/>
  <c r="M182" i="6"/>
  <c r="N182" i="6" s="1"/>
  <c r="G182" i="6" s="1"/>
  <c r="O182" i="6"/>
  <c r="P182" i="6" s="1"/>
  <c r="L182" i="6"/>
  <c r="N181" i="6"/>
  <c r="I180" i="6"/>
  <c r="O183" i="6" l="1"/>
  <c r="P183" i="6" s="1"/>
  <c r="M183" i="6"/>
  <c r="L183" i="6"/>
  <c r="Z184" i="6"/>
  <c r="D184" i="6"/>
  <c r="K184" i="6" s="1"/>
  <c r="C184" i="6"/>
  <c r="Q184" i="6" s="1"/>
  <c r="J184" i="6"/>
  <c r="B185" i="6"/>
  <c r="E184" i="6"/>
  <c r="F184" i="6"/>
  <c r="S184" i="6"/>
  <c r="I182" i="6"/>
  <c r="G181" i="6"/>
  <c r="I181" i="6"/>
  <c r="H183" i="6"/>
  <c r="R183" i="6" s="1"/>
  <c r="S185" i="6" l="1"/>
  <c r="J185" i="6"/>
  <c r="B186" i="6"/>
  <c r="E185" i="6"/>
  <c r="Z185" i="6"/>
  <c r="F185" i="6"/>
  <c r="C185" i="6"/>
  <c r="Q185" i="6" s="1"/>
  <c r="D185" i="6"/>
  <c r="K185" i="6" s="1"/>
  <c r="M184" i="6"/>
  <c r="L184" i="6"/>
  <c r="O184" i="6"/>
  <c r="P184" i="6" s="1"/>
  <c r="N183" i="6"/>
  <c r="H184" i="6"/>
  <c r="R184" i="6" s="1"/>
  <c r="G183" i="6" l="1"/>
  <c r="I183" i="6"/>
  <c r="H185" i="6"/>
  <c r="R185" i="6" s="1"/>
  <c r="E186" i="6"/>
  <c r="J186" i="6"/>
  <c r="D186" i="6"/>
  <c r="K186" i="6" s="1"/>
  <c r="S186" i="6"/>
  <c r="Z186" i="6"/>
  <c r="C186" i="6"/>
  <c r="Q186" i="6" s="1"/>
  <c r="F186" i="6"/>
  <c r="B187" i="6"/>
  <c r="O185" i="6"/>
  <c r="P185" i="6" s="1"/>
  <c r="M185" i="6"/>
  <c r="L185" i="6"/>
  <c r="N184" i="6"/>
  <c r="H186" i="6" l="1"/>
  <c r="R186" i="6" s="1"/>
  <c r="G184" i="6"/>
  <c r="I184" i="6"/>
  <c r="L186" i="6"/>
  <c r="O186" i="6"/>
  <c r="P186" i="6" s="1"/>
  <c r="M186" i="6"/>
  <c r="N186" i="6" s="1"/>
  <c r="G186" i="6" s="1"/>
  <c r="N185" i="6"/>
  <c r="G185" i="6" s="1"/>
  <c r="S187" i="6"/>
  <c r="C187" i="6"/>
  <c r="Q187" i="6" s="1"/>
  <c r="Z187" i="6"/>
  <c r="D187" i="6"/>
  <c r="K187" i="6" s="1"/>
  <c r="F187" i="6"/>
  <c r="J187" i="6"/>
  <c r="B188" i="6"/>
  <c r="E187" i="6"/>
  <c r="I186" i="6" l="1"/>
  <c r="H187" i="6"/>
  <c r="R187" i="6" s="1"/>
  <c r="J188" i="6"/>
  <c r="F188" i="6"/>
  <c r="Z188" i="6"/>
  <c r="B189" i="6"/>
  <c r="D188" i="6"/>
  <c r="K188" i="6" s="1"/>
  <c r="C188" i="6"/>
  <c r="Q188" i="6" s="1"/>
  <c r="S188" i="6"/>
  <c r="E188" i="6"/>
  <c r="M187" i="6"/>
  <c r="O187" i="6"/>
  <c r="P187" i="6" s="1"/>
  <c r="L187" i="6"/>
  <c r="I185" i="6"/>
  <c r="O188" i="6" l="1"/>
  <c r="P188" i="6" s="1"/>
  <c r="M188" i="6"/>
  <c r="L188" i="6"/>
  <c r="J189" i="6"/>
  <c r="Z189" i="6"/>
  <c r="B190" i="6"/>
  <c r="D189" i="6"/>
  <c r="K189" i="6" s="1"/>
  <c r="C189" i="6"/>
  <c r="Q189" i="6" s="1"/>
  <c r="S189" i="6"/>
  <c r="F189" i="6"/>
  <c r="E189" i="6"/>
  <c r="N187" i="6"/>
  <c r="H188" i="6"/>
  <c r="R188" i="6" s="1"/>
  <c r="L189" i="6" l="1"/>
  <c r="O189" i="6"/>
  <c r="P189" i="6" s="1"/>
  <c r="M189" i="6"/>
  <c r="E190" i="6"/>
  <c r="J190" i="6"/>
  <c r="C190" i="6"/>
  <c r="Q190" i="6" s="1"/>
  <c r="B191" i="6"/>
  <c r="F190" i="6"/>
  <c r="S190" i="6"/>
  <c r="Z190" i="6"/>
  <c r="D190" i="6"/>
  <c r="K190" i="6" s="1"/>
  <c r="G187" i="6"/>
  <c r="I187" i="6"/>
  <c r="N188" i="6"/>
  <c r="H189" i="6"/>
  <c r="R189" i="6" s="1"/>
  <c r="N189" i="6" l="1"/>
  <c r="G189" i="6" s="1"/>
  <c r="S191" i="6"/>
  <c r="C191" i="6"/>
  <c r="Q191" i="6" s="1"/>
  <c r="B192" i="6"/>
  <c r="E191" i="6"/>
  <c r="J191" i="6"/>
  <c r="Z191" i="6"/>
  <c r="D191" i="6"/>
  <c r="K191" i="6" s="1"/>
  <c r="F191" i="6"/>
  <c r="G188" i="6"/>
  <c r="I188" i="6"/>
  <c r="H190" i="6"/>
  <c r="R190" i="6" s="1"/>
  <c r="I189" i="6"/>
  <c r="L190" i="6"/>
  <c r="O190" i="6"/>
  <c r="P190" i="6" s="1"/>
  <c r="M190" i="6"/>
  <c r="N190" i="6" s="1"/>
  <c r="G190" i="6" s="1"/>
  <c r="O191" i="6" l="1"/>
  <c r="P191" i="6" s="1"/>
  <c r="L191" i="6"/>
  <c r="M191" i="6"/>
  <c r="I190" i="6"/>
  <c r="H191" i="6"/>
  <c r="C192" i="6"/>
  <c r="Q192" i="6" s="1"/>
  <c r="F192" i="6"/>
  <c r="B193" i="6"/>
  <c r="E192" i="6"/>
  <c r="J192" i="6"/>
  <c r="D192" i="6"/>
  <c r="K192" i="6" s="1"/>
  <c r="S192" i="6"/>
  <c r="Z192" i="6"/>
  <c r="R191" i="6"/>
  <c r="F193" i="6" l="1"/>
  <c r="Z193" i="6"/>
  <c r="D193" i="6"/>
  <c r="K193" i="6" s="1"/>
  <c r="J193" i="6"/>
  <c r="B194" i="6"/>
  <c r="S193" i="6"/>
  <c r="C193" i="6"/>
  <c r="Q193" i="6" s="1"/>
  <c r="E193" i="6"/>
  <c r="H193" i="6" s="1"/>
  <c r="M192" i="6"/>
  <c r="O192" i="6"/>
  <c r="P192" i="6" s="1"/>
  <c r="L192" i="6"/>
  <c r="N191" i="6"/>
  <c r="G191" i="6" s="1"/>
  <c r="H192" i="6"/>
  <c r="R192" i="6" s="1"/>
  <c r="I191" i="6"/>
  <c r="N192" i="6" l="1"/>
  <c r="G192" i="6" s="1"/>
  <c r="R193" i="6"/>
  <c r="F194" i="6"/>
  <c r="S194" i="6"/>
  <c r="C194" i="6"/>
  <c r="Q194" i="6" s="1"/>
  <c r="Z194" i="6"/>
  <c r="E194" i="6"/>
  <c r="H194" i="6" s="1"/>
  <c r="R194" i="6" s="1"/>
  <c r="B195" i="6"/>
  <c r="J194" i="6"/>
  <c r="D194" i="6"/>
  <c r="K194" i="6" s="1"/>
  <c r="O193" i="6"/>
  <c r="P193" i="6" s="1"/>
  <c r="M193" i="6"/>
  <c r="L193" i="6"/>
  <c r="I192" i="6"/>
  <c r="D195" i="6" l="1"/>
  <c r="K195" i="6" s="1"/>
  <c r="F195" i="6"/>
  <c r="J195" i="6"/>
  <c r="B196" i="6"/>
  <c r="S195" i="6"/>
  <c r="Z195" i="6"/>
  <c r="C195" i="6"/>
  <c r="Q195" i="6" s="1"/>
  <c r="E195" i="6"/>
  <c r="N193" i="6"/>
  <c r="G193" i="6" s="1"/>
  <c r="L194" i="6"/>
  <c r="O194" i="6"/>
  <c r="P194" i="6" s="1"/>
  <c r="M194" i="6"/>
  <c r="H195" i="6" l="1"/>
  <c r="N194" i="6"/>
  <c r="Z196" i="6"/>
  <c r="D196" i="6"/>
  <c r="K196" i="6" s="1"/>
  <c r="C196" i="6"/>
  <c r="Q196" i="6" s="1"/>
  <c r="F196" i="6"/>
  <c r="B197" i="6"/>
  <c r="E196" i="6"/>
  <c r="J196" i="6"/>
  <c r="S196" i="6"/>
  <c r="O195" i="6"/>
  <c r="P195" i="6" s="1"/>
  <c r="M195" i="6"/>
  <c r="L195" i="6"/>
  <c r="R195" i="6"/>
  <c r="I193" i="6"/>
  <c r="H196" i="6" l="1"/>
  <c r="E197" i="6"/>
  <c r="S197" i="6"/>
  <c r="C197" i="6"/>
  <c r="Q197" i="6" s="1"/>
  <c r="D197" i="6"/>
  <c r="K197" i="6" s="1"/>
  <c r="F197" i="6"/>
  <c r="J197" i="6"/>
  <c r="B198" i="6"/>
  <c r="Z197" i="6"/>
  <c r="R196" i="6"/>
  <c r="L196" i="6"/>
  <c r="M196" i="6"/>
  <c r="N196" i="6" s="1"/>
  <c r="G196" i="6" s="1"/>
  <c r="O196" i="6"/>
  <c r="P196" i="6" s="1"/>
  <c r="N195" i="6"/>
  <c r="G195" i="6" s="1"/>
  <c r="G194" i="6"/>
  <c r="I194" i="6"/>
  <c r="I196" i="6" l="1"/>
  <c r="Z198" i="6"/>
  <c r="C198" i="6"/>
  <c r="Q198" i="6" s="1"/>
  <c r="J198" i="6"/>
  <c r="E198" i="6"/>
  <c r="B199" i="6"/>
  <c r="D198" i="6"/>
  <c r="K198" i="6" s="1"/>
  <c r="S198" i="6"/>
  <c r="F198" i="6"/>
  <c r="I195" i="6"/>
  <c r="O197" i="6"/>
  <c r="P197" i="6" s="1"/>
  <c r="M197" i="6"/>
  <c r="L197" i="6"/>
  <c r="H197" i="6"/>
  <c r="R197" i="6" s="1"/>
  <c r="L198" i="6" l="1"/>
  <c r="M198" i="6"/>
  <c r="N198" i="6" s="1"/>
  <c r="G198" i="6" s="1"/>
  <c r="O198" i="6"/>
  <c r="P198" i="6" s="1"/>
  <c r="Z199" i="6"/>
  <c r="D199" i="6"/>
  <c r="K199" i="6" s="1"/>
  <c r="E199" i="6"/>
  <c r="H199" i="6" s="1"/>
  <c r="R199" i="6" s="1"/>
  <c r="B200" i="6"/>
  <c r="S199" i="6"/>
  <c r="C199" i="6"/>
  <c r="Q199" i="6" s="1"/>
  <c r="J199" i="6"/>
  <c r="F199" i="6"/>
  <c r="H198" i="6"/>
  <c r="R198" i="6" s="1"/>
  <c r="N197" i="6"/>
  <c r="G197" i="6" s="1"/>
  <c r="D200" i="6" l="1"/>
  <c r="K200" i="6" s="1"/>
  <c r="J200" i="6"/>
  <c r="C200" i="6"/>
  <c r="Q200" i="6" s="1"/>
  <c r="B201" i="6"/>
  <c r="Z200" i="6"/>
  <c r="S200" i="6"/>
  <c r="F200" i="6"/>
  <c r="E200" i="6"/>
  <c r="H200" i="6" s="1"/>
  <c r="R200" i="6" s="1"/>
  <c r="M199" i="6"/>
  <c r="N199" i="6" s="1"/>
  <c r="G199" i="6" s="1"/>
  <c r="L199" i="6"/>
  <c r="O199" i="6"/>
  <c r="P199" i="6" s="1"/>
  <c r="I198" i="6"/>
  <c r="I197" i="6"/>
  <c r="I199" i="6" l="1"/>
  <c r="D201" i="6"/>
  <c r="K201" i="6" s="1"/>
  <c r="F201" i="6"/>
  <c r="E201" i="6"/>
  <c r="S201" i="6"/>
  <c r="B202" i="6"/>
  <c r="C201" i="6"/>
  <c r="Q201" i="6" s="1"/>
  <c r="J201" i="6"/>
  <c r="Z201" i="6"/>
  <c r="M200" i="6"/>
  <c r="L200" i="6"/>
  <c r="O200" i="6"/>
  <c r="P200" i="6" s="1"/>
  <c r="H201" i="6" l="1"/>
  <c r="N200" i="6"/>
  <c r="G200" i="6" s="1"/>
  <c r="Z202" i="6"/>
  <c r="D202" i="6"/>
  <c r="K202" i="6" s="1"/>
  <c r="J202" i="6"/>
  <c r="F202" i="6"/>
  <c r="S202" i="6"/>
  <c r="C202" i="6"/>
  <c r="Q202" i="6" s="1"/>
  <c r="E202" i="6"/>
  <c r="B203" i="6"/>
  <c r="R201" i="6"/>
  <c r="M201" i="6"/>
  <c r="O201" i="6"/>
  <c r="P201" i="6" s="1"/>
  <c r="L201" i="6"/>
  <c r="M202" i="6" l="1"/>
  <c r="O202" i="6"/>
  <c r="P202" i="6" s="1"/>
  <c r="L202" i="6"/>
  <c r="N201" i="6"/>
  <c r="G201" i="6" s="1"/>
  <c r="F203" i="6"/>
  <c r="E203" i="6"/>
  <c r="Z203" i="6"/>
  <c r="D203" i="6"/>
  <c r="K203" i="6" s="1"/>
  <c r="S203" i="6"/>
  <c r="C203" i="6"/>
  <c r="Q203" i="6" s="1"/>
  <c r="J203" i="6"/>
  <c r="B204" i="6"/>
  <c r="H202" i="6"/>
  <c r="R202" i="6" s="1"/>
  <c r="I200" i="6"/>
  <c r="N202" i="6" l="1"/>
  <c r="G202" i="6" s="1"/>
  <c r="H203" i="6"/>
  <c r="R203" i="6" s="1"/>
  <c r="C204" i="6"/>
  <c r="Q204" i="6" s="1"/>
  <c r="S204" i="6"/>
  <c r="J204" i="6"/>
  <c r="F204" i="6"/>
  <c r="Z204" i="6"/>
  <c r="D204" i="6"/>
  <c r="K204" i="6" s="1"/>
  <c r="E204" i="6"/>
  <c r="H204" i="6" s="1"/>
  <c r="R204" i="6" s="1"/>
  <c r="B205" i="6"/>
  <c r="M203" i="6"/>
  <c r="L203" i="6"/>
  <c r="O203" i="6"/>
  <c r="P203" i="6" s="1"/>
  <c r="I201" i="6"/>
  <c r="I202" i="6" l="1"/>
  <c r="O204" i="6"/>
  <c r="P204" i="6" s="1"/>
  <c r="L204" i="6"/>
  <c r="M204" i="6"/>
  <c r="N204" i="6" s="1"/>
  <c r="G204" i="6" s="1"/>
  <c r="N203" i="6"/>
  <c r="G203" i="6" s="1"/>
  <c r="S205" i="6"/>
  <c r="J205" i="6"/>
  <c r="Z205" i="6"/>
  <c r="D205" i="6"/>
  <c r="K205" i="6" s="1"/>
  <c r="E205" i="6"/>
  <c r="F205" i="6"/>
  <c r="B206" i="6"/>
  <c r="C205" i="6"/>
  <c r="Q205" i="6" s="1"/>
  <c r="E206" i="6" l="1"/>
  <c r="J206" i="6"/>
  <c r="F206" i="6"/>
  <c r="D206" i="6"/>
  <c r="K206" i="6" s="1"/>
  <c r="S206" i="6"/>
  <c r="C206" i="6"/>
  <c r="Q206" i="6" s="1"/>
  <c r="Z206" i="6"/>
  <c r="B207" i="6"/>
  <c r="I203" i="6"/>
  <c r="H205" i="6"/>
  <c r="R205" i="6" s="1"/>
  <c r="O205" i="6"/>
  <c r="P205" i="6" s="1"/>
  <c r="M205" i="6"/>
  <c r="N205" i="6" s="1"/>
  <c r="G205" i="6" s="1"/>
  <c r="L205" i="6"/>
  <c r="I204" i="6"/>
  <c r="S207" i="6" l="1"/>
  <c r="C207" i="6"/>
  <c r="Q207" i="6" s="1"/>
  <c r="B208" i="6"/>
  <c r="D207" i="6"/>
  <c r="K207" i="6" s="1"/>
  <c r="Z207" i="6"/>
  <c r="J207" i="6"/>
  <c r="E207" i="6"/>
  <c r="F207" i="6"/>
  <c r="L206" i="6"/>
  <c r="M206" i="6"/>
  <c r="N206" i="6" s="1"/>
  <c r="G206" i="6" s="1"/>
  <c r="O206" i="6"/>
  <c r="P206" i="6" s="1"/>
  <c r="I205" i="6"/>
  <c r="H206" i="6"/>
  <c r="R206" i="6" s="1"/>
  <c r="H207" i="6" l="1"/>
  <c r="R207" i="6" s="1"/>
  <c r="O207" i="6"/>
  <c r="P207" i="6" s="1"/>
  <c r="L207" i="6"/>
  <c r="M207" i="6"/>
  <c r="N207" i="6" s="1"/>
  <c r="G207" i="6" s="1"/>
  <c r="C208" i="6"/>
  <c r="Q208" i="6" s="1"/>
  <c r="B209" i="6"/>
  <c r="F208" i="6"/>
  <c r="E208" i="6"/>
  <c r="H208" i="6" s="1"/>
  <c r="Z208" i="6"/>
  <c r="D208" i="6"/>
  <c r="K208" i="6" s="1"/>
  <c r="J208" i="6"/>
  <c r="S208" i="6"/>
  <c r="I206" i="6"/>
  <c r="I207" i="6" l="1"/>
  <c r="R208" i="6"/>
  <c r="D209" i="6"/>
  <c r="K209" i="6" s="1"/>
  <c r="B210" i="6"/>
  <c r="E209" i="6"/>
  <c r="H209" i="6" s="1"/>
  <c r="S209" i="6"/>
  <c r="F209" i="6"/>
  <c r="Z209" i="6"/>
  <c r="C209" i="6"/>
  <c r="Q209" i="6" s="1"/>
  <c r="J209" i="6"/>
  <c r="L208" i="6"/>
  <c r="M208" i="6"/>
  <c r="O208" i="6"/>
  <c r="P208" i="6" s="1"/>
  <c r="R209" i="6" l="1"/>
  <c r="N208" i="6"/>
  <c r="J210" i="6"/>
  <c r="F210" i="6"/>
  <c r="C210" i="6"/>
  <c r="Q210" i="6" s="1"/>
  <c r="Z210" i="6"/>
  <c r="E210" i="6"/>
  <c r="S210" i="6"/>
  <c r="D210" i="6"/>
  <c r="K210" i="6" s="1"/>
  <c r="B211" i="6"/>
  <c r="O209" i="6"/>
  <c r="P209" i="6" s="1"/>
  <c r="M209" i="6"/>
  <c r="L209" i="6"/>
  <c r="H210" i="6" l="1"/>
  <c r="R210" i="6" s="1"/>
  <c r="N209" i="6"/>
  <c r="S211" i="6"/>
  <c r="C211" i="6"/>
  <c r="Q211" i="6" s="1"/>
  <c r="B212" i="6"/>
  <c r="Z211" i="6"/>
  <c r="D211" i="6"/>
  <c r="K211" i="6" s="1"/>
  <c r="J211" i="6"/>
  <c r="E211" i="6"/>
  <c r="H211" i="6" s="1"/>
  <c r="R211" i="6" s="1"/>
  <c r="F211" i="6"/>
  <c r="G208" i="6"/>
  <c r="I208" i="6"/>
  <c r="O210" i="6"/>
  <c r="P210" i="6" s="1"/>
  <c r="L210" i="6"/>
  <c r="M210" i="6"/>
  <c r="N210" i="6" s="1"/>
  <c r="G210" i="6" s="1"/>
  <c r="I210" i="6" l="1"/>
  <c r="E212" i="6"/>
  <c r="H212" i="6" s="1"/>
  <c r="Z212" i="6"/>
  <c r="D212" i="6"/>
  <c r="K212" i="6" s="1"/>
  <c r="B213" i="6"/>
  <c r="J212" i="6"/>
  <c r="S212" i="6"/>
  <c r="F212" i="6"/>
  <c r="C212" i="6"/>
  <c r="Q212" i="6" s="1"/>
  <c r="L211" i="6"/>
  <c r="O211" i="6"/>
  <c r="P211" i="6" s="1"/>
  <c r="M211" i="6"/>
  <c r="G209" i="6"/>
  <c r="I209" i="6"/>
  <c r="J213" i="6" l="1"/>
  <c r="E213" i="6"/>
  <c r="Z213" i="6"/>
  <c r="S213" i="6"/>
  <c r="B214" i="6"/>
  <c r="D213" i="6"/>
  <c r="K213" i="6" s="1"/>
  <c r="F213" i="6"/>
  <c r="C213" i="6"/>
  <c r="Q213" i="6" s="1"/>
  <c r="O212" i="6"/>
  <c r="P212" i="6" s="1"/>
  <c r="L212" i="6"/>
  <c r="M212" i="6"/>
  <c r="N211" i="6"/>
  <c r="G211" i="6" s="1"/>
  <c r="R212" i="6"/>
  <c r="N212" i="6" l="1"/>
  <c r="G212" i="6" s="1"/>
  <c r="L213" i="6"/>
  <c r="O213" i="6"/>
  <c r="P213" i="6" s="1"/>
  <c r="M213" i="6"/>
  <c r="I211" i="6"/>
  <c r="J214" i="6"/>
  <c r="F214" i="6"/>
  <c r="B215" i="6"/>
  <c r="C214" i="6"/>
  <c r="Q214" i="6" s="1"/>
  <c r="Z214" i="6"/>
  <c r="E214" i="6"/>
  <c r="S214" i="6"/>
  <c r="D214" i="6"/>
  <c r="K214" i="6" s="1"/>
  <c r="H213" i="6"/>
  <c r="R213" i="6" s="1"/>
  <c r="I212" i="6"/>
  <c r="N213" i="6" l="1"/>
  <c r="G213" i="6" s="1"/>
  <c r="S215" i="6"/>
  <c r="C215" i="6"/>
  <c r="Q215" i="6" s="1"/>
  <c r="F215" i="6"/>
  <c r="E215" i="6"/>
  <c r="Z215" i="6"/>
  <c r="D215" i="6"/>
  <c r="K215" i="6" s="1"/>
  <c r="B216" i="6"/>
  <c r="J215" i="6"/>
  <c r="O214" i="6"/>
  <c r="P214" i="6" s="1"/>
  <c r="M214" i="6"/>
  <c r="L214" i="6"/>
  <c r="H214" i="6"/>
  <c r="R214" i="6" s="1"/>
  <c r="H215" i="6" l="1"/>
  <c r="R215" i="6" s="1"/>
  <c r="I213" i="6"/>
  <c r="O215" i="6"/>
  <c r="P215" i="6" s="1"/>
  <c r="M215" i="6"/>
  <c r="L215" i="6"/>
  <c r="C216" i="6"/>
  <c r="Q216" i="6" s="1"/>
  <c r="B217" i="6"/>
  <c r="D216" i="6"/>
  <c r="K216" i="6" s="1"/>
  <c r="S216" i="6"/>
  <c r="J216" i="6"/>
  <c r="F216" i="6"/>
  <c r="Z216" i="6"/>
  <c r="E216" i="6"/>
  <c r="N214" i="6"/>
  <c r="N215" i="6" l="1"/>
  <c r="G215" i="6" s="1"/>
  <c r="M216" i="6"/>
  <c r="O216" i="6"/>
  <c r="P216" i="6" s="1"/>
  <c r="L216" i="6"/>
  <c r="J217" i="6"/>
  <c r="S217" i="6"/>
  <c r="F217" i="6"/>
  <c r="Z217" i="6"/>
  <c r="D217" i="6"/>
  <c r="K217" i="6" s="1"/>
  <c r="C217" i="6"/>
  <c r="Q217" i="6" s="1"/>
  <c r="B218" i="6"/>
  <c r="E217" i="6"/>
  <c r="G214" i="6"/>
  <c r="I214" i="6"/>
  <c r="H216" i="6"/>
  <c r="R216" i="6" s="1"/>
  <c r="I215" i="6"/>
  <c r="O217" i="6" l="1"/>
  <c r="P217" i="6" s="1"/>
  <c r="L217" i="6"/>
  <c r="M217" i="6"/>
  <c r="H217" i="6"/>
  <c r="R217" i="6" s="1"/>
  <c r="E218" i="6"/>
  <c r="Z218" i="6"/>
  <c r="D218" i="6"/>
  <c r="K218" i="6" s="1"/>
  <c r="C218" i="6"/>
  <c r="Q218" i="6" s="1"/>
  <c r="F218" i="6"/>
  <c r="S218" i="6"/>
  <c r="J218" i="6"/>
  <c r="B219" i="6"/>
  <c r="N216" i="6"/>
  <c r="G216" i="6" s="1"/>
  <c r="O218" i="6" l="1"/>
  <c r="P218" i="6" s="1"/>
  <c r="M218" i="6"/>
  <c r="L218" i="6"/>
  <c r="H218" i="6"/>
  <c r="R218" i="6" s="1"/>
  <c r="I216" i="6"/>
  <c r="D219" i="6"/>
  <c r="K219" i="6" s="1"/>
  <c r="J219" i="6"/>
  <c r="S219" i="6"/>
  <c r="C219" i="6"/>
  <c r="Q219" i="6" s="1"/>
  <c r="E219" i="6"/>
  <c r="Z219" i="6"/>
  <c r="F219" i="6"/>
  <c r="B220" i="6"/>
  <c r="N217" i="6"/>
  <c r="G217" i="6" s="1"/>
  <c r="O219" i="6" l="1"/>
  <c r="P219" i="6" s="1"/>
  <c r="L219" i="6"/>
  <c r="M219" i="6"/>
  <c r="B221" i="6"/>
  <c r="D220" i="6"/>
  <c r="K220" i="6" s="1"/>
  <c r="E220" i="6"/>
  <c r="H220" i="6" s="1"/>
  <c r="R220" i="6" s="1"/>
  <c r="C220" i="6"/>
  <c r="Q220" i="6" s="1"/>
  <c r="S220" i="6"/>
  <c r="F220" i="6"/>
  <c r="Z220" i="6"/>
  <c r="J220" i="6"/>
  <c r="H219" i="6"/>
  <c r="R219" i="6"/>
  <c r="N218" i="6"/>
  <c r="G218" i="6" s="1"/>
  <c r="I217" i="6"/>
  <c r="I218" i="6" l="1"/>
  <c r="L220" i="6"/>
  <c r="O220" i="6"/>
  <c r="P220" i="6" s="1"/>
  <c r="M220" i="6"/>
  <c r="E221" i="6"/>
  <c r="C221" i="6"/>
  <c r="Q221" i="6" s="1"/>
  <c r="F221" i="6"/>
  <c r="J221" i="6"/>
  <c r="B222" i="6"/>
  <c r="Z221" i="6"/>
  <c r="D221" i="6"/>
  <c r="K221" i="6" s="1"/>
  <c r="S221" i="6"/>
  <c r="N219" i="6"/>
  <c r="G219" i="6" s="1"/>
  <c r="I219" i="6" l="1"/>
  <c r="E222" i="6"/>
  <c r="Z222" i="6"/>
  <c r="F222" i="6"/>
  <c r="C222" i="6"/>
  <c r="Q222" i="6" s="1"/>
  <c r="B223" i="6"/>
  <c r="D222" i="6"/>
  <c r="K222" i="6" s="1"/>
  <c r="S222" i="6"/>
  <c r="J222" i="6"/>
  <c r="H221" i="6"/>
  <c r="R221" i="6" s="1"/>
  <c r="N220" i="6"/>
  <c r="G220" i="6" s="1"/>
  <c r="O221" i="6"/>
  <c r="P221" i="6" s="1"/>
  <c r="L221" i="6"/>
  <c r="M221" i="6"/>
  <c r="I220" i="6"/>
  <c r="H222" i="6" l="1"/>
  <c r="M222" i="6"/>
  <c r="O222" i="6"/>
  <c r="P222" i="6" s="1"/>
  <c r="L222" i="6"/>
  <c r="N221" i="6"/>
  <c r="G221" i="6" s="1"/>
  <c r="C223" i="6"/>
  <c r="Q223" i="6" s="1"/>
  <c r="Z223" i="6"/>
  <c r="J223" i="6"/>
  <c r="D223" i="6"/>
  <c r="K223" i="6" s="1"/>
  <c r="B224" i="6"/>
  <c r="E223" i="6"/>
  <c r="S223" i="6"/>
  <c r="F223" i="6"/>
  <c r="R222" i="6"/>
  <c r="I221" i="6" l="1"/>
  <c r="O223" i="6"/>
  <c r="P223" i="6" s="1"/>
  <c r="L223" i="6"/>
  <c r="M223" i="6"/>
  <c r="H223" i="6"/>
  <c r="R223" i="6" s="1"/>
  <c r="J224" i="6"/>
  <c r="B225" i="6"/>
  <c r="E224" i="6"/>
  <c r="S224" i="6"/>
  <c r="F224" i="6"/>
  <c r="D224" i="6"/>
  <c r="K224" i="6" s="1"/>
  <c r="Z224" i="6"/>
  <c r="C224" i="6"/>
  <c r="Q224" i="6" s="1"/>
  <c r="N222" i="6"/>
  <c r="H224" i="6" l="1"/>
  <c r="R224" i="6" s="1"/>
  <c r="J225" i="6"/>
  <c r="Z225" i="6"/>
  <c r="C225" i="6"/>
  <c r="Q225" i="6" s="1"/>
  <c r="F225" i="6"/>
  <c r="S225" i="6"/>
  <c r="D225" i="6"/>
  <c r="K225" i="6" s="1"/>
  <c r="E225" i="6"/>
  <c r="B226" i="6"/>
  <c r="G222" i="6"/>
  <c r="I222" i="6"/>
  <c r="N223" i="6"/>
  <c r="G223" i="6" s="1"/>
  <c r="O224" i="6"/>
  <c r="P224" i="6" s="1"/>
  <c r="L224" i="6"/>
  <c r="M224" i="6"/>
  <c r="N224" i="6" s="1"/>
  <c r="G224" i="6" s="1"/>
  <c r="H225" i="6" l="1"/>
  <c r="R225" i="6" s="1"/>
  <c r="I224" i="6"/>
  <c r="M225" i="6"/>
  <c r="O225" i="6"/>
  <c r="P225" i="6" s="1"/>
  <c r="L225" i="6"/>
  <c r="I223" i="6"/>
  <c r="J226" i="6"/>
  <c r="B227" i="6"/>
  <c r="E226" i="6"/>
  <c r="H226" i="6" s="1"/>
  <c r="R226" i="6" s="1"/>
  <c r="S226" i="6"/>
  <c r="F226" i="6"/>
  <c r="C226" i="6"/>
  <c r="Q226" i="6" s="1"/>
  <c r="Z226" i="6"/>
  <c r="D226" i="6"/>
  <c r="K226" i="6" s="1"/>
  <c r="J227" i="6" l="1"/>
  <c r="B228" i="6"/>
  <c r="S227" i="6"/>
  <c r="F227" i="6"/>
  <c r="Z227" i="6"/>
  <c r="C227" i="6"/>
  <c r="Q227" i="6" s="1"/>
  <c r="E227" i="6"/>
  <c r="H227" i="6" s="1"/>
  <c r="D227" i="6"/>
  <c r="K227" i="6" s="1"/>
  <c r="L226" i="6"/>
  <c r="O226" i="6"/>
  <c r="P226" i="6" s="1"/>
  <c r="M226" i="6"/>
  <c r="N225" i="6"/>
  <c r="G225" i="6" s="1"/>
  <c r="R227" i="6" l="1"/>
  <c r="N226" i="6"/>
  <c r="F228" i="6"/>
  <c r="E228" i="6"/>
  <c r="H228" i="6" s="1"/>
  <c r="B229" i="6"/>
  <c r="C228" i="6"/>
  <c r="Q228" i="6" s="1"/>
  <c r="R228" i="6" s="1"/>
  <c r="Z228" i="6"/>
  <c r="D228" i="6"/>
  <c r="K228" i="6" s="1"/>
  <c r="J228" i="6"/>
  <c r="S228" i="6"/>
  <c r="O227" i="6"/>
  <c r="P227" i="6" s="1"/>
  <c r="L227" i="6"/>
  <c r="M227" i="6"/>
  <c r="I225" i="6"/>
  <c r="M228" i="6" l="1"/>
  <c r="N228" i="6" s="1"/>
  <c r="G228" i="6" s="1"/>
  <c r="L228" i="6"/>
  <c r="O228" i="6"/>
  <c r="P228" i="6" s="1"/>
  <c r="N227" i="6"/>
  <c r="G227" i="6" s="1"/>
  <c r="S229" i="6"/>
  <c r="F229" i="6"/>
  <c r="D229" i="6"/>
  <c r="K229" i="6" s="1"/>
  <c r="B230" i="6"/>
  <c r="C229" i="6"/>
  <c r="Q229" i="6" s="1"/>
  <c r="Z229" i="6"/>
  <c r="J229" i="6"/>
  <c r="E229" i="6"/>
  <c r="I227" i="6"/>
  <c r="G226" i="6"/>
  <c r="I226" i="6"/>
  <c r="O229" i="6" l="1"/>
  <c r="P229" i="6" s="1"/>
  <c r="L229" i="6"/>
  <c r="M229" i="6"/>
  <c r="E230" i="6"/>
  <c r="F230" i="6"/>
  <c r="D230" i="6"/>
  <c r="K230" i="6" s="1"/>
  <c r="B231" i="6"/>
  <c r="S230" i="6"/>
  <c r="C230" i="6"/>
  <c r="Q230" i="6" s="1"/>
  <c r="Z230" i="6"/>
  <c r="J230" i="6"/>
  <c r="H229" i="6"/>
  <c r="R229" i="6" s="1"/>
  <c r="I228" i="6"/>
  <c r="Z231" i="6" l="1"/>
  <c r="J231" i="6"/>
  <c r="E231" i="6"/>
  <c r="S231" i="6"/>
  <c r="C231" i="6"/>
  <c r="Q231" i="6" s="1"/>
  <c r="D231" i="6"/>
  <c r="K231" i="6" s="1"/>
  <c r="F231" i="6"/>
  <c r="B232" i="6"/>
  <c r="L230" i="6"/>
  <c r="O230" i="6"/>
  <c r="P230" i="6" s="1"/>
  <c r="M230" i="6"/>
  <c r="H230" i="6"/>
  <c r="R230" i="6" s="1"/>
  <c r="N229" i="6"/>
  <c r="G229" i="6" s="1"/>
  <c r="M231" i="6" l="1"/>
  <c r="L231" i="6"/>
  <c r="O231" i="6"/>
  <c r="P231" i="6" s="1"/>
  <c r="H231" i="6"/>
  <c r="R231" i="6" s="1"/>
  <c r="N230" i="6"/>
  <c r="I229" i="6"/>
  <c r="J232" i="6"/>
  <c r="Z232" i="6"/>
  <c r="F232" i="6"/>
  <c r="D232" i="6"/>
  <c r="K232" i="6" s="1"/>
  <c r="B233" i="6"/>
  <c r="C232" i="6"/>
  <c r="Q232" i="6" s="1"/>
  <c r="E232" i="6"/>
  <c r="S232" i="6"/>
  <c r="H232" i="6" l="1"/>
  <c r="R232" i="6" s="1"/>
  <c r="N231" i="6"/>
  <c r="G231" i="6" s="1"/>
  <c r="G230" i="6"/>
  <c r="I230" i="6"/>
  <c r="D233" i="6"/>
  <c r="K233" i="6" s="1"/>
  <c r="C233" i="6"/>
  <c r="Q233" i="6" s="1"/>
  <c r="E233" i="6"/>
  <c r="H233" i="6" s="1"/>
  <c r="R233" i="6" s="1"/>
  <c r="J233" i="6"/>
  <c r="S233" i="6"/>
  <c r="F233" i="6"/>
  <c r="Z233" i="6"/>
  <c r="B234" i="6"/>
  <c r="O232" i="6"/>
  <c r="P232" i="6" s="1"/>
  <c r="L232" i="6"/>
  <c r="M232" i="6"/>
  <c r="I231" i="6" l="1"/>
  <c r="L233" i="6"/>
  <c r="O233" i="6"/>
  <c r="P233" i="6" s="1"/>
  <c r="M233" i="6"/>
  <c r="N232" i="6"/>
  <c r="G232" i="6" s="1"/>
  <c r="D234" i="6"/>
  <c r="K234" i="6" s="1"/>
  <c r="J234" i="6"/>
  <c r="B235" i="6"/>
  <c r="E234" i="6"/>
  <c r="H234" i="6" s="1"/>
  <c r="R234" i="6" s="1"/>
  <c r="S234" i="6"/>
  <c r="F234" i="6"/>
  <c r="C234" i="6"/>
  <c r="Q234" i="6" s="1"/>
  <c r="Z234" i="6"/>
  <c r="D235" i="6" l="1"/>
  <c r="K235" i="6" s="1"/>
  <c r="S235" i="6"/>
  <c r="Z235" i="6"/>
  <c r="J235" i="6"/>
  <c r="F235" i="6"/>
  <c r="B236" i="6"/>
  <c r="C235" i="6"/>
  <c r="Q235" i="6" s="1"/>
  <c r="E235" i="6"/>
  <c r="O234" i="6"/>
  <c r="P234" i="6" s="1"/>
  <c r="L234" i="6"/>
  <c r="M234" i="6"/>
  <c r="N233" i="6"/>
  <c r="I232" i="6"/>
  <c r="H235" i="6" l="1"/>
  <c r="R235" i="6" s="1"/>
  <c r="B237" i="6"/>
  <c r="S236" i="6"/>
  <c r="F236" i="6"/>
  <c r="E236" i="6"/>
  <c r="H236" i="6" s="1"/>
  <c r="J236" i="6"/>
  <c r="Z236" i="6"/>
  <c r="D236" i="6"/>
  <c r="K236" i="6" s="1"/>
  <c r="C236" i="6"/>
  <c r="Q236" i="6" s="1"/>
  <c r="G233" i="6"/>
  <c r="I233" i="6"/>
  <c r="N234" i="6"/>
  <c r="G234" i="6" s="1"/>
  <c r="O235" i="6"/>
  <c r="P235" i="6" s="1"/>
  <c r="L235" i="6"/>
  <c r="M235" i="6"/>
  <c r="N235" i="6" l="1"/>
  <c r="G235" i="6" s="1"/>
  <c r="R236" i="6"/>
  <c r="L236" i="6"/>
  <c r="O236" i="6"/>
  <c r="P236" i="6" s="1"/>
  <c r="M236" i="6"/>
  <c r="N236" i="6" s="1"/>
  <c r="G236" i="6" s="1"/>
  <c r="I234" i="6"/>
  <c r="E237" i="6"/>
  <c r="C237" i="6"/>
  <c r="Q237" i="6" s="1"/>
  <c r="J237" i="6"/>
  <c r="S237" i="6"/>
  <c r="B238" i="6"/>
  <c r="F237" i="6"/>
  <c r="Z237" i="6"/>
  <c r="D237" i="6"/>
  <c r="K237" i="6" s="1"/>
  <c r="H237" i="6" l="1"/>
  <c r="R237" i="6" s="1"/>
  <c r="I235" i="6"/>
  <c r="O237" i="6"/>
  <c r="P237" i="6" s="1"/>
  <c r="M237" i="6"/>
  <c r="L237" i="6"/>
  <c r="I236" i="6"/>
  <c r="S238" i="6"/>
  <c r="C238" i="6"/>
  <c r="Q238" i="6" s="1"/>
  <c r="D238" i="6"/>
  <c r="K238" i="6" s="1"/>
  <c r="E238" i="6"/>
  <c r="F238" i="6"/>
  <c r="B239" i="6"/>
  <c r="Z238" i="6"/>
  <c r="J238" i="6"/>
  <c r="H238" i="6" l="1"/>
  <c r="R238" i="6"/>
  <c r="L238" i="6"/>
  <c r="O238" i="6"/>
  <c r="P238" i="6" s="1"/>
  <c r="M238" i="6"/>
  <c r="J239" i="6"/>
  <c r="Z239" i="6"/>
  <c r="E239" i="6"/>
  <c r="D239" i="6"/>
  <c r="K239" i="6" s="1"/>
  <c r="S239" i="6"/>
  <c r="B240" i="6"/>
  <c r="F239" i="6"/>
  <c r="C239" i="6"/>
  <c r="Q239" i="6" s="1"/>
  <c r="N237" i="6"/>
  <c r="H239" i="6" l="1"/>
  <c r="O239" i="6"/>
  <c r="P239" i="6" s="1"/>
  <c r="M239" i="6"/>
  <c r="L239" i="6"/>
  <c r="G237" i="6"/>
  <c r="I237" i="6"/>
  <c r="R239" i="6"/>
  <c r="N238" i="6"/>
  <c r="G238" i="6" s="1"/>
  <c r="E240" i="6"/>
  <c r="S240" i="6"/>
  <c r="C240" i="6"/>
  <c r="Q240" i="6" s="1"/>
  <c r="D240" i="6"/>
  <c r="K240" i="6" s="1"/>
  <c r="Z240" i="6"/>
  <c r="F240" i="6"/>
  <c r="J240" i="6"/>
  <c r="B241" i="6"/>
  <c r="H240" i="6" l="1"/>
  <c r="O240" i="6"/>
  <c r="P240" i="6" s="1"/>
  <c r="M240" i="6"/>
  <c r="N240" i="6" s="1"/>
  <c r="G240" i="6" s="1"/>
  <c r="L240" i="6"/>
  <c r="R240" i="6"/>
  <c r="N239" i="6"/>
  <c r="G239" i="6" s="1"/>
  <c r="S241" i="6"/>
  <c r="F241" i="6"/>
  <c r="D241" i="6"/>
  <c r="K241" i="6" s="1"/>
  <c r="J241" i="6"/>
  <c r="C241" i="6"/>
  <c r="Q241" i="6" s="1"/>
  <c r="E241" i="6"/>
  <c r="Z241" i="6"/>
  <c r="B242" i="6"/>
  <c r="I238" i="6"/>
  <c r="I239" i="6" l="1"/>
  <c r="D242" i="6"/>
  <c r="K242" i="6" s="1"/>
  <c r="Z242" i="6"/>
  <c r="E242" i="6"/>
  <c r="H242" i="6" s="1"/>
  <c r="F242" i="6"/>
  <c r="S242" i="6"/>
  <c r="C242" i="6"/>
  <c r="Q242" i="6" s="1"/>
  <c r="B243" i="6"/>
  <c r="J242" i="6"/>
  <c r="H241" i="6"/>
  <c r="R241" i="6" s="1"/>
  <c r="M241" i="6"/>
  <c r="O241" i="6"/>
  <c r="P241" i="6" s="1"/>
  <c r="L241" i="6"/>
  <c r="I240" i="6"/>
  <c r="R242" i="6" l="1"/>
  <c r="J243" i="6"/>
  <c r="S243" i="6"/>
  <c r="F243" i="6"/>
  <c r="Z243" i="6"/>
  <c r="D243" i="6"/>
  <c r="K243" i="6" s="1"/>
  <c r="C243" i="6"/>
  <c r="Q243" i="6" s="1"/>
  <c r="B244" i="6"/>
  <c r="E243" i="6"/>
  <c r="N241" i="6"/>
  <c r="M242" i="6"/>
  <c r="L242" i="6"/>
  <c r="O242" i="6"/>
  <c r="P242" i="6" s="1"/>
  <c r="R243" i="6" l="1"/>
  <c r="H243" i="6"/>
  <c r="C244" i="6"/>
  <c r="Q244" i="6" s="1"/>
  <c r="Z244" i="6"/>
  <c r="D244" i="6"/>
  <c r="K244" i="6" s="1"/>
  <c r="J244" i="6"/>
  <c r="B245" i="6"/>
  <c r="S244" i="6"/>
  <c r="F244" i="6"/>
  <c r="E244" i="6"/>
  <c r="M243" i="6"/>
  <c r="N243" i="6" s="1"/>
  <c r="G243" i="6" s="1"/>
  <c r="O243" i="6"/>
  <c r="P243" i="6" s="1"/>
  <c r="L243" i="6"/>
  <c r="N242" i="6"/>
  <c r="G242" i="6" s="1"/>
  <c r="G241" i="6"/>
  <c r="I241" i="6"/>
  <c r="J245" i="6" l="1"/>
  <c r="F245" i="6"/>
  <c r="Z245" i="6"/>
  <c r="D245" i="6"/>
  <c r="K245" i="6" s="1"/>
  <c r="S245" i="6"/>
  <c r="C245" i="6"/>
  <c r="Q245" i="6" s="1"/>
  <c r="R245" i="6" s="1"/>
  <c r="B246" i="6"/>
  <c r="E245" i="6"/>
  <c r="H245" i="6" s="1"/>
  <c r="I242" i="6"/>
  <c r="L244" i="6"/>
  <c r="O244" i="6"/>
  <c r="P244" i="6" s="1"/>
  <c r="M244" i="6"/>
  <c r="H244" i="6"/>
  <c r="R244" i="6" s="1"/>
  <c r="I243" i="6"/>
  <c r="N244" i="6" l="1"/>
  <c r="G244" i="6" s="1"/>
  <c r="D246" i="6"/>
  <c r="K246" i="6" s="1"/>
  <c r="F246" i="6"/>
  <c r="S246" i="6"/>
  <c r="C246" i="6"/>
  <c r="Q246" i="6" s="1"/>
  <c r="J246" i="6"/>
  <c r="B247" i="6"/>
  <c r="Z246" i="6"/>
  <c r="E246" i="6"/>
  <c r="M245" i="6"/>
  <c r="L245" i="6"/>
  <c r="O245" i="6"/>
  <c r="P245" i="6" s="1"/>
  <c r="I244" i="6" l="1"/>
  <c r="N245" i="6"/>
  <c r="G245" i="6" s="1"/>
  <c r="H246" i="6"/>
  <c r="R246" i="6" s="1"/>
  <c r="M246" i="6"/>
  <c r="O246" i="6"/>
  <c r="P246" i="6" s="1"/>
  <c r="L246" i="6"/>
  <c r="D247" i="6"/>
  <c r="K247" i="6" s="1"/>
  <c r="J247" i="6"/>
  <c r="B248" i="6"/>
  <c r="E247" i="6"/>
  <c r="C247" i="6"/>
  <c r="Q247" i="6" s="1"/>
  <c r="S247" i="6"/>
  <c r="F247" i="6"/>
  <c r="Z247" i="6"/>
  <c r="N246" i="6" l="1"/>
  <c r="G246" i="6" s="1"/>
  <c r="M247" i="6"/>
  <c r="N247" i="6" s="1"/>
  <c r="G247" i="6" s="1"/>
  <c r="L247" i="6"/>
  <c r="O247" i="6"/>
  <c r="P247" i="6" s="1"/>
  <c r="H247" i="6"/>
  <c r="R247" i="6" s="1"/>
  <c r="Z248" i="6"/>
  <c r="E248" i="6"/>
  <c r="D248" i="6"/>
  <c r="K248" i="6" s="1"/>
  <c r="B249" i="6"/>
  <c r="S248" i="6"/>
  <c r="C248" i="6"/>
  <c r="Q248" i="6" s="1"/>
  <c r="F248" i="6"/>
  <c r="J248" i="6"/>
  <c r="I245" i="6"/>
  <c r="H248" i="6" l="1"/>
  <c r="R248" i="6" s="1"/>
  <c r="I246" i="6"/>
  <c r="O248" i="6"/>
  <c r="P248" i="6" s="1"/>
  <c r="M248" i="6"/>
  <c r="L248" i="6"/>
  <c r="S249" i="6"/>
  <c r="B250" i="6"/>
  <c r="E249" i="6"/>
  <c r="J249" i="6"/>
  <c r="Z249" i="6"/>
  <c r="D249" i="6"/>
  <c r="K249" i="6" s="1"/>
  <c r="C249" i="6"/>
  <c r="Q249" i="6" s="1"/>
  <c r="F249" i="6"/>
  <c r="I247" i="6"/>
  <c r="H249" i="6" l="1"/>
  <c r="R249" i="6" s="1"/>
  <c r="N248" i="6"/>
  <c r="G248" i="6" s="1"/>
  <c r="C250" i="6"/>
  <c r="Q250" i="6" s="1"/>
  <c r="Z250" i="6"/>
  <c r="D250" i="6"/>
  <c r="K250" i="6" s="1"/>
  <c r="J250" i="6"/>
  <c r="F250" i="6"/>
  <c r="B251" i="6"/>
  <c r="E250" i="6"/>
  <c r="S250" i="6"/>
  <c r="O249" i="6"/>
  <c r="P249" i="6" s="1"/>
  <c r="M249" i="6"/>
  <c r="L249" i="6"/>
  <c r="I248" i="6" l="1"/>
  <c r="H250" i="6"/>
  <c r="C251" i="6"/>
  <c r="Q251" i="6" s="1"/>
  <c r="S251" i="6"/>
  <c r="F251" i="6"/>
  <c r="Z251" i="6"/>
  <c r="D251" i="6"/>
  <c r="K251" i="6" s="1"/>
  <c r="J251" i="6"/>
  <c r="B252" i="6"/>
  <c r="E251" i="6"/>
  <c r="H251" i="6" s="1"/>
  <c r="M250" i="6"/>
  <c r="O250" i="6"/>
  <c r="P250" i="6" s="1"/>
  <c r="L250" i="6"/>
  <c r="N249" i="6"/>
  <c r="R250" i="6"/>
  <c r="N250" i="6" l="1"/>
  <c r="G250" i="6" s="1"/>
  <c r="Z252" i="6"/>
  <c r="D252" i="6"/>
  <c r="K252" i="6" s="1"/>
  <c r="S252" i="6"/>
  <c r="F252" i="6"/>
  <c r="J252" i="6"/>
  <c r="B253" i="6"/>
  <c r="C252" i="6"/>
  <c r="Q252" i="6" s="1"/>
  <c r="E252" i="6"/>
  <c r="O251" i="6"/>
  <c r="P251" i="6" s="1"/>
  <c r="M251" i="6"/>
  <c r="L251" i="6"/>
  <c r="G249" i="6"/>
  <c r="I249" i="6"/>
  <c r="I250" i="6"/>
  <c r="R251" i="6"/>
  <c r="N251" i="6" l="1"/>
  <c r="G251" i="6" s="1"/>
  <c r="H252" i="6"/>
  <c r="R252" i="6" s="1"/>
  <c r="F253" i="6"/>
  <c r="S253" i="6"/>
  <c r="E253" i="6"/>
  <c r="Z253" i="6"/>
  <c r="C253" i="6"/>
  <c r="Q253" i="6" s="1"/>
  <c r="J253" i="6"/>
  <c r="B254" i="6"/>
  <c r="D253" i="6"/>
  <c r="K253" i="6" s="1"/>
  <c r="L252" i="6"/>
  <c r="O252" i="6"/>
  <c r="P252" i="6" s="1"/>
  <c r="M252" i="6"/>
  <c r="N252" i="6" s="1"/>
  <c r="G252" i="6" s="1"/>
  <c r="I251" i="6"/>
  <c r="L253" i="6" l="1"/>
  <c r="O253" i="6"/>
  <c r="P253" i="6" s="1"/>
  <c r="M253" i="6"/>
  <c r="D254" i="6"/>
  <c r="K254" i="6" s="1"/>
  <c r="J254" i="6"/>
  <c r="B255" i="6"/>
  <c r="E254" i="6"/>
  <c r="H254" i="6" s="1"/>
  <c r="Z254" i="6"/>
  <c r="S254" i="6"/>
  <c r="C254" i="6"/>
  <c r="Q254" i="6" s="1"/>
  <c r="F254" i="6"/>
  <c r="H253" i="6"/>
  <c r="R253" i="6" s="1"/>
  <c r="I252" i="6"/>
  <c r="R254" i="6" l="1"/>
  <c r="S255" i="6"/>
  <c r="C255" i="6"/>
  <c r="Q255" i="6" s="1"/>
  <c r="D255" i="6"/>
  <c r="K255" i="6" s="1"/>
  <c r="E255" i="6"/>
  <c r="J255" i="6"/>
  <c r="F255" i="6"/>
  <c r="B256" i="6"/>
  <c r="Z255" i="6"/>
  <c r="M254" i="6"/>
  <c r="O254" i="6"/>
  <c r="P254" i="6" s="1"/>
  <c r="L254" i="6"/>
  <c r="N253" i="6"/>
  <c r="G253" i="6" s="1"/>
  <c r="C256" i="6" l="1"/>
  <c r="Q256" i="6" s="1"/>
  <c r="B257" i="6"/>
  <c r="E256" i="6"/>
  <c r="Z256" i="6"/>
  <c r="D256" i="6"/>
  <c r="K256" i="6" s="1"/>
  <c r="F256" i="6"/>
  <c r="S256" i="6"/>
  <c r="J256" i="6"/>
  <c r="I253" i="6"/>
  <c r="H255" i="6"/>
  <c r="O255" i="6"/>
  <c r="P255" i="6" s="1"/>
  <c r="L255" i="6"/>
  <c r="M255" i="6"/>
  <c r="N255" i="6" s="1"/>
  <c r="G255" i="6" s="1"/>
  <c r="R255" i="6"/>
  <c r="N254" i="6"/>
  <c r="G254" i="6" s="1"/>
  <c r="I255" i="6" l="1"/>
  <c r="M256" i="6"/>
  <c r="O256" i="6"/>
  <c r="P256" i="6" s="1"/>
  <c r="L256" i="6"/>
  <c r="H256" i="6"/>
  <c r="R256" i="6" s="1"/>
  <c r="F257" i="6"/>
  <c r="E257" i="6"/>
  <c r="H257" i="6" s="1"/>
  <c r="R257" i="6" s="1"/>
  <c r="Z257" i="6"/>
  <c r="J257" i="6"/>
  <c r="B258" i="6"/>
  <c r="D257" i="6"/>
  <c r="K257" i="6" s="1"/>
  <c r="C257" i="6"/>
  <c r="Q257" i="6" s="1"/>
  <c r="S257" i="6"/>
  <c r="I254" i="6"/>
  <c r="O257" i="6" l="1"/>
  <c r="P257" i="6" s="1"/>
  <c r="M257" i="6"/>
  <c r="L257" i="6"/>
  <c r="J258" i="6"/>
  <c r="B259" i="6"/>
  <c r="S258" i="6"/>
  <c r="D258" i="6"/>
  <c r="K258" i="6" s="1"/>
  <c r="E258" i="6"/>
  <c r="H258" i="6" s="1"/>
  <c r="R258" i="6" s="1"/>
  <c r="C258" i="6"/>
  <c r="Q258" i="6" s="1"/>
  <c r="F258" i="6"/>
  <c r="Z258" i="6"/>
  <c r="N256" i="6"/>
  <c r="G256" i="6" s="1"/>
  <c r="O258" i="6" l="1"/>
  <c r="P258" i="6" s="1"/>
  <c r="L258" i="6"/>
  <c r="M258" i="6"/>
  <c r="D259" i="6"/>
  <c r="K259" i="6" s="1"/>
  <c r="E259" i="6"/>
  <c r="H259" i="6" s="1"/>
  <c r="S259" i="6"/>
  <c r="C259" i="6"/>
  <c r="Q259" i="6" s="1"/>
  <c r="B260" i="6"/>
  <c r="Z259" i="6"/>
  <c r="F259" i="6"/>
  <c r="J259" i="6"/>
  <c r="N257" i="6"/>
  <c r="G257" i="6" s="1"/>
  <c r="I256" i="6"/>
  <c r="R259" i="6" l="1"/>
  <c r="M259" i="6"/>
  <c r="N259" i="6" s="1"/>
  <c r="G259" i="6" s="1"/>
  <c r="L259" i="6"/>
  <c r="O259" i="6"/>
  <c r="P259" i="6" s="1"/>
  <c r="N258" i="6"/>
  <c r="G258" i="6" s="1"/>
  <c r="F260" i="6"/>
  <c r="Z260" i="6"/>
  <c r="D260" i="6"/>
  <c r="K260" i="6" s="1"/>
  <c r="S260" i="6"/>
  <c r="B261" i="6"/>
  <c r="E260" i="6"/>
  <c r="J260" i="6"/>
  <c r="C260" i="6"/>
  <c r="Q260" i="6" s="1"/>
  <c r="I257" i="6"/>
  <c r="M260" i="6" l="1"/>
  <c r="N260" i="6" s="1"/>
  <c r="G260" i="6" s="1"/>
  <c r="L260" i="6"/>
  <c r="O260" i="6"/>
  <c r="P260" i="6" s="1"/>
  <c r="I258" i="6"/>
  <c r="I259" i="6"/>
  <c r="H260" i="6"/>
  <c r="R260" i="6" s="1"/>
  <c r="Z261" i="6"/>
  <c r="J261" i="6"/>
  <c r="S261" i="6"/>
  <c r="C261" i="6"/>
  <c r="Q261" i="6" s="1"/>
  <c r="B262" i="6"/>
  <c r="E261" i="6"/>
  <c r="F261" i="6"/>
  <c r="D261" i="6"/>
  <c r="K261" i="6" s="1"/>
  <c r="M261" i="6" l="1"/>
  <c r="O261" i="6"/>
  <c r="P261" i="6" s="1"/>
  <c r="L261" i="6"/>
  <c r="H261" i="6"/>
  <c r="R261" i="6" s="1"/>
  <c r="C262" i="6"/>
  <c r="Q262" i="6" s="1"/>
  <c r="F262" i="6"/>
  <c r="B263" i="6"/>
  <c r="Z262" i="6"/>
  <c r="J262" i="6"/>
  <c r="S262" i="6"/>
  <c r="E262" i="6"/>
  <c r="D262" i="6"/>
  <c r="K262" i="6" s="1"/>
  <c r="I260" i="6"/>
  <c r="N261" i="6" l="1"/>
  <c r="G261" i="6" s="1"/>
  <c r="F263" i="6"/>
  <c r="S263" i="6"/>
  <c r="C263" i="6"/>
  <c r="Q263" i="6" s="1"/>
  <c r="J263" i="6"/>
  <c r="D263" i="6"/>
  <c r="K263" i="6" s="1"/>
  <c r="Z263" i="6"/>
  <c r="E263" i="6"/>
  <c r="B264" i="6"/>
  <c r="O262" i="6"/>
  <c r="P262" i="6" s="1"/>
  <c r="M262" i="6"/>
  <c r="L262" i="6"/>
  <c r="H262" i="6"/>
  <c r="R262" i="6" s="1"/>
  <c r="I261" i="6" l="1"/>
  <c r="N262" i="6"/>
  <c r="H263" i="6"/>
  <c r="M263" i="6"/>
  <c r="O263" i="6"/>
  <c r="P263" i="6" s="1"/>
  <c r="L263" i="6"/>
  <c r="Z264" i="6"/>
  <c r="B265" i="6"/>
  <c r="E264" i="6"/>
  <c r="H264" i="6" s="1"/>
  <c r="J264" i="6"/>
  <c r="S264" i="6"/>
  <c r="C264" i="6"/>
  <c r="Q264" i="6" s="1"/>
  <c r="F264" i="6"/>
  <c r="D264" i="6"/>
  <c r="K264" i="6" s="1"/>
  <c r="R263" i="6"/>
  <c r="G262" i="6" l="1"/>
  <c r="I262" i="6"/>
  <c r="F265" i="6"/>
  <c r="S265" i="6"/>
  <c r="J265" i="6"/>
  <c r="B266" i="6"/>
  <c r="E265" i="6"/>
  <c r="Z265" i="6"/>
  <c r="D265" i="6"/>
  <c r="K265" i="6" s="1"/>
  <c r="C265" i="6"/>
  <c r="Q265" i="6" s="1"/>
  <c r="M264" i="6"/>
  <c r="N264" i="6" s="1"/>
  <c r="G264" i="6" s="1"/>
  <c r="O264" i="6"/>
  <c r="P264" i="6" s="1"/>
  <c r="L264" i="6"/>
  <c r="N263" i="6"/>
  <c r="R264" i="6"/>
  <c r="H265" i="6" l="1"/>
  <c r="R265" i="6" s="1"/>
  <c r="I264" i="6"/>
  <c r="L265" i="6"/>
  <c r="O265" i="6"/>
  <c r="P265" i="6" s="1"/>
  <c r="M265" i="6"/>
  <c r="N265" i="6" s="1"/>
  <c r="G265" i="6" s="1"/>
  <c r="G263" i="6"/>
  <c r="I263" i="6"/>
  <c r="J266" i="6"/>
  <c r="F266" i="6"/>
  <c r="S266" i="6"/>
  <c r="C266" i="6"/>
  <c r="Q266" i="6" s="1"/>
  <c r="D266" i="6"/>
  <c r="K266" i="6" s="1"/>
  <c r="B267" i="6"/>
  <c r="E266" i="6"/>
  <c r="Z266" i="6"/>
  <c r="I265" i="6" l="1"/>
  <c r="H266" i="6"/>
  <c r="R266" i="6" s="1"/>
  <c r="S267" i="6"/>
  <c r="C267" i="6"/>
  <c r="Q267" i="6" s="1"/>
  <c r="B268" i="6"/>
  <c r="J267" i="6"/>
  <c r="E267" i="6"/>
  <c r="Z267" i="6"/>
  <c r="D267" i="6"/>
  <c r="K267" i="6" s="1"/>
  <c r="F267" i="6"/>
  <c r="O266" i="6"/>
  <c r="P266" i="6" s="1"/>
  <c r="M266" i="6"/>
  <c r="N266" i="6" s="1"/>
  <c r="G266" i="6" s="1"/>
  <c r="L266" i="6"/>
  <c r="H267" i="6" l="1"/>
  <c r="R267" i="6" s="1"/>
  <c r="L267" i="6"/>
  <c r="O267" i="6"/>
  <c r="P267" i="6" s="1"/>
  <c r="M267" i="6"/>
  <c r="S268" i="6"/>
  <c r="J268" i="6"/>
  <c r="D268" i="6"/>
  <c r="K268" i="6" s="1"/>
  <c r="Z268" i="6"/>
  <c r="C268" i="6"/>
  <c r="Q268" i="6" s="1"/>
  <c r="E268" i="6"/>
  <c r="H268" i="6" s="1"/>
  <c r="F268" i="6"/>
  <c r="B269" i="6"/>
  <c r="I266" i="6"/>
  <c r="O268" i="6" l="1"/>
  <c r="P268" i="6" s="1"/>
  <c r="L268" i="6"/>
  <c r="M268" i="6"/>
  <c r="N268" i="6" s="1"/>
  <c r="G268" i="6" s="1"/>
  <c r="C269" i="6"/>
  <c r="Q269" i="6" s="1"/>
  <c r="B270" i="6"/>
  <c r="E269" i="6"/>
  <c r="H269" i="6" s="1"/>
  <c r="D269" i="6"/>
  <c r="K269" i="6" s="1"/>
  <c r="Z269" i="6"/>
  <c r="S269" i="6"/>
  <c r="J269" i="6"/>
  <c r="F269" i="6"/>
  <c r="N267" i="6"/>
  <c r="G267" i="6" s="1"/>
  <c r="R268" i="6"/>
  <c r="I267" i="6" l="1"/>
  <c r="D270" i="6"/>
  <c r="K270" i="6" s="1"/>
  <c r="Z270" i="6"/>
  <c r="E270" i="6"/>
  <c r="H270" i="6" s="1"/>
  <c r="R270" i="6" s="1"/>
  <c r="F270" i="6"/>
  <c r="B271" i="6"/>
  <c r="J270" i="6"/>
  <c r="S270" i="6"/>
  <c r="C270" i="6"/>
  <c r="Q270" i="6" s="1"/>
  <c r="R269" i="6"/>
  <c r="M269" i="6"/>
  <c r="L269" i="6"/>
  <c r="O269" i="6"/>
  <c r="P269" i="6" s="1"/>
  <c r="I268" i="6"/>
  <c r="E271" i="6" l="1"/>
  <c r="F271" i="6"/>
  <c r="B272" i="6"/>
  <c r="D271" i="6"/>
  <c r="K271" i="6" s="1"/>
  <c r="Z271" i="6"/>
  <c r="C271" i="6"/>
  <c r="Q271" i="6" s="1"/>
  <c r="J271" i="6"/>
  <c r="S271" i="6"/>
  <c r="N269" i="6"/>
  <c r="G269" i="6" s="1"/>
  <c r="L270" i="6"/>
  <c r="M270" i="6"/>
  <c r="O270" i="6"/>
  <c r="P270" i="6" s="1"/>
  <c r="O271" i="6" l="1"/>
  <c r="P271" i="6" s="1"/>
  <c r="L271" i="6"/>
  <c r="M271" i="6"/>
  <c r="N270" i="6"/>
  <c r="G270" i="6" s="1"/>
  <c r="D272" i="6"/>
  <c r="K272" i="6" s="1"/>
  <c r="B273" i="6"/>
  <c r="C272" i="6"/>
  <c r="Q272" i="6" s="1"/>
  <c r="J272" i="6"/>
  <c r="S272" i="6"/>
  <c r="E272" i="6"/>
  <c r="Z272" i="6"/>
  <c r="F272" i="6"/>
  <c r="H271" i="6"/>
  <c r="R271" i="6" s="1"/>
  <c r="I269" i="6"/>
  <c r="N271" i="6" l="1"/>
  <c r="G271" i="6" s="1"/>
  <c r="H272" i="6"/>
  <c r="R272" i="6" s="1"/>
  <c r="M272" i="6"/>
  <c r="L272" i="6"/>
  <c r="O272" i="6"/>
  <c r="P272" i="6" s="1"/>
  <c r="B274" i="6"/>
  <c r="J273" i="6"/>
  <c r="F273" i="6"/>
  <c r="D273" i="6"/>
  <c r="K273" i="6" s="1"/>
  <c r="S273" i="6"/>
  <c r="E273" i="6"/>
  <c r="Z273" i="6"/>
  <c r="C273" i="6"/>
  <c r="Q273" i="6" s="1"/>
  <c r="I270" i="6"/>
  <c r="I271" i="6" l="1"/>
  <c r="M273" i="6"/>
  <c r="L273" i="6"/>
  <c r="O273" i="6"/>
  <c r="P273" i="6" s="1"/>
  <c r="F274" i="6"/>
  <c r="B275" i="6"/>
  <c r="C274" i="6"/>
  <c r="Q274" i="6" s="1"/>
  <c r="E274" i="6"/>
  <c r="D274" i="6"/>
  <c r="K274" i="6" s="1"/>
  <c r="S274" i="6"/>
  <c r="Z274" i="6"/>
  <c r="J274" i="6"/>
  <c r="H273" i="6"/>
  <c r="R273" i="6" s="1"/>
  <c r="N272" i="6"/>
  <c r="G272" i="6" s="1"/>
  <c r="N273" i="6" l="1"/>
  <c r="G273" i="6" s="1"/>
  <c r="O274" i="6"/>
  <c r="P274" i="6" s="1"/>
  <c r="L274" i="6"/>
  <c r="M274" i="6"/>
  <c r="N274" i="6" s="1"/>
  <c r="G274" i="6" s="1"/>
  <c r="I272" i="6"/>
  <c r="F275" i="6"/>
  <c r="Z275" i="6"/>
  <c r="B276" i="6"/>
  <c r="C275" i="6"/>
  <c r="Q275" i="6" s="1"/>
  <c r="J275" i="6"/>
  <c r="D275" i="6"/>
  <c r="K275" i="6" s="1"/>
  <c r="E275" i="6"/>
  <c r="S275" i="6"/>
  <c r="H274" i="6"/>
  <c r="R274" i="6" s="1"/>
  <c r="I273" i="6"/>
  <c r="H275" i="6" l="1"/>
  <c r="R275" i="6" s="1"/>
  <c r="C276" i="6"/>
  <c r="Q276" i="6" s="1"/>
  <c r="B277" i="6"/>
  <c r="F276" i="6"/>
  <c r="J276" i="6"/>
  <c r="E276" i="6"/>
  <c r="S276" i="6"/>
  <c r="Z276" i="6"/>
  <c r="D276" i="6"/>
  <c r="K276" i="6" s="1"/>
  <c r="I274" i="6"/>
  <c r="O275" i="6"/>
  <c r="P275" i="6" s="1"/>
  <c r="M275" i="6"/>
  <c r="L275" i="6"/>
  <c r="N275" i="6" l="1"/>
  <c r="G275" i="6" s="1"/>
  <c r="L276" i="6"/>
  <c r="O276" i="6"/>
  <c r="P276" i="6" s="1"/>
  <c r="M276" i="6"/>
  <c r="H276" i="6"/>
  <c r="R276" i="6" s="1"/>
  <c r="B278" i="6"/>
  <c r="E277" i="6"/>
  <c r="F277" i="6"/>
  <c r="D277" i="6"/>
  <c r="K277" i="6" s="1"/>
  <c r="J277" i="6"/>
  <c r="C277" i="6"/>
  <c r="Q277" i="6" s="1"/>
  <c r="S277" i="6"/>
  <c r="Z277" i="6"/>
  <c r="H277" i="6" l="1"/>
  <c r="R277" i="6" s="1"/>
  <c r="I275" i="6"/>
  <c r="Z278" i="6"/>
  <c r="E278" i="6"/>
  <c r="H278" i="6" s="1"/>
  <c r="D278" i="6"/>
  <c r="K278" i="6" s="1"/>
  <c r="F278" i="6"/>
  <c r="C278" i="6"/>
  <c r="Q278" i="6" s="1"/>
  <c r="S278" i="6"/>
  <c r="J278" i="6"/>
  <c r="B279" i="6"/>
  <c r="M277" i="6"/>
  <c r="O277" i="6"/>
  <c r="P277" i="6" s="1"/>
  <c r="L277" i="6"/>
  <c r="N276" i="6"/>
  <c r="G276" i="6" s="1"/>
  <c r="I276" i="6" l="1"/>
  <c r="N277" i="6"/>
  <c r="B280" i="6"/>
  <c r="D279" i="6"/>
  <c r="K279" i="6" s="1"/>
  <c r="C279" i="6"/>
  <c r="Q279" i="6" s="1"/>
  <c r="J279" i="6"/>
  <c r="E279" i="6"/>
  <c r="H279" i="6" s="1"/>
  <c r="Z279" i="6"/>
  <c r="S279" i="6"/>
  <c r="F279" i="6"/>
  <c r="M278" i="6"/>
  <c r="L278" i="6"/>
  <c r="O278" i="6"/>
  <c r="P278" i="6" s="1"/>
  <c r="R278" i="6"/>
  <c r="R279" i="6" l="1"/>
  <c r="L279" i="6"/>
  <c r="O279" i="6"/>
  <c r="P279" i="6" s="1"/>
  <c r="M279" i="6"/>
  <c r="N279" i="6" s="1"/>
  <c r="G279" i="6" s="1"/>
  <c r="N278" i="6"/>
  <c r="G278" i="6" s="1"/>
  <c r="C280" i="6"/>
  <c r="Q280" i="6" s="1"/>
  <c r="B281" i="6"/>
  <c r="S280" i="6"/>
  <c r="J280" i="6"/>
  <c r="Z280" i="6"/>
  <c r="E280" i="6"/>
  <c r="D280" i="6"/>
  <c r="K280" i="6" s="1"/>
  <c r="F280" i="6"/>
  <c r="G277" i="6"/>
  <c r="I277" i="6"/>
  <c r="I279" i="6"/>
  <c r="H280" i="6" l="1"/>
  <c r="R280" i="6" s="1"/>
  <c r="D281" i="6"/>
  <c r="K281" i="6" s="1"/>
  <c r="F281" i="6"/>
  <c r="S281" i="6"/>
  <c r="E281" i="6"/>
  <c r="H281" i="6" s="1"/>
  <c r="Z281" i="6"/>
  <c r="J281" i="6"/>
  <c r="B282" i="6"/>
  <c r="C281" i="6"/>
  <c r="Q281" i="6" s="1"/>
  <c r="M280" i="6"/>
  <c r="L280" i="6"/>
  <c r="O280" i="6"/>
  <c r="P280" i="6" s="1"/>
  <c r="I278" i="6"/>
  <c r="R281" i="6" l="1"/>
  <c r="N280" i="6"/>
  <c r="G280" i="6" s="1"/>
  <c r="J282" i="6"/>
  <c r="B283" i="6"/>
  <c r="C282" i="6"/>
  <c r="Q282" i="6" s="1"/>
  <c r="D282" i="6"/>
  <c r="K282" i="6" s="1"/>
  <c r="S282" i="6"/>
  <c r="E282" i="6"/>
  <c r="F282" i="6"/>
  <c r="Z282" i="6"/>
  <c r="L281" i="6"/>
  <c r="O281" i="6"/>
  <c r="P281" i="6" s="1"/>
  <c r="M281" i="6"/>
  <c r="N281" i="6" s="1"/>
  <c r="G281" i="6" s="1"/>
  <c r="I280" i="6" l="1"/>
  <c r="H282" i="6"/>
  <c r="R282" i="6" s="1"/>
  <c r="L282" i="6"/>
  <c r="M282" i="6"/>
  <c r="O282" i="6"/>
  <c r="P282" i="6" s="1"/>
  <c r="E283" i="6"/>
  <c r="C283" i="6"/>
  <c r="Q283" i="6" s="1"/>
  <c r="D283" i="6"/>
  <c r="K283" i="6" s="1"/>
  <c r="Z283" i="6"/>
  <c r="B284" i="6"/>
  <c r="S283" i="6"/>
  <c r="J283" i="6"/>
  <c r="F283" i="6"/>
  <c r="I281" i="6"/>
  <c r="B285" i="6" l="1"/>
  <c r="S284" i="6"/>
  <c r="J284" i="6"/>
  <c r="E284" i="6"/>
  <c r="Z284" i="6"/>
  <c r="C284" i="6"/>
  <c r="Q284" i="6" s="1"/>
  <c r="D284" i="6"/>
  <c r="K284" i="6" s="1"/>
  <c r="F284" i="6"/>
  <c r="M283" i="6"/>
  <c r="O283" i="6"/>
  <c r="P283" i="6" s="1"/>
  <c r="L283" i="6"/>
  <c r="H283" i="6"/>
  <c r="R283" i="6" s="1"/>
  <c r="N282" i="6"/>
  <c r="N283" i="6" l="1"/>
  <c r="G283" i="6" s="1"/>
  <c r="O284" i="6"/>
  <c r="P284" i="6" s="1"/>
  <c r="I284" i="6" s="1"/>
  <c r="L284" i="6"/>
  <c r="M284" i="6"/>
  <c r="N284" i="6" s="1"/>
  <c r="G284" i="6" s="1"/>
  <c r="S285" i="6"/>
  <c r="J285" i="6"/>
  <c r="C285" i="6"/>
  <c r="Q285" i="6" s="1"/>
  <c r="B286" i="6"/>
  <c r="E285" i="6"/>
  <c r="H285" i="6" s="1"/>
  <c r="D285" i="6"/>
  <c r="K285" i="6" s="1"/>
  <c r="F285" i="6"/>
  <c r="Z285" i="6"/>
  <c r="G282" i="6"/>
  <c r="I282" i="6"/>
  <c r="H284" i="6"/>
  <c r="R284" i="6" s="1"/>
  <c r="I283" i="6"/>
  <c r="F286" i="6" l="1"/>
  <c r="B287" i="6"/>
  <c r="C286" i="6"/>
  <c r="Q286" i="6" s="1"/>
  <c r="Z286" i="6"/>
  <c r="D286" i="6"/>
  <c r="K286" i="6" s="1"/>
  <c r="J286" i="6"/>
  <c r="E286" i="6"/>
  <c r="H286" i="6" s="1"/>
  <c r="R286" i="6" s="1"/>
  <c r="S286" i="6"/>
  <c r="M285" i="6"/>
  <c r="O285" i="6"/>
  <c r="P285" i="6" s="1"/>
  <c r="L285" i="6"/>
  <c r="R285" i="6"/>
  <c r="N285" i="6" l="1"/>
  <c r="L286" i="6"/>
  <c r="O286" i="6"/>
  <c r="P286" i="6" s="1"/>
  <c r="M286" i="6"/>
  <c r="S287" i="6"/>
  <c r="F287" i="6"/>
  <c r="B288" i="6"/>
  <c r="E287" i="6"/>
  <c r="H287" i="6" s="1"/>
  <c r="C287" i="6"/>
  <c r="Q287" i="6" s="1"/>
  <c r="Z287" i="6"/>
  <c r="D287" i="6"/>
  <c r="K287" i="6" s="1"/>
  <c r="J287" i="6"/>
  <c r="R287" i="6" l="1"/>
  <c r="N286" i="6"/>
  <c r="G286" i="6" s="1"/>
  <c r="I286" i="6"/>
  <c r="B289" i="6"/>
  <c r="S288" i="6"/>
  <c r="E288" i="6"/>
  <c r="Z288" i="6"/>
  <c r="D288" i="6"/>
  <c r="K288" i="6" s="1"/>
  <c r="C288" i="6"/>
  <c r="Q288" i="6" s="1"/>
  <c r="F288" i="6"/>
  <c r="J288" i="6"/>
  <c r="G285" i="6"/>
  <c r="I285" i="6"/>
  <c r="O287" i="6"/>
  <c r="P287" i="6" s="1"/>
  <c r="M287" i="6"/>
  <c r="L287" i="6"/>
  <c r="M288" i="6" l="1"/>
  <c r="L288" i="6"/>
  <c r="O288" i="6"/>
  <c r="P288" i="6" s="1"/>
  <c r="N287" i="6"/>
  <c r="G287" i="6" s="1"/>
  <c r="H288" i="6"/>
  <c r="R288" i="6" s="1"/>
  <c r="Z289" i="6"/>
  <c r="S289" i="6"/>
  <c r="D289" i="6"/>
  <c r="K289" i="6" s="1"/>
  <c r="C289" i="6"/>
  <c r="Q289" i="6" s="1"/>
  <c r="E289" i="6"/>
  <c r="J289" i="6"/>
  <c r="B290" i="6"/>
  <c r="F289" i="6"/>
  <c r="H289" i="6" l="1"/>
  <c r="I287" i="6"/>
  <c r="O289" i="6"/>
  <c r="P289" i="6" s="1"/>
  <c r="L289" i="6"/>
  <c r="M289" i="6"/>
  <c r="N289" i="6" s="1"/>
  <c r="G289" i="6" s="1"/>
  <c r="C290" i="6"/>
  <c r="Q290" i="6" s="1"/>
  <c r="B291" i="6"/>
  <c r="F290" i="6"/>
  <c r="E290" i="6"/>
  <c r="S290" i="6"/>
  <c r="Z290" i="6"/>
  <c r="D290" i="6"/>
  <c r="K290" i="6" s="1"/>
  <c r="J290" i="6"/>
  <c r="R289" i="6"/>
  <c r="N288" i="6"/>
  <c r="G288" i="6" s="1"/>
  <c r="I289" i="6" l="1"/>
  <c r="H290" i="6"/>
  <c r="R290" i="6" s="1"/>
  <c r="J291" i="6"/>
  <c r="D291" i="6"/>
  <c r="K291" i="6" s="1"/>
  <c r="B292" i="6"/>
  <c r="Z291" i="6"/>
  <c r="F291" i="6"/>
  <c r="S291" i="6"/>
  <c r="C291" i="6"/>
  <c r="Q291" i="6" s="1"/>
  <c r="E291" i="6"/>
  <c r="I288" i="6"/>
  <c r="M290" i="6"/>
  <c r="O290" i="6"/>
  <c r="P290" i="6" s="1"/>
  <c r="L290" i="6"/>
  <c r="N290" i="6" l="1"/>
  <c r="G290" i="6" s="1"/>
  <c r="E292" i="6"/>
  <c r="S292" i="6"/>
  <c r="J292" i="6"/>
  <c r="D292" i="6"/>
  <c r="K292" i="6" s="1"/>
  <c r="B293" i="6"/>
  <c r="C292" i="6"/>
  <c r="Q292" i="6" s="1"/>
  <c r="Z292" i="6"/>
  <c r="F292" i="6"/>
  <c r="M291" i="6"/>
  <c r="N291" i="6" s="1"/>
  <c r="G291" i="6" s="1"/>
  <c r="O291" i="6"/>
  <c r="P291" i="6" s="1"/>
  <c r="L291" i="6"/>
  <c r="H291" i="6"/>
  <c r="R291" i="6" s="1"/>
  <c r="I290" i="6" l="1"/>
  <c r="J293" i="6"/>
  <c r="D293" i="6"/>
  <c r="K293" i="6" s="1"/>
  <c r="E293" i="6"/>
  <c r="Z293" i="6"/>
  <c r="B294" i="6"/>
  <c r="F293" i="6"/>
  <c r="C293" i="6"/>
  <c r="Q293" i="6" s="1"/>
  <c r="S293" i="6"/>
  <c r="M292" i="6"/>
  <c r="L292" i="6"/>
  <c r="O292" i="6"/>
  <c r="P292" i="6" s="1"/>
  <c r="I291" i="6"/>
  <c r="H292" i="6"/>
  <c r="R292" i="6" s="1"/>
  <c r="F294" i="6" l="1"/>
  <c r="D294" i="6"/>
  <c r="K294" i="6" s="1"/>
  <c r="E294" i="6"/>
  <c r="B295" i="6"/>
  <c r="C294" i="6"/>
  <c r="Q294" i="6" s="1"/>
  <c r="Z294" i="6"/>
  <c r="S294" i="6"/>
  <c r="J294" i="6"/>
  <c r="H293" i="6"/>
  <c r="R293" i="6" s="1"/>
  <c r="O293" i="6"/>
  <c r="P293" i="6" s="1"/>
  <c r="L293" i="6"/>
  <c r="M293" i="6"/>
  <c r="N292" i="6"/>
  <c r="G292" i="6" s="1"/>
  <c r="H294" i="6" l="1"/>
  <c r="N293" i="6"/>
  <c r="G293" i="6" s="1"/>
  <c r="F295" i="6"/>
  <c r="D295" i="6"/>
  <c r="K295" i="6" s="1"/>
  <c r="S295" i="6"/>
  <c r="C295" i="6"/>
  <c r="Q295" i="6" s="1"/>
  <c r="Z295" i="6"/>
  <c r="J295" i="6"/>
  <c r="E295" i="6"/>
  <c r="H295" i="6" s="1"/>
  <c r="B296" i="6"/>
  <c r="R294" i="6"/>
  <c r="L294" i="6"/>
  <c r="M294" i="6"/>
  <c r="O294" i="6"/>
  <c r="P294" i="6" s="1"/>
  <c r="I292" i="6"/>
  <c r="I293" i="6" l="1"/>
  <c r="R295" i="6"/>
  <c r="N294" i="6"/>
  <c r="G294" i="6" s="1"/>
  <c r="M295" i="6"/>
  <c r="O295" i="6"/>
  <c r="P295" i="6" s="1"/>
  <c r="L295" i="6"/>
  <c r="B297" i="6"/>
  <c r="S296" i="6"/>
  <c r="Z296" i="6"/>
  <c r="C296" i="6"/>
  <c r="Q296" i="6" s="1"/>
  <c r="J296" i="6"/>
  <c r="E296" i="6"/>
  <c r="F296" i="6"/>
  <c r="D296" i="6"/>
  <c r="K296" i="6" s="1"/>
  <c r="Z297" i="6" l="1"/>
  <c r="E297" i="6"/>
  <c r="F297" i="6"/>
  <c r="C297" i="6"/>
  <c r="Q297" i="6" s="1"/>
  <c r="D297" i="6"/>
  <c r="K297" i="6" s="1"/>
  <c r="B298" i="6"/>
  <c r="S297" i="6"/>
  <c r="J297" i="6"/>
  <c r="N295" i="6"/>
  <c r="G295" i="6" s="1"/>
  <c r="O296" i="6"/>
  <c r="P296" i="6" s="1"/>
  <c r="M296" i="6"/>
  <c r="L296" i="6"/>
  <c r="I294" i="6"/>
  <c r="H296" i="6"/>
  <c r="R296" i="6" s="1"/>
  <c r="Z298" i="6" l="1"/>
  <c r="B299" i="6"/>
  <c r="C298" i="6"/>
  <c r="Q298" i="6" s="1"/>
  <c r="D298" i="6"/>
  <c r="K298" i="6" s="1"/>
  <c r="J298" i="6"/>
  <c r="S298" i="6"/>
  <c r="F298" i="6"/>
  <c r="E298" i="6"/>
  <c r="L297" i="6"/>
  <c r="M297" i="6"/>
  <c r="O297" i="6"/>
  <c r="P297" i="6" s="1"/>
  <c r="H297" i="6"/>
  <c r="R297" i="6" s="1"/>
  <c r="N296" i="6"/>
  <c r="G296" i="6" s="1"/>
  <c r="I295" i="6"/>
  <c r="I296" i="6" l="1"/>
  <c r="H298" i="6"/>
  <c r="R298" i="6" s="1"/>
  <c r="M298" i="6"/>
  <c r="L298" i="6"/>
  <c r="O298" i="6"/>
  <c r="P298" i="6" s="1"/>
  <c r="N297" i="6"/>
  <c r="G297" i="6" s="1"/>
  <c r="D299" i="6"/>
  <c r="K299" i="6" s="1"/>
  <c r="F299" i="6"/>
  <c r="S299" i="6"/>
  <c r="E299" i="6"/>
  <c r="B300" i="6"/>
  <c r="C299" i="6"/>
  <c r="Q299" i="6" s="1"/>
  <c r="Z299" i="6"/>
  <c r="J299" i="6"/>
  <c r="I297" i="6" l="1"/>
  <c r="M299" i="6"/>
  <c r="N299" i="6" s="1"/>
  <c r="G299" i="6" s="1"/>
  <c r="O299" i="6"/>
  <c r="P299" i="6" s="1"/>
  <c r="L299" i="6"/>
  <c r="H299" i="6"/>
  <c r="R299" i="6" s="1"/>
  <c r="F300" i="6"/>
  <c r="C300" i="6"/>
  <c r="Q300" i="6" s="1"/>
  <c r="Z300" i="6"/>
  <c r="E300" i="6"/>
  <c r="H300" i="6" s="1"/>
  <c r="J300" i="6"/>
  <c r="D300" i="6"/>
  <c r="K300" i="6" s="1"/>
  <c r="S300" i="6"/>
  <c r="B301" i="6"/>
  <c r="N298" i="6"/>
  <c r="G298" i="6" s="1"/>
  <c r="R300" i="6" l="1"/>
  <c r="I298" i="6"/>
  <c r="E301" i="6"/>
  <c r="H301" i="6" s="1"/>
  <c r="Z301" i="6"/>
  <c r="F301" i="6"/>
  <c r="C301" i="6"/>
  <c r="Q301" i="6" s="1"/>
  <c r="J301" i="6"/>
  <c r="S301" i="6"/>
  <c r="B302" i="6"/>
  <c r="D301" i="6"/>
  <c r="K301" i="6" s="1"/>
  <c r="L300" i="6"/>
  <c r="M300" i="6"/>
  <c r="O300" i="6"/>
  <c r="P300" i="6" s="1"/>
  <c r="I299" i="6"/>
  <c r="B303" i="6" l="1"/>
  <c r="S302" i="6"/>
  <c r="E302" i="6"/>
  <c r="C302" i="6"/>
  <c r="Q302" i="6" s="1"/>
  <c r="Z302" i="6"/>
  <c r="D302" i="6"/>
  <c r="K302" i="6" s="1"/>
  <c r="J302" i="6"/>
  <c r="F302" i="6"/>
  <c r="N300" i="6"/>
  <c r="G300" i="6" s="1"/>
  <c r="R301" i="6"/>
  <c r="L301" i="6"/>
  <c r="M301" i="6"/>
  <c r="N301" i="6" s="1"/>
  <c r="G301" i="6" s="1"/>
  <c r="O301" i="6"/>
  <c r="P301" i="6" s="1"/>
  <c r="I301" i="6" l="1"/>
  <c r="L302" i="6"/>
  <c r="O302" i="6"/>
  <c r="P302" i="6" s="1"/>
  <c r="M302" i="6"/>
  <c r="H302" i="6"/>
  <c r="R302" i="6" s="1"/>
  <c r="D303" i="6"/>
  <c r="K303" i="6" s="1"/>
  <c r="B304" i="6"/>
  <c r="C303" i="6"/>
  <c r="Q303" i="6" s="1"/>
  <c r="E303" i="6"/>
  <c r="H303" i="6" s="1"/>
  <c r="S303" i="6"/>
  <c r="F303" i="6"/>
  <c r="Z303" i="6"/>
  <c r="J303" i="6"/>
  <c r="I300" i="6"/>
  <c r="R303" i="6" l="1"/>
  <c r="J304" i="6"/>
  <c r="D304" i="6"/>
  <c r="K304" i="6" s="1"/>
  <c r="S304" i="6"/>
  <c r="Z304" i="6"/>
  <c r="C304" i="6"/>
  <c r="Q304" i="6" s="1"/>
  <c r="B305" i="6"/>
  <c r="F304" i="6"/>
  <c r="E304" i="6"/>
  <c r="L303" i="6"/>
  <c r="O303" i="6"/>
  <c r="P303" i="6" s="1"/>
  <c r="M303" i="6"/>
  <c r="N302" i="6"/>
  <c r="N303" i="6" l="1"/>
  <c r="G303" i="6" s="1"/>
  <c r="E305" i="6"/>
  <c r="H305" i="6" s="1"/>
  <c r="Z305" i="6"/>
  <c r="F305" i="6"/>
  <c r="J305" i="6"/>
  <c r="D305" i="6"/>
  <c r="K305" i="6" s="1"/>
  <c r="B306" i="6"/>
  <c r="C305" i="6"/>
  <c r="Q305" i="6" s="1"/>
  <c r="S305" i="6"/>
  <c r="R304" i="6"/>
  <c r="G302" i="6"/>
  <c r="I302" i="6"/>
  <c r="L304" i="6"/>
  <c r="M304" i="6"/>
  <c r="N304" i="6" s="1"/>
  <c r="G304" i="6" s="1"/>
  <c r="O304" i="6"/>
  <c r="P304" i="6" s="1"/>
  <c r="H304" i="6"/>
  <c r="R305" i="6" l="1"/>
  <c r="I304" i="6"/>
  <c r="I303" i="6"/>
  <c r="S306" i="6"/>
  <c r="F306" i="6"/>
  <c r="Z306" i="6"/>
  <c r="J306" i="6"/>
  <c r="D306" i="6"/>
  <c r="K306" i="6" s="1"/>
  <c r="C306" i="6"/>
  <c r="Q306" i="6" s="1"/>
  <c r="E306" i="6"/>
  <c r="H306" i="6" s="1"/>
  <c r="R306" i="6" s="1"/>
  <c r="B307" i="6"/>
  <c r="L305" i="6"/>
  <c r="M305" i="6"/>
  <c r="N305" i="6" s="1"/>
  <c r="G305" i="6" s="1"/>
  <c r="O305" i="6"/>
  <c r="P305" i="6" s="1"/>
  <c r="M306" i="6" l="1"/>
  <c r="O306" i="6"/>
  <c r="P306" i="6" s="1"/>
  <c r="L306" i="6"/>
  <c r="J307" i="6"/>
  <c r="S307" i="6"/>
  <c r="E307" i="6"/>
  <c r="C307" i="6"/>
  <c r="Q307" i="6" s="1"/>
  <c r="F307" i="6"/>
  <c r="Z307" i="6"/>
  <c r="B308" i="6"/>
  <c r="D307" i="6"/>
  <c r="K307" i="6" s="1"/>
  <c r="I305" i="6"/>
  <c r="H307" i="6" l="1"/>
  <c r="R307" i="6" s="1"/>
  <c r="M307" i="6"/>
  <c r="L307" i="6"/>
  <c r="O307" i="6"/>
  <c r="P307" i="6" s="1"/>
  <c r="D308" i="6"/>
  <c r="K308" i="6" s="1"/>
  <c r="F308" i="6"/>
  <c r="C308" i="6"/>
  <c r="Q308" i="6" s="1"/>
  <c r="E308" i="6"/>
  <c r="Z308" i="6"/>
  <c r="J308" i="6"/>
  <c r="B309" i="6"/>
  <c r="S308" i="6"/>
  <c r="N306" i="6"/>
  <c r="L308" i="6" l="1"/>
  <c r="M308" i="6"/>
  <c r="N308" i="6" s="1"/>
  <c r="G308" i="6" s="1"/>
  <c r="O308" i="6"/>
  <c r="P308" i="6" s="1"/>
  <c r="J309" i="6"/>
  <c r="S309" i="6"/>
  <c r="C309" i="6"/>
  <c r="Q309" i="6" s="1"/>
  <c r="Z309" i="6"/>
  <c r="F309" i="6"/>
  <c r="E309" i="6"/>
  <c r="B310" i="6"/>
  <c r="D309" i="6"/>
  <c r="K309" i="6" s="1"/>
  <c r="N307" i="6"/>
  <c r="G307" i="6" s="1"/>
  <c r="G306" i="6"/>
  <c r="I306" i="6"/>
  <c r="H308" i="6"/>
  <c r="R308" i="6" s="1"/>
  <c r="I308" i="6" l="1"/>
  <c r="H309" i="6"/>
  <c r="R309" i="6" s="1"/>
  <c r="M309" i="6"/>
  <c r="L309" i="6"/>
  <c r="O309" i="6"/>
  <c r="P309" i="6" s="1"/>
  <c r="Z310" i="6"/>
  <c r="D310" i="6"/>
  <c r="K310" i="6" s="1"/>
  <c r="J310" i="6"/>
  <c r="S310" i="6"/>
  <c r="B311" i="6"/>
  <c r="F310" i="6"/>
  <c r="E310" i="6"/>
  <c r="C310" i="6"/>
  <c r="Q310" i="6" s="1"/>
  <c r="I307" i="6"/>
  <c r="N309" i="6" l="1"/>
  <c r="G309" i="6" s="1"/>
  <c r="Z311" i="6"/>
  <c r="F311" i="6"/>
  <c r="E311" i="6"/>
  <c r="H311" i="6" s="1"/>
  <c r="S311" i="6"/>
  <c r="C311" i="6"/>
  <c r="Q311" i="6" s="1"/>
  <c r="D311" i="6"/>
  <c r="K311" i="6" s="1"/>
  <c r="B312" i="6"/>
  <c r="J311" i="6"/>
  <c r="L310" i="6"/>
  <c r="M310" i="6"/>
  <c r="N310" i="6" s="1"/>
  <c r="G310" i="6" s="1"/>
  <c r="O310" i="6"/>
  <c r="P310" i="6" s="1"/>
  <c r="I310" i="6" s="1"/>
  <c r="I309" i="6"/>
  <c r="H310" i="6"/>
  <c r="R310" i="6" s="1"/>
  <c r="R311" i="6" l="1"/>
  <c r="C312" i="6"/>
  <c r="Q312" i="6" s="1"/>
  <c r="F312" i="6"/>
  <c r="E312" i="6"/>
  <c r="H312" i="6" s="1"/>
  <c r="S312" i="6"/>
  <c r="D312" i="6"/>
  <c r="K312" i="6" s="1"/>
  <c r="B313" i="6"/>
  <c r="Z312" i="6"/>
  <c r="J312" i="6"/>
  <c r="O311" i="6"/>
  <c r="P311" i="6" s="1"/>
  <c r="M311" i="6"/>
  <c r="L311" i="6"/>
  <c r="R312" i="6" l="1"/>
  <c r="D313" i="6"/>
  <c r="K313" i="6" s="1"/>
  <c r="F313" i="6"/>
  <c r="B314" i="6"/>
  <c r="Z313" i="6"/>
  <c r="E313" i="6"/>
  <c r="H313" i="6" s="1"/>
  <c r="S313" i="6"/>
  <c r="C313" i="6"/>
  <c r="Q313" i="6" s="1"/>
  <c r="J313" i="6"/>
  <c r="O312" i="6"/>
  <c r="P312" i="6" s="1"/>
  <c r="M312" i="6"/>
  <c r="L312" i="6"/>
  <c r="N311" i="6"/>
  <c r="G311" i="6" s="1"/>
  <c r="N312" i="6" l="1"/>
  <c r="R313" i="6"/>
  <c r="E314" i="6"/>
  <c r="S314" i="6"/>
  <c r="Z314" i="6"/>
  <c r="B315" i="6"/>
  <c r="J314" i="6"/>
  <c r="C314" i="6"/>
  <c r="Q314" i="6" s="1"/>
  <c r="D314" i="6"/>
  <c r="K314" i="6" s="1"/>
  <c r="F314" i="6"/>
  <c r="O313" i="6"/>
  <c r="P313" i="6" s="1"/>
  <c r="M313" i="6"/>
  <c r="L313" i="6"/>
  <c r="I311" i="6"/>
  <c r="G312" i="6" l="1"/>
  <c r="I312" i="6"/>
  <c r="O314" i="6"/>
  <c r="P314" i="6" s="1"/>
  <c r="M314" i="6"/>
  <c r="L314" i="6"/>
  <c r="J315" i="6"/>
  <c r="S315" i="6"/>
  <c r="D315" i="6"/>
  <c r="K315" i="6" s="1"/>
  <c r="C315" i="6"/>
  <c r="Q315" i="6" s="1"/>
  <c r="F315" i="6"/>
  <c r="B316" i="6"/>
  <c r="E315" i="6"/>
  <c r="H315" i="6" s="1"/>
  <c r="Z315" i="6"/>
  <c r="N313" i="6"/>
  <c r="G313" i="6" s="1"/>
  <c r="H314" i="6"/>
  <c r="R314" i="6" s="1"/>
  <c r="L315" i="6" l="1"/>
  <c r="O315" i="6"/>
  <c r="P315" i="6" s="1"/>
  <c r="M315" i="6"/>
  <c r="R315" i="6"/>
  <c r="N314" i="6"/>
  <c r="G314" i="6" s="1"/>
  <c r="C316" i="6"/>
  <c r="Q316" i="6" s="1"/>
  <c r="J316" i="6"/>
  <c r="F316" i="6"/>
  <c r="S316" i="6"/>
  <c r="E316" i="6"/>
  <c r="D316" i="6"/>
  <c r="K316" i="6" s="1"/>
  <c r="B317" i="6"/>
  <c r="Z316" i="6"/>
  <c r="I313" i="6"/>
  <c r="I314" i="6" l="1"/>
  <c r="E317" i="6"/>
  <c r="H317" i="6" s="1"/>
  <c r="B318" i="6"/>
  <c r="C317" i="6"/>
  <c r="Q317" i="6" s="1"/>
  <c r="D317" i="6"/>
  <c r="K317" i="6" s="1"/>
  <c r="F317" i="6"/>
  <c r="Z317" i="6"/>
  <c r="S317" i="6"/>
  <c r="J317" i="6"/>
  <c r="O316" i="6"/>
  <c r="P316" i="6" s="1"/>
  <c r="L316" i="6"/>
  <c r="M316" i="6"/>
  <c r="N316" i="6" s="1"/>
  <c r="G316" i="6" s="1"/>
  <c r="N315" i="6"/>
  <c r="H316" i="6"/>
  <c r="R316" i="6" s="1"/>
  <c r="O317" i="6" l="1"/>
  <c r="P317" i="6" s="1"/>
  <c r="M317" i="6"/>
  <c r="L317" i="6"/>
  <c r="D318" i="6"/>
  <c r="K318" i="6" s="1"/>
  <c r="E318" i="6"/>
  <c r="H318" i="6" s="1"/>
  <c r="S318" i="6"/>
  <c r="C318" i="6"/>
  <c r="Q318" i="6" s="1"/>
  <c r="J318" i="6"/>
  <c r="B319" i="6"/>
  <c r="Z318" i="6"/>
  <c r="F318" i="6"/>
  <c r="R317" i="6"/>
  <c r="G315" i="6"/>
  <c r="I315" i="6"/>
  <c r="I316" i="6"/>
  <c r="R318" i="6" l="1"/>
  <c r="M318" i="6"/>
  <c r="O318" i="6"/>
  <c r="P318" i="6" s="1"/>
  <c r="L318" i="6"/>
  <c r="N317" i="6"/>
  <c r="C319" i="6"/>
  <c r="Q319" i="6" s="1"/>
  <c r="F319" i="6"/>
  <c r="S319" i="6"/>
  <c r="D319" i="6"/>
  <c r="K319" i="6" s="1"/>
  <c r="Z319" i="6"/>
  <c r="J319" i="6"/>
  <c r="E319" i="6"/>
  <c r="B320" i="6"/>
  <c r="G317" i="6" l="1"/>
  <c r="I317" i="6"/>
  <c r="F320" i="6"/>
  <c r="B321" i="6"/>
  <c r="E320" i="6"/>
  <c r="Z320" i="6"/>
  <c r="J320" i="6"/>
  <c r="C320" i="6"/>
  <c r="Q320" i="6" s="1"/>
  <c r="S320" i="6"/>
  <c r="D320" i="6"/>
  <c r="K320" i="6" s="1"/>
  <c r="H319" i="6"/>
  <c r="R319" i="6" s="1"/>
  <c r="N318" i="6"/>
  <c r="G318" i="6" s="1"/>
  <c r="M319" i="6"/>
  <c r="O319" i="6"/>
  <c r="P319" i="6" s="1"/>
  <c r="L319" i="6"/>
  <c r="H320" i="6" l="1"/>
  <c r="R320" i="6" s="1"/>
  <c r="N319" i="6"/>
  <c r="G319" i="6" s="1"/>
  <c r="S321" i="6"/>
  <c r="C321" i="6"/>
  <c r="Q321" i="6" s="1"/>
  <c r="E321" i="6"/>
  <c r="H321" i="6" s="1"/>
  <c r="R321" i="6" s="1"/>
  <c r="Z321" i="6"/>
  <c r="D321" i="6"/>
  <c r="K321" i="6" s="1"/>
  <c r="B322" i="6"/>
  <c r="J321" i="6"/>
  <c r="F321" i="6"/>
  <c r="O320" i="6"/>
  <c r="P320" i="6" s="1"/>
  <c r="L320" i="6"/>
  <c r="M320" i="6"/>
  <c r="N320" i="6" s="1"/>
  <c r="G320" i="6" s="1"/>
  <c r="I318" i="6"/>
  <c r="I319" i="6" l="1"/>
  <c r="L321" i="6"/>
  <c r="O321" i="6"/>
  <c r="P321" i="6" s="1"/>
  <c r="M321" i="6"/>
  <c r="Z322" i="6"/>
  <c r="C322" i="6"/>
  <c r="Q322" i="6" s="1"/>
  <c r="S322" i="6"/>
  <c r="F322" i="6"/>
  <c r="E322" i="6"/>
  <c r="B323" i="6"/>
  <c r="D322" i="6"/>
  <c r="K322" i="6" s="1"/>
  <c r="J322" i="6"/>
  <c r="I320" i="6"/>
  <c r="H322" i="6" l="1"/>
  <c r="R322" i="6" s="1"/>
  <c r="N321" i="6"/>
  <c r="G321" i="6" s="1"/>
  <c r="O322" i="6"/>
  <c r="P322" i="6" s="1"/>
  <c r="M322" i="6"/>
  <c r="L322" i="6"/>
  <c r="I321" i="6"/>
  <c r="F323" i="6"/>
  <c r="B324" i="6"/>
  <c r="S323" i="6"/>
  <c r="E323" i="6"/>
  <c r="J323" i="6"/>
  <c r="C323" i="6"/>
  <c r="Q323" i="6" s="1"/>
  <c r="Z323" i="6"/>
  <c r="D323" i="6"/>
  <c r="K323" i="6" s="1"/>
  <c r="C324" i="6" l="1"/>
  <c r="Q324" i="6" s="1"/>
  <c r="D324" i="6"/>
  <c r="K324" i="6" s="1"/>
  <c r="Z324" i="6"/>
  <c r="E324" i="6"/>
  <c r="J324" i="6"/>
  <c r="S324" i="6"/>
  <c r="F324" i="6"/>
  <c r="B325" i="6"/>
  <c r="M323" i="6"/>
  <c r="O323" i="6"/>
  <c r="P323" i="6" s="1"/>
  <c r="L323" i="6"/>
  <c r="N322" i="6"/>
  <c r="H323" i="6"/>
  <c r="R323" i="6" s="1"/>
  <c r="N323" i="6" l="1"/>
  <c r="G323" i="6" s="1"/>
  <c r="F325" i="6"/>
  <c r="E325" i="6"/>
  <c r="H325" i="6" s="1"/>
  <c r="D325" i="6"/>
  <c r="K325" i="6" s="1"/>
  <c r="B326" i="6"/>
  <c r="Z325" i="6"/>
  <c r="J325" i="6"/>
  <c r="C325" i="6"/>
  <c r="Q325" i="6" s="1"/>
  <c r="S325" i="6"/>
  <c r="H324" i="6"/>
  <c r="R324" i="6" s="1"/>
  <c r="G322" i="6"/>
  <c r="I322" i="6"/>
  <c r="L324" i="6"/>
  <c r="O324" i="6"/>
  <c r="P324" i="6" s="1"/>
  <c r="M324" i="6"/>
  <c r="N324" i="6" s="1"/>
  <c r="G324" i="6" s="1"/>
  <c r="I324" i="6" l="1"/>
  <c r="R325" i="6"/>
  <c r="I323" i="6"/>
  <c r="J326" i="6"/>
  <c r="F326" i="6"/>
  <c r="C326" i="6"/>
  <c r="Q326" i="6" s="1"/>
  <c r="Z326" i="6"/>
  <c r="D326" i="6"/>
  <c r="K326" i="6" s="1"/>
  <c r="B327" i="6"/>
  <c r="E326" i="6"/>
  <c r="S326" i="6"/>
  <c r="O325" i="6"/>
  <c r="P325" i="6" s="1"/>
  <c r="L325" i="6"/>
  <c r="M325" i="6"/>
  <c r="N325" i="6" s="1"/>
  <c r="G325" i="6" s="1"/>
  <c r="H326" i="6" l="1"/>
  <c r="Z327" i="6"/>
  <c r="E327" i="6"/>
  <c r="C327" i="6"/>
  <c r="Q327" i="6" s="1"/>
  <c r="F327" i="6"/>
  <c r="B328" i="6"/>
  <c r="J327" i="6"/>
  <c r="D327" i="6"/>
  <c r="K327" i="6" s="1"/>
  <c r="S327" i="6"/>
  <c r="L326" i="6"/>
  <c r="O326" i="6"/>
  <c r="P326" i="6" s="1"/>
  <c r="M326" i="6"/>
  <c r="N326" i="6" s="1"/>
  <c r="G326" i="6" s="1"/>
  <c r="R326" i="6"/>
  <c r="I325" i="6"/>
  <c r="L327" i="6" l="1"/>
  <c r="O327" i="6"/>
  <c r="P327" i="6" s="1"/>
  <c r="M327" i="6"/>
  <c r="F328" i="6"/>
  <c r="C328" i="6"/>
  <c r="Q328" i="6" s="1"/>
  <c r="Z328" i="6"/>
  <c r="J328" i="6"/>
  <c r="D328" i="6"/>
  <c r="K328" i="6" s="1"/>
  <c r="B329" i="6"/>
  <c r="E328" i="6"/>
  <c r="S328" i="6"/>
  <c r="H327" i="6"/>
  <c r="R327" i="6" s="1"/>
  <c r="I326" i="6"/>
  <c r="M328" i="6" l="1"/>
  <c r="O328" i="6"/>
  <c r="P328" i="6" s="1"/>
  <c r="L328" i="6"/>
  <c r="N327" i="6"/>
  <c r="G327" i="6" s="1"/>
  <c r="H328" i="6"/>
  <c r="R328" i="6" s="1"/>
  <c r="S329" i="6"/>
  <c r="C329" i="6"/>
  <c r="Q329" i="6" s="1"/>
  <c r="E329" i="6"/>
  <c r="Z329" i="6"/>
  <c r="B330" i="6"/>
  <c r="J329" i="6"/>
  <c r="D329" i="6"/>
  <c r="K329" i="6" s="1"/>
  <c r="F329" i="6"/>
  <c r="I327" i="6" l="1"/>
  <c r="E330" i="6"/>
  <c r="F330" i="6"/>
  <c r="C330" i="6"/>
  <c r="Q330" i="6" s="1"/>
  <c r="B331" i="6"/>
  <c r="S330" i="6"/>
  <c r="D330" i="6"/>
  <c r="K330" i="6" s="1"/>
  <c r="J330" i="6"/>
  <c r="Z330" i="6"/>
  <c r="M329" i="6"/>
  <c r="L329" i="6"/>
  <c r="O329" i="6"/>
  <c r="P329" i="6" s="1"/>
  <c r="H329" i="6"/>
  <c r="R329" i="6" s="1"/>
  <c r="N328" i="6"/>
  <c r="L330" i="6" l="1"/>
  <c r="O330" i="6"/>
  <c r="P330" i="6" s="1"/>
  <c r="M330" i="6"/>
  <c r="G328" i="6"/>
  <c r="I328" i="6"/>
  <c r="Z331" i="6"/>
  <c r="S331" i="6"/>
  <c r="B332" i="6"/>
  <c r="E331" i="6"/>
  <c r="D331" i="6"/>
  <c r="K331" i="6" s="1"/>
  <c r="J331" i="6"/>
  <c r="F331" i="6"/>
  <c r="C331" i="6"/>
  <c r="Q331" i="6" s="1"/>
  <c r="H330" i="6"/>
  <c r="R330" i="6" s="1"/>
  <c r="N329" i="6"/>
  <c r="G329" i="6" s="1"/>
  <c r="N330" i="6" l="1"/>
  <c r="I329" i="6"/>
  <c r="S332" i="6"/>
  <c r="J332" i="6"/>
  <c r="F332" i="6"/>
  <c r="D332" i="6"/>
  <c r="K332" i="6" s="1"/>
  <c r="C332" i="6"/>
  <c r="Q332" i="6" s="1"/>
  <c r="Z332" i="6"/>
  <c r="E332" i="6"/>
  <c r="B333" i="6"/>
  <c r="L331" i="6"/>
  <c r="M331" i="6"/>
  <c r="N331" i="6" s="1"/>
  <c r="G331" i="6" s="1"/>
  <c r="O331" i="6"/>
  <c r="P331" i="6" s="1"/>
  <c r="I331" i="6" s="1"/>
  <c r="H331" i="6"/>
  <c r="R331" i="6" s="1"/>
  <c r="H332" i="6" l="1"/>
  <c r="R332" i="6" s="1"/>
  <c r="G330" i="6"/>
  <c r="I330" i="6"/>
  <c r="O332" i="6"/>
  <c r="P332" i="6" s="1"/>
  <c r="M332" i="6"/>
  <c r="L332" i="6"/>
  <c r="Z333" i="6"/>
  <c r="D333" i="6"/>
  <c r="K333" i="6" s="1"/>
  <c r="S333" i="6"/>
  <c r="J333" i="6"/>
  <c r="C333" i="6"/>
  <c r="Q333" i="6" s="1"/>
  <c r="F333" i="6"/>
  <c r="E333" i="6"/>
  <c r="H333" i="6" s="1"/>
  <c r="B334" i="6"/>
  <c r="O333" i="6" l="1"/>
  <c r="P333" i="6" s="1"/>
  <c r="L333" i="6"/>
  <c r="M333" i="6"/>
  <c r="N333" i="6" s="1"/>
  <c r="G333" i="6" s="1"/>
  <c r="S334" i="6"/>
  <c r="C334" i="6"/>
  <c r="Q334" i="6" s="1"/>
  <c r="F334" i="6"/>
  <c r="J334" i="6"/>
  <c r="B335" i="6"/>
  <c r="Z334" i="6"/>
  <c r="D334" i="6"/>
  <c r="K334" i="6" s="1"/>
  <c r="E334" i="6"/>
  <c r="N332" i="6"/>
  <c r="R333" i="6"/>
  <c r="I333" i="6" l="1"/>
  <c r="B336" i="6"/>
  <c r="E335" i="6"/>
  <c r="J335" i="6"/>
  <c r="D335" i="6"/>
  <c r="K335" i="6" s="1"/>
  <c r="S335" i="6"/>
  <c r="C335" i="6"/>
  <c r="Q335" i="6" s="1"/>
  <c r="Z335" i="6"/>
  <c r="F335" i="6"/>
  <c r="G332" i="6"/>
  <c r="I332" i="6"/>
  <c r="H334" i="6"/>
  <c r="R334" i="6" s="1"/>
  <c r="L334" i="6"/>
  <c r="O334" i="6"/>
  <c r="P334" i="6" s="1"/>
  <c r="M334" i="6"/>
  <c r="N334" i="6" s="1"/>
  <c r="G334" i="6" s="1"/>
  <c r="I334" i="6" l="1"/>
  <c r="M335" i="6"/>
  <c r="O335" i="6"/>
  <c r="P335" i="6" s="1"/>
  <c r="L335" i="6"/>
  <c r="H335" i="6"/>
  <c r="R335" i="6" s="1"/>
  <c r="B337" i="6"/>
  <c r="C336" i="6"/>
  <c r="Q336" i="6" s="1"/>
  <c r="S336" i="6"/>
  <c r="J336" i="6"/>
  <c r="Z336" i="6"/>
  <c r="E336" i="6"/>
  <c r="D336" i="6"/>
  <c r="K336" i="6" s="1"/>
  <c r="F336" i="6"/>
  <c r="Z337" i="6" l="1"/>
  <c r="E337" i="6"/>
  <c r="B338" i="6"/>
  <c r="D337" i="6"/>
  <c r="K337" i="6" s="1"/>
  <c r="S337" i="6"/>
  <c r="C337" i="6"/>
  <c r="Q337" i="6" s="1"/>
  <c r="J337" i="6"/>
  <c r="F337" i="6"/>
  <c r="H336" i="6"/>
  <c r="R336" i="6" s="1"/>
  <c r="O336" i="6"/>
  <c r="P336" i="6" s="1"/>
  <c r="M336" i="6"/>
  <c r="L336" i="6"/>
  <c r="N335" i="6"/>
  <c r="G335" i="6" l="1"/>
  <c r="I335" i="6"/>
  <c r="O337" i="6"/>
  <c r="P337" i="6" s="1"/>
  <c r="L337" i="6"/>
  <c r="M337" i="6"/>
  <c r="N336" i="6"/>
  <c r="G336" i="6" s="1"/>
  <c r="J338" i="6"/>
  <c r="F338" i="6"/>
  <c r="B339" i="6"/>
  <c r="C338" i="6"/>
  <c r="Q338" i="6" s="1"/>
  <c r="E338" i="6"/>
  <c r="Z338" i="6"/>
  <c r="S338" i="6"/>
  <c r="D338" i="6"/>
  <c r="K338" i="6" s="1"/>
  <c r="H337" i="6"/>
  <c r="R337" i="6" s="1"/>
  <c r="I336" i="6" l="1"/>
  <c r="L338" i="6"/>
  <c r="O338" i="6"/>
  <c r="P338" i="6" s="1"/>
  <c r="M338" i="6"/>
  <c r="N338" i="6" s="1"/>
  <c r="G338" i="6" s="1"/>
  <c r="N337" i="6"/>
  <c r="G337" i="6" s="1"/>
  <c r="H338" i="6"/>
  <c r="R338" i="6" s="1"/>
  <c r="B340" i="6"/>
  <c r="E339" i="6"/>
  <c r="J339" i="6"/>
  <c r="S339" i="6"/>
  <c r="D339" i="6"/>
  <c r="K339" i="6" s="1"/>
  <c r="Z339" i="6"/>
  <c r="F339" i="6"/>
  <c r="C339" i="6"/>
  <c r="Q339" i="6" s="1"/>
  <c r="I337" i="6" l="1"/>
  <c r="F340" i="6"/>
  <c r="B341" i="6"/>
  <c r="D340" i="6"/>
  <c r="K340" i="6" s="1"/>
  <c r="S340" i="6"/>
  <c r="J340" i="6"/>
  <c r="Z340" i="6"/>
  <c r="E340" i="6"/>
  <c r="C340" i="6"/>
  <c r="Q340" i="6" s="1"/>
  <c r="M339" i="6"/>
  <c r="N339" i="6" s="1"/>
  <c r="G339" i="6" s="1"/>
  <c r="L339" i="6"/>
  <c r="O339" i="6"/>
  <c r="P339" i="6" s="1"/>
  <c r="I339" i="6" s="1"/>
  <c r="I338" i="6"/>
  <c r="H339" i="6"/>
  <c r="R339" i="6" s="1"/>
  <c r="M340" i="6" l="1"/>
  <c r="L340" i="6"/>
  <c r="O340" i="6"/>
  <c r="P340" i="6" s="1"/>
  <c r="C341" i="6"/>
  <c r="Q341" i="6" s="1"/>
  <c r="F341" i="6"/>
  <c r="Z341" i="6"/>
  <c r="J341" i="6"/>
  <c r="D341" i="6"/>
  <c r="K341" i="6" s="1"/>
  <c r="S341" i="6"/>
  <c r="E341" i="6"/>
  <c r="B342" i="6"/>
  <c r="H340" i="6"/>
  <c r="R340" i="6" s="1"/>
  <c r="O341" i="6" l="1"/>
  <c r="P341" i="6" s="1"/>
  <c r="M341" i="6"/>
  <c r="L341" i="6"/>
  <c r="J342" i="6"/>
  <c r="D342" i="6"/>
  <c r="K342" i="6" s="1"/>
  <c r="C342" i="6"/>
  <c r="Q342" i="6" s="1"/>
  <c r="B343" i="6"/>
  <c r="S342" i="6"/>
  <c r="F342" i="6"/>
  <c r="E342" i="6"/>
  <c r="Z342" i="6"/>
  <c r="H341" i="6"/>
  <c r="R341" i="6" s="1"/>
  <c r="N340" i="6"/>
  <c r="N341" i="6" l="1"/>
  <c r="G341" i="6" s="1"/>
  <c r="C343" i="6"/>
  <c r="Q343" i="6" s="1"/>
  <c r="B344" i="6"/>
  <c r="E343" i="6"/>
  <c r="Z343" i="6"/>
  <c r="F343" i="6"/>
  <c r="J343" i="6"/>
  <c r="S343" i="6"/>
  <c r="D343" i="6"/>
  <c r="K343" i="6" s="1"/>
  <c r="L342" i="6"/>
  <c r="M342" i="6"/>
  <c r="O342" i="6"/>
  <c r="P342" i="6" s="1"/>
  <c r="G340" i="6"/>
  <c r="I340" i="6"/>
  <c r="H342" i="6"/>
  <c r="R342" i="6" s="1"/>
  <c r="I341" i="6" l="1"/>
  <c r="L343" i="6"/>
  <c r="M343" i="6"/>
  <c r="O343" i="6"/>
  <c r="P343" i="6" s="1"/>
  <c r="H343" i="6"/>
  <c r="R343" i="6" s="1"/>
  <c r="N342" i="6"/>
  <c r="D344" i="6"/>
  <c r="K344" i="6" s="1"/>
  <c r="B345" i="6"/>
  <c r="Z344" i="6"/>
  <c r="C344" i="6"/>
  <c r="Q344" i="6" s="1"/>
  <c r="F344" i="6"/>
  <c r="J344" i="6"/>
  <c r="E344" i="6"/>
  <c r="H344" i="6" s="1"/>
  <c r="R344" i="6" s="1"/>
  <c r="S344" i="6"/>
  <c r="O344" i="6" l="1"/>
  <c r="P344" i="6" s="1"/>
  <c r="L344" i="6"/>
  <c r="M344" i="6"/>
  <c r="N344" i="6" s="1"/>
  <c r="G344" i="6" s="1"/>
  <c r="G342" i="6"/>
  <c r="I342" i="6"/>
  <c r="J345" i="6"/>
  <c r="Z345" i="6"/>
  <c r="D345" i="6"/>
  <c r="K345" i="6" s="1"/>
  <c r="C345" i="6"/>
  <c r="Q345" i="6" s="1"/>
  <c r="F345" i="6"/>
  <c r="S345" i="6"/>
  <c r="E345" i="6"/>
  <c r="B346" i="6"/>
  <c r="N343" i="6"/>
  <c r="I344" i="6" l="1"/>
  <c r="M345" i="6"/>
  <c r="O345" i="6"/>
  <c r="P345" i="6" s="1"/>
  <c r="L345" i="6"/>
  <c r="G343" i="6"/>
  <c r="I343" i="6"/>
  <c r="H345" i="6"/>
  <c r="R345" i="6" s="1"/>
  <c r="B347" i="6"/>
  <c r="E346" i="6"/>
  <c r="H346" i="6" s="1"/>
  <c r="F346" i="6"/>
  <c r="Z346" i="6"/>
  <c r="J346" i="6"/>
  <c r="S346" i="6"/>
  <c r="C346" i="6"/>
  <c r="Q346" i="6" s="1"/>
  <c r="D346" i="6"/>
  <c r="K346" i="6" s="1"/>
  <c r="N345" i="6" l="1"/>
  <c r="G345" i="6" s="1"/>
  <c r="O346" i="6"/>
  <c r="P346" i="6" s="1"/>
  <c r="L346" i="6"/>
  <c r="M346" i="6"/>
  <c r="N346" i="6" s="1"/>
  <c r="G346" i="6" s="1"/>
  <c r="R346" i="6"/>
  <c r="F347" i="6"/>
  <c r="S347" i="6"/>
  <c r="J347" i="6"/>
  <c r="E347" i="6"/>
  <c r="Z347" i="6"/>
  <c r="D347" i="6"/>
  <c r="K347" i="6" s="1"/>
  <c r="C347" i="6"/>
  <c r="Q347" i="6" s="1"/>
  <c r="B348" i="6"/>
  <c r="I345" i="6"/>
  <c r="I346" i="6"/>
  <c r="H347" i="6" l="1"/>
  <c r="R347" i="6" s="1"/>
  <c r="Z348" i="6"/>
  <c r="E348" i="6"/>
  <c r="B349" i="6"/>
  <c r="J348" i="6"/>
  <c r="S348" i="6"/>
  <c r="D348" i="6"/>
  <c r="K348" i="6" s="1"/>
  <c r="C348" i="6"/>
  <c r="Q348" i="6" s="1"/>
  <c r="F348" i="6"/>
  <c r="M347" i="6"/>
  <c r="L347" i="6"/>
  <c r="O347" i="6"/>
  <c r="P347" i="6" s="1"/>
  <c r="H348" i="6" l="1"/>
  <c r="R348" i="6" s="1"/>
  <c r="O348" i="6"/>
  <c r="P348" i="6" s="1"/>
  <c r="M348" i="6"/>
  <c r="L348" i="6"/>
  <c r="F349" i="6"/>
  <c r="J349" i="6"/>
  <c r="E349" i="6"/>
  <c r="B350" i="6"/>
  <c r="Z349" i="6"/>
  <c r="D349" i="6"/>
  <c r="K349" i="6" s="1"/>
  <c r="C349" i="6"/>
  <c r="Q349" i="6" s="1"/>
  <c r="S349" i="6"/>
  <c r="N347" i="6"/>
  <c r="G347" i="6" s="1"/>
  <c r="H349" i="6" l="1"/>
  <c r="R349" i="6" s="1"/>
  <c r="Z350" i="6"/>
  <c r="F350" i="6"/>
  <c r="D350" i="6"/>
  <c r="K350" i="6" s="1"/>
  <c r="S350" i="6"/>
  <c r="C350" i="6"/>
  <c r="Q350" i="6" s="1"/>
  <c r="E350" i="6"/>
  <c r="H350" i="6" s="1"/>
  <c r="J350" i="6"/>
  <c r="B351" i="6"/>
  <c r="N348" i="6"/>
  <c r="G348" i="6" s="1"/>
  <c r="L349" i="6"/>
  <c r="M349" i="6"/>
  <c r="N349" i="6" s="1"/>
  <c r="G349" i="6" s="1"/>
  <c r="O349" i="6"/>
  <c r="P349" i="6" s="1"/>
  <c r="I348" i="6"/>
  <c r="I347" i="6"/>
  <c r="I349" i="6" l="1"/>
  <c r="R350" i="6"/>
  <c r="M350" i="6"/>
  <c r="L350" i="6"/>
  <c r="O350" i="6"/>
  <c r="P350" i="6" s="1"/>
  <c r="B352" i="6"/>
  <c r="F351" i="6"/>
  <c r="Z351" i="6"/>
  <c r="S351" i="6"/>
  <c r="J351" i="6"/>
  <c r="D351" i="6"/>
  <c r="K351" i="6" s="1"/>
  <c r="E351" i="6"/>
  <c r="C351" i="6"/>
  <c r="Q351" i="6" s="1"/>
  <c r="C352" i="6" l="1"/>
  <c r="Q352" i="6" s="1"/>
  <c r="Z352" i="6"/>
  <c r="J352" i="6"/>
  <c r="E352" i="6"/>
  <c r="F352" i="6"/>
  <c r="D352" i="6"/>
  <c r="K352" i="6" s="1"/>
  <c r="B353" i="6"/>
  <c r="S352" i="6"/>
  <c r="H351" i="6"/>
  <c r="R351" i="6" s="1"/>
  <c r="O351" i="6"/>
  <c r="P351" i="6" s="1"/>
  <c r="M351" i="6"/>
  <c r="L351" i="6"/>
  <c r="N350" i="6"/>
  <c r="G350" i="6" s="1"/>
  <c r="I350" i="6" l="1"/>
  <c r="E353" i="6"/>
  <c r="Z353" i="6"/>
  <c r="F353" i="6"/>
  <c r="D353" i="6"/>
  <c r="K353" i="6" s="1"/>
  <c r="S353" i="6"/>
  <c r="J353" i="6"/>
  <c r="C353" i="6"/>
  <c r="Q353" i="6" s="1"/>
  <c r="B354" i="6"/>
  <c r="L352" i="6"/>
  <c r="M352" i="6"/>
  <c r="O352" i="6"/>
  <c r="P352" i="6" s="1"/>
  <c r="H352" i="6"/>
  <c r="R352" i="6" s="1"/>
  <c r="N351" i="6"/>
  <c r="H353" i="6" l="1"/>
  <c r="G351" i="6"/>
  <c r="I351" i="6"/>
  <c r="C354" i="6"/>
  <c r="Q354" i="6" s="1"/>
  <c r="J354" i="6"/>
  <c r="S354" i="6"/>
  <c r="F354" i="6"/>
  <c r="B355" i="6"/>
  <c r="E354" i="6"/>
  <c r="D354" i="6"/>
  <c r="K354" i="6" s="1"/>
  <c r="Z354" i="6"/>
  <c r="O353" i="6"/>
  <c r="P353" i="6" s="1"/>
  <c r="L353" i="6"/>
  <c r="M353" i="6"/>
  <c r="N353" i="6" s="1"/>
  <c r="G353" i="6" s="1"/>
  <c r="N352" i="6"/>
  <c r="G352" i="6" s="1"/>
  <c r="R353" i="6"/>
  <c r="E355" i="6" l="1"/>
  <c r="Z355" i="6"/>
  <c r="J355" i="6"/>
  <c r="F355" i="6"/>
  <c r="C355" i="6"/>
  <c r="Q355" i="6" s="1"/>
  <c r="B356" i="6"/>
  <c r="D355" i="6"/>
  <c r="K355" i="6" s="1"/>
  <c r="S355" i="6"/>
  <c r="H354" i="6"/>
  <c r="R354" i="6" s="1"/>
  <c r="I353" i="6"/>
  <c r="L354" i="6"/>
  <c r="O354" i="6"/>
  <c r="P354" i="6" s="1"/>
  <c r="M354" i="6"/>
  <c r="I352" i="6"/>
  <c r="H355" i="6" l="1"/>
  <c r="R355" i="6" s="1"/>
  <c r="L355" i="6"/>
  <c r="O355" i="6"/>
  <c r="P355" i="6" s="1"/>
  <c r="M355" i="6"/>
  <c r="N355" i="6" s="1"/>
  <c r="G355" i="6" s="1"/>
  <c r="S356" i="6"/>
  <c r="E356" i="6"/>
  <c r="H356" i="6" s="1"/>
  <c r="R356" i="6" s="1"/>
  <c r="J356" i="6"/>
  <c r="Z356" i="6"/>
  <c r="D356" i="6"/>
  <c r="K356" i="6" s="1"/>
  <c r="B357" i="6"/>
  <c r="F356" i="6"/>
  <c r="C356" i="6"/>
  <c r="Q356" i="6" s="1"/>
  <c r="N354" i="6"/>
  <c r="G354" i="6" s="1"/>
  <c r="M356" i="6" l="1"/>
  <c r="N356" i="6" s="1"/>
  <c r="G356" i="6" s="1"/>
  <c r="L356" i="6"/>
  <c r="O356" i="6"/>
  <c r="P356" i="6" s="1"/>
  <c r="I355" i="6"/>
  <c r="B358" i="6"/>
  <c r="J357" i="6"/>
  <c r="F357" i="6"/>
  <c r="E357" i="6"/>
  <c r="H357" i="6" s="1"/>
  <c r="D357" i="6"/>
  <c r="K357" i="6" s="1"/>
  <c r="S357" i="6"/>
  <c r="C357" i="6"/>
  <c r="Q357" i="6" s="1"/>
  <c r="R357" i="6" s="1"/>
  <c r="Z357" i="6"/>
  <c r="I354" i="6"/>
  <c r="C358" i="6" l="1"/>
  <c r="Q358" i="6" s="1"/>
  <c r="E358" i="6"/>
  <c r="D358" i="6"/>
  <c r="K358" i="6" s="1"/>
  <c r="B359" i="6"/>
  <c r="S358" i="6"/>
  <c r="Z358" i="6"/>
  <c r="F358" i="6"/>
  <c r="J358" i="6"/>
  <c r="L357" i="6"/>
  <c r="O357" i="6"/>
  <c r="P357" i="6" s="1"/>
  <c r="M357" i="6"/>
  <c r="I356" i="6"/>
  <c r="N357" i="6" l="1"/>
  <c r="G357" i="6" s="1"/>
  <c r="E359" i="6"/>
  <c r="C359" i="6"/>
  <c r="Q359" i="6" s="1"/>
  <c r="B360" i="6"/>
  <c r="J359" i="6"/>
  <c r="S359" i="6"/>
  <c r="D359" i="6"/>
  <c r="K359" i="6" s="1"/>
  <c r="F359" i="6"/>
  <c r="Z359" i="6"/>
  <c r="O358" i="6"/>
  <c r="P358" i="6" s="1"/>
  <c r="M358" i="6"/>
  <c r="L358" i="6"/>
  <c r="H358" i="6"/>
  <c r="R358" i="6" s="1"/>
  <c r="L359" i="6" l="1"/>
  <c r="O359" i="6"/>
  <c r="P359" i="6" s="1"/>
  <c r="M359" i="6"/>
  <c r="N359" i="6" s="1"/>
  <c r="G359" i="6" s="1"/>
  <c r="B361" i="6"/>
  <c r="D360" i="6"/>
  <c r="K360" i="6" s="1"/>
  <c r="S360" i="6"/>
  <c r="F360" i="6"/>
  <c r="Z360" i="6"/>
  <c r="C360" i="6"/>
  <c r="Q360" i="6" s="1"/>
  <c r="E360" i="6"/>
  <c r="J360" i="6"/>
  <c r="H359" i="6"/>
  <c r="R359" i="6" s="1"/>
  <c r="N358" i="6"/>
  <c r="G358" i="6" s="1"/>
  <c r="I357" i="6"/>
  <c r="I359" i="6"/>
  <c r="L360" i="6" l="1"/>
  <c r="M360" i="6"/>
  <c r="N360" i="6" s="1"/>
  <c r="G360" i="6" s="1"/>
  <c r="O360" i="6"/>
  <c r="P360" i="6" s="1"/>
  <c r="I358" i="6"/>
  <c r="B362" i="6"/>
  <c r="D361" i="6"/>
  <c r="K361" i="6" s="1"/>
  <c r="E361" i="6"/>
  <c r="J361" i="6"/>
  <c r="Z361" i="6"/>
  <c r="S361" i="6"/>
  <c r="C361" i="6"/>
  <c r="Q361" i="6" s="1"/>
  <c r="F361" i="6"/>
  <c r="H360" i="6"/>
  <c r="R360" i="6" s="1"/>
  <c r="H361" i="6" l="1"/>
  <c r="R361" i="6" s="1"/>
  <c r="M361" i="6"/>
  <c r="O361" i="6"/>
  <c r="P361" i="6" s="1"/>
  <c r="L361" i="6"/>
  <c r="S362" i="6"/>
  <c r="J362" i="6"/>
  <c r="D362" i="6"/>
  <c r="K362" i="6" s="1"/>
  <c r="Z362" i="6"/>
  <c r="E362" i="6"/>
  <c r="F362" i="6"/>
  <c r="B363" i="6"/>
  <c r="C362" i="6"/>
  <c r="Q362" i="6" s="1"/>
  <c r="I360" i="6"/>
  <c r="H362" i="6" l="1"/>
  <c r="R362" i="6" s="1"/>
  <c r="M362" i="6"/>
  <c r="L362" i="6"/>
  <c r="O362" i="6"/>
  <c r="P362" i="6" s="1"/>
  <c r="C363" i="6"/>
  <c r="Q363" i="6" s="1"/>
  <c r="S363" i="6"/>
  <c r="E363" i="6"/>
  <c r="H363" i="6" s="1"/>
  <c r="R363" i="6" s="1"/>
  <c r="D363" i="6"/>
  <c r="K363" i="6" s="1"/>
  <c r="Z363" i="6"/>
  <c r="B364" i="6"/>
  <c r="F363" i="6"/>
  <c r="J363" i="6"/>
  <c r="N361" i="6"/>
  <c r="N362" i="6" l="1"/>
  <c r="G362" i="6" s="1"/>
  <c r="L363" i="6"/>
  <c r="O363" i="6"/>
  <c r="P363" i="6" s="1"/>
  <c r="M363" i="6"/>
  <c r="G361" i="6"/>
  <c r="I361" i="6"/>
  <c r="I362" i="6"/>
  <c r="E364" i="6"/>
  <c r="F364" i="6"/>
  <c r="D364" i="6"/>
  <c r="K364" i="6" s="1"/>
  <c r="B365" i="6"/>
  <c r="J364" i="6"/>
  <c r="S364" i="6"/>
  <c r="Z364" i="6"/>
  <c r="C364" i="6"/>
  <c r="Q364" i="6" s="1"/>
  <c r="H364" i="6" l="1"/>
  <c r="R364" i="6" s="1"/>
  <c r="E365" i="6"/>
  <c r="C365" i="6"/>
  <c r="Q365" i="6" s="1"/>
  <c r="F365" i="6"/>
  <c r="S365" i="6"/>
  <c r="B366" i="6"/>
  <c r="J365" i="6"/>
  <c r="Z365" i="6"/>
  <c r="D365" i="6"/>
  <c r="K365" i="6" s="1"/>
  <c r="L364" i="6"/>
  <c r="O364" i="6"/>
  <c r="P364" i="6" s="1"/>
  <c r="M364" i="6"/>
  <c r="N363" i="6"/>
  <c r="G363" i="6" s="1"/>
  <c r="I363" i="6" l="1"/>
  <c r="C366" i="6"/>
  <c r="Q366" i="6" s="1"/>
  <c r="Z366" i="6"/>
  <c r="E366" i="6"/>
  <c r="S366" i="6"/>
  <c r="J366" i="6"/>
  <c r="F366" i="6"/>
  <c r="D366" i="6"/>
  <c r="K366" i="6" s="1"/>
  <c r="B367" i="6"/>
  <c r="N364" i="6"/>
  <c r="G364" i="6" s="1"/>
  <c r="H365" i="6"/>
  <c r="R365" i="6" s="1"/>
  <c r="L365" i="6"/>
  <c r="O365" i="6"/>
  <c r="P365" i="6" s="1"/>
  <c r="M365" i="6"/>
  <c r="N365" i="6" s="1"/>
  <c r="G365" i="6" s="1"/>
  <c r="L366" i="6" l="1"/>
  <c r="M366" i="6"/>
  <c r="N366" i="6" s="1"/>
  <c r="G366" i="6" s="1"/>
  <c r="O366" i="6"/>
  <c r="P366" i="6" s="1"/>
  <c r="I366" i="6" s="1"/>
  <c r="I365" i="6"/>
  <c r="H366" i="6"/>
  <c r="R366" i="6" s="1"/>
  <c r="S367" i="6"/>
  <c r="E367" i="6"/>
  <c r="Z367" i="6"/>
  <c r="J367" i="6"/>
  <c r="D367" i="6"/>
  <c r="K367" i="6" s="1"/>
  <c r="B368" i="6"/>
  <c r="C367" i="6"/>
  <c r="Q367" i="6" s="1"/>
  <c r="F367" i="6"/>
  <c r="I364" i="6"/>
  <c r="H367" i="6" l="1"/>
  <c r="R367" i="6" s="1"/>
  <c r="Z368" i="6"/>
  <c r="D368" i="6"/>
  <c r="K368" i="6" s="1"/>
  <c r="C368" i="6"/>
  <c r="Q368" i="6" s="1"/>
  <c r="B369" i="6"/>
  <c r="E368" i="6"/>
  <c r="S368" i="6"/>
  <c r="J368" i="6"/>
  <c r="F368" i="6"/>
  <c r="O367" i="6"/>
  <c r="P367" i="6" s="1"/>
  <c r="M367" i="6"/>
  <c r="L367" i="6"/>
  <c r="H368" i="6" l="1"/>
  <c r="R368" i="6" s="1"/>
  <c r="J369" i="6"/>
  <c r="C369" i="6"/>
  <c r="Q369" i="6" s="1"/>
  <c r="F369" i="6"/>
  <c r="E369" i="6"/>
  <c r="S369" i="6"/>
  <c r="Z369" i="6"/>
  <c r="B370" i="6"/>
  <c r="D369" i="6"/>
  <c r="K369" i="6" s="1"/>
  <c r="M368" i="6"/>
  <c r="O368" i="6"/>
  <c r="P368" i="6" s="1"/>
  <c r="L368" i="6"/>
  <c r="N367" i="6"/>
  <c r="G367" i="6" s="1"/>
  <c r="O369" i="6" l="1"/>
  <c r="P369" i="6" s="1"/>
  <c r="L369" i="6"/>
  <c r="M369" i="6"/>
  <c r="N369" i="6" s="1"/>
  <c r="G369" i="6" s="1"/>
  <c r="J370" i="6"/>
  <c r="S370" i="6"/>
  <c r="D370" i="6"/>
  <c r="K370" i="6" s="1"/>
  <c r="F370" i="6"/>
  <c r="Z370" i="6"/>
  <c r="B371" i="6"/>
  <c r="E370" i="6"/>
  <c r="C370" i="6"/>
  <c r="Q370" i="6" s="1"/>
  <c r="I367" i="6"/>
  <c r="H369" i="6"/>
  <c r="R369" i="6" s="1"/>
  <c r="N368" i="6"/>
  <c r="I369" i="6" l="1"/>
  <c r="O370" i="6"/>
  <c r="P370" i="6" s="1"/>
  <c r="L370" i="6"/>
  <c r="M370" i="6"/>
  <c r="N370" i="6" s="1"/>
  <c r="G370" i="6" s="1"/>
  <c r="B372" i="6"/>
  <c r="D371" i="6"/>
  <c r="K371" i="6" s="1"/>
  <c r="F371" i="6"/>
  <c r="E371" i="6"/>
  <c r="Z371" i="6"/>
  <c r="S371" i="6"/>
  <c r="J371" i="6"/>
  <c r="C371" i="6"/>
  <c r="Q371" i="6" s="1"/>
  <c r="G368" i="6"/>
  <c r="I368" i="6"/>
  <c r="H370" i="6"/>
  <c r="R370" i="6" s="1"/>
  <c r="I370" i="6"/>
  <c r="H371" i="6" l="1"/>
  <c r="O371" i="6"/>
  <c r="P371" i="6" s="1"/>
  <c r="M371" i="6"/>
  <c r="L371" i="6"/>
  <c r="E372" i="6"/>
  <c r="J372" i="6"/>
  <c r="Z372" i="6"/>
  <c r="F372" i="6"/>
  <c r="B373" i="6"/>
  <c r="S372" i="6"/>
  <c r="D372" i="6"/>
  <c r="K372" i="6" s="1"/>
  <c r="C372" i="6"/>
  <c r="Q372" i="6" s="1"/>
  <c r="R371" i="6"/>
  <c r="H372" i="6" l="1"/>
  <c r="M372" i="6"/>
  <c r="L372" i="6"/>
  <c r="O372" i="6"/>
  <c r="P372" i="6" s="1"/>
  <c r="N371" i="6"/>
  <c r="R372" i="6"/>
  <c r="S373" i="6"/>
  <c r="J373" i="6"/>
  <c r="C373" i="6"/>
  <c r="Q373" i="6" s="1"/>
  <c r="B374" i="6"/>
  <c r="F373" i="6"/>
  <c r="Z373" i="6"/>
  <c r="D373" i="6"/>
  <c r="K373" i="6" s="1"/>
  <c r="E373" i="6"/>
  <c r="H373" i="6" s="1"/>
  <c r="R373" i="6" s="1"/>
  <c r="G371" i="6" l="1"/>
  <c r="I371" i="6"/>
  <c r="L373" i="6"/>
  <c r="O373" i="6"/>
  <c r="P373" i="6" s="1"/>
  <c r="M373" i="6"/>
  <c r="S374" i="6"/>
  <c r="F374" i="6"/>
  <c r="B375" i="6"/>
  <c r="E374" i="6"/>
  <c r="J374" i="6"/>
  <c r="C374" i="6"/>
  <c r="Q374" i="6" s="1"/>
  <c r="Z374" i="6"/>
  <c r="D374" i="6"/>
  <c r="K374" i="6" s="1"/>
  <c r="N372" i="6"/>
  <c r="G372" i="6" s="1"/>
  <c r="AR13" i="6"/>
  <c r="AR12" i="6"/>
  <c r="AR11" i="6"/>
  <c r="AR14" i="6"/>
  <c r="AR17" i="6"/>
  <c r="AR19" i="6"/>
  <c r="AR16" i="6"/>
  <c r="AR15" i="6"/>
  <c r="AR18" i="6"/>
  <c r="AR20" i="6"/>
  <c r="AR21" i="6"/>
  <c r="W20" i="6"/>
  <c r="X19" i="6" s="1"/>
  <c r="W40" i="6"/>
  <c r="X39" i="6" s="1"/>
  <c r="W12" i="6"/>
  <c r="X11" i="6" s="1"/>
  <c r="W51" i="6"/>
  <c r="X50" i="6" s="1"/>
  <c r="W45" i="6"/>
  <c r="X44" i="6" s="1"/>
  <c r="W28" i="6"/>
  <c r="X27" i="6" s="1"/>
  <c r="W60" i="6"/>
  <c r="X59" i="6" s="1"/>
  <c r="W44" i="6"/>
  <c r="X43" i="6" s="1"/>
  <c r="W15" i="6"/>
  <c r="X14" i="6" s="1"/>
  <c r="W16" i="6"/>
  <c r="X15" i="6" s="1"/>
  <c r="W58" i="6"/>
  <c r="X57" i="6" s="1"/>
  <c r="W13" i="6"/>
  <c r="X12" i="6" s="1"/>
  <c r="W14" i="6"/>
  <c r="X13" i="6" s="1"/>
  <c r="W31" i="6"/>
  <c r="X30" i="6" s="1"/>
  <c r="W62" i="6"/>
  <c r="X61" i="6" s="1"/>
  <c r="W38" i="6"/>
  <c r="X37" i="6" s="1"/>
  <c r="W18" i="6"/>
  <c r="X17" i="6" s="1"/>
  <c r="W49" i="6"/>
  <c r="X48" i="6" s="1"/>
  <c r="W35" i="6"/>
  <c r="X34" i="6" s="1"/>
  <c r="W53" i="6"/>
  <c r="X52" i="6" s="1"/>
  <c r="W46" i="6"/>
  <c r="X45" i="6" s="1"/>
  <c r="W17" i="6"/>
  <c r="X16" i="6" s="1"/>
  <c r="W61" i="6"/>
  <c r="X60" i="6" s="1"/>
  <c r="W26" i="6"/>
  <c r="X25" i="6" s="1"/>
  <c r="W24" i="6"/>
  <c r="X23" i="6" s="1"/>
  <c r="W30" i="6"/>
  <c r="X29" i="6" s="1"/>
  <c r="W42" i="6"/>
  <c r="X41" i="6" s="1"/>
  <c r="W52" i="6"/>
  <c r="X51" i="6" s="1"/>
  <c r="W59" i="6"/>
  <c r="X58" i="6" s="1"/>
  <c r="W34" i="6"/>
  <c r="X33" i="6" s="1"/>
  <c r="W29" i="6"/>
  <c r="X28" i="6" s="1"/>
  <c r="W25" i="6"/>
  <c r="X24" i="6" s="1"/>
  <c r="W54" i="6"/>
  <c r="X53" i="6" s="1"/>
  <c r="W33" i="6"/>
  <c r="X32" i="6" s="1"/>
  <c r="W23" i="6"/>
  <c r="X22" i="6" s="1"/>
  <c r="W43" i="6"/>
  <c r="X42" i="6" s="1"/>
  <c r="W50" i="6"/>
  <c r="X49" i="6" s="1"/>
  <c r="W39" i="6"/>
  <c r="X38" i="6" s="1"/>
  <c r="W57" i="6"/>
  <c r="X56" i="6" s="1"/>
  <c r="W37" i="6"/>
  <c r="X36" i="6" s="1"/>
  <c r="W27" i="6"/>
  <c r="X26" i="6" s="1"/>
  <c r="W22" i="6"/>
  <c r="X21" i="6" s="1"/>
  <c r="W55" i="6"/>
  <c r="X54" i="6" s="1"/>
  <c r="W36" i="6"/>
  <c r="X35" i="6" s="1"/>
  <c r="W48" i="6"/>
  <c r="X47" i="6" s="1"/>
  <c r="W32" i="6"/>
  <c r="X31" i="6" s="1"/>
  <c r="W41" i="6"/>
  <c r="X40" i="6" s="1"/>
  <c r="W47" i="6"/>
  <c r="X46" i="6" s="1"/>
  <c r="W19" i="6"/>
  <c r="X18" i="6" s="1"/>
  <c r="W21" i="6"/>
  <c r="X20" i="6" s="1"/>
  <c r="W56" i="6"/>
  <c r="X55" i="6" s="1"/>
  <c r="N373" i="6" l="1"/>
  <c r="G373" i="6" s="1"/>
  <c r="I373" i="6"/>
  <c r="M374" i="6"/>
  <c r="N374" i="6" s="1"/>
  <c r="G374" i="6" s="1"/>
  <c r="O374" i="6"/>
  <c r="P374" i="6" s="1"/>
  <c r="L374" i="6"/>
  <c r="I372" i="6"/>
  <c r="H374" i="6"/>
  <c r="C375" i="6"/>
  <c r="Q375" i="6" s="1"/>
  <c r="J375" i="6"/>
  <c r="E375" i="6"/>
  <c r="H375" i="6" s="1"/>
  <c r="S375" i="6"/>
  <c r="D375" i="6"/>
  <c r="K375" i="6" s="1"/>
  <c r="F375" i="6"/>
  <c r="AD32" i="6"/>
  <c r="AD19" i="6"/>
  <c r="AD13" i="6"/>
  <c r="AD28" i="6"/>
  <c r="AD10" i="6"/>
  <c r="AD20" i="6"/>
  <c r="AD23" i="6"/>
  <c r="AD14" i="6"/>
  <c r="AD38" i="6"/>
  <c r="AD15" i="6"/>
  <c r="AD21" i="6"/>
  <c r="AD27" i="6"/>
  <c r="AD25" i="6"/>
  <c r="AD18" i="6"/>
  <c r="AD22" i="6"/>
  <c r="AD31" i="6"/>
  <c r="AD39" i="6"/>
  <c r="AD29" i="6"/>
  <c r="AD26" i="6"/>
  <c r="AD35" i="6"/>
  <c r="AD33" i="6"/>
  <c r="AD16" i="6"/>
  <c r="AD30" i="6"/>
  <c r="AD40" i="6"/>
  <c r="AD37" i="6"/>
  <c r="AD36" i="6"/>
  <c r="AD17" i="6"/>
  <c r="AD34" i="6"/>
  <c r="AD11" i="6"/>
  <c r="AD24" i="6"/>
  <c r="AD12" i="6"/>
  <c r="I374" i="6"/>
  <c r="R375" i="6" l="1"/>
  <c r="R374" i="6"/>
  <c r="AP15" i="6"/>
  <c r="AQ15" i="6" s="1"/>
  <c r="AS15" i="6" s="1"/>
  <c r="AP18" i="6"/>
  <c r="AQ18" i="6" s="1"/>
  <c r="AS18" i="6" s="1"/>
  <c r="AP16" i="6"/>
  <c r="AQ16" i="6" s="1"/>
  <c r="AS16" i="6" s="1"/>
  <c r="AP20" i="6"/>
  <c r="AQ20" i="6" s="1"/>
  <c r="AS20" i="6" s="1"/>
  <c r="AP10" i="6"/>
  <c r="AQ10" i="6" s="1"/>
  <c r="AS10" i="6" s="1"/>
  <c r="AP17" i="6"/>
  <c r="AQ17" i="6" s="1"/>
  <c r="AS17" i="6" s="1"/>
  <c r="AP19" i="6"/>
  <c r="AQ19" i="6" s="1"/>
  <c r="AS19" i="6" s="1"/>
  <c r="AP11" i="6"/>
  <c r="AQ11" i="6" s="1"/>
  <c r="AS11" i="6" s="1"/>
  <c r="AP12" i="6"/>
  <c r="AQ12" i="6" s="1"/>
  <c r="AS12" i="6" s="1"/>
  <c r="AP21" i="6"/>
  <c r="AQ21" i="6" s="1"/>
  <c r="AS21" i="6" s="1"/>
  <c r="AP13" i="6"/>
  <c r="AQ13" i="6" s="1"/>
  <c r="AS13" i="6" s="1"/>
  <c r="AP14" i="6"/>
  <c r="AQ14" i="6" s="1"/>
  <c r="AS14" i="6" s="1"/>
  <c r="L375" i="6"/>
  <c r="M375" i="6"/>
  <c r="N375" i="6" s="1"/>
  <c r="O375" i="6"/>
  <c r="P375" i="6" s="1"/>
  <c r="AD43" i="6" l="1"/>
  <c r="AD46" i="6"/>
  <c r="AD45" i="6"/>
  <c r="AD44" i="6"/>
  <c r="AD41" i="6"/>
  <c r="AD42" i="6"/>
  <c r="V49" i="6"/>
  <c r="V29" i="6"/>
  <c r="V19" i="6"/>
  <c r="V17" i="6"/>
  <c r="V23" i="6"/>
  <c r="V37" i="6"/>
  <c r="V16" i="6"/>
  <c r="V57" i="6"/>
  <c r="G375" i="6"/>
  <c r="V42" i="6"/>
  <c r="V35" i="6"/>
  <c r="V22" i="6"/>
  <c r="V58" i="6"/>
  <c r="V51" i="6"/>
  <c r="V13" i="6"/>
  <c r="V48" i="6"/>
  <c r="V52" i="6"/>
  <c r="V60" i="6"/>
  <c r="V44" i="6"/>
  <c r="V24" i="6"/>
  <c r="V50" i="6"/>
  <c r="V46" i="6"/>
  <c r="V53" i="6"/>
  <c r="V11" i="6"/>
  <c r="V32" i="6"/>
  <c r="V34" i="6"/>
  <c r="V55" i="6"/>
  <c r="V15" i="6"/>
  <c r="V41" i="6"/>
  <c r="V38" i="6"/>
  <c r="V14" i="6"/>
  <c r="V33" i="6"/>
  <c r="V63" i="6"/>
  <c r="V31" i="6"/>
  <c r="V20" i="6"/>
  <c r="V36" i="6"/>
  <c r="V45" i="6"/>
  <c r="V27" i="6"/>
  <c r="V56" i="6"/>
  <c r="V61" i="6"/>
  <c r="V40" i="6"/>
  <c r="V21" i="6"/>
  <c r="V59" i="6"/>
  <c r="V43" i="6"/>
  <c r="V30" i="6"/>
  <c r="V26" i="6"/>
  <c r="V12" i="6"/>
  <c r="V47" i="6"/>
  <c r="V28" i="6"/>
  <c r="V39" i="6"/>
  <c r="V18" i="6"/>
  <c r="V25" i="6"/>
  <c r="V62" i="6"/>
  <c r="V54" i="6"/>
  <c r="V10" i="6"/>
  <c r="I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20C847-A959-4ED1-87A6-980EACF18456}" keepAlive="1" name="Query - ActiveLink" description="Connection to the 'ActiveLink' query in the workbook." type="5" refreshedVersion="0" background="1">
    <dbPr connection="Provider=Microsoft.Mashup.OleDb.1;Data Source=$Workbook$;Location=ActiveLink;Extended Properties=&quot;&quot;" command="SELECT * FROM [ActiveLink]"/>
  </connection>
  <connection id="2" xr16:uid="{E2E4A6CE-85D1-41E1-999B-3A97630F81C3}" keepAlive="1" name="Query - API_AccountingPeriod" description="Connection to the 'API_AccountingPeriod' query in the workbook." type="5" refreshedVersion="6" background="1" saveData="1">
    <dbPr connection="Provider=Microsoft.Mashup.OleDb.1;Data Source=$Workbook$;Location=API_AccountingPeriod;Extended Properties=&quot;&quot;" command="SELECT * FROM [API_AccountingPeriod]"/>
  </connection>
  <connection id="3" xr16:uid="{D63C71D9-D9B4-4AC3-9588-444FBEF2740C}" keepAlive="1" name="Query - API_Activity" description="Connection to the 'API_Activity' query in the workbook." type="5" refreshedVersion="6" background="1" saveData="1">
    <dbPr connection="Provider=Microsoft.Mashup.OleDb.1;Data Source=$Workbook$;Location=API_Activity;Extended Properties=&quot;&quot;" command="SELECT * FROM [API_Activity]"/>
  </connection>
  <connection id="4" xr16:uid="{75EF9713-49F0-4190-92FA-1C74EA845F82}" keepAlive="1" name="Query - API_CNUnit" description="Connection to the 'API_CNUnit' query in the workbook." type="5" refreshedVersion="6" background="1" saveData="1">
    <dbPr connection="Provider=Microsoft.Mashup.OleDb.1;Data Source=$Workbook$;Location=API_CNUnit;Extended Properties=&quot;&quot;" command="SELECT * FROM [API_CNUnit]"/>
  </connection>
  <connection id="5" xr16:uid="{D645DB69-EC05-4AB3-9291-90E90DDE5522}" keepAlive="1" name="Query - API_CNUnit_Cap" description="Connection to the 'API_CNUnit_Cap' query in the workbook." type="5" refreshedVersion="6" background="1" saveData="1">
    <dbPr connection="Provider=Microsoft.Mashup.OleDb.1;Data Source=$Workbook$;Location=API_CNUnit_Cap;Extended Properties=&quot;&quot;" command="SELECT * FROM [API_CNUnit_Cap]"/>
  </connection>
  <connection id="6" xr16:uid="{E11CD6D9-2308-43F5-B86F-583A38C64FD0}" keepAlive="1" name="Query - API_Destination" description="Connection to the 'API_Destination' query in the workbook." type="5" refreshedVersion="6" background="1" saveData="1">
    <dbPr connection="Provider=Microsoft.Mashup.OleDb.1;Data Source=$Workbook$;Location=API_Destination;Extended Properties=&quot;&quot;" command="SELECT * FROM [API_Destination]"/>
  </connection>
  <connection id="7" xr16:uid="{EB290494-96DF-49FC-A84C-6CC38911C1F4}" keepAlive="1" name="Query - API_Event_Activity" description="Connection to the 'API_Event_Activity' query in the workbook." type="5" refreshedVersion="6" background="1" saveData="1">
    <dbPr connection="Provider=Microsoft.Mashup.OleDb.1;Data Source=$Workbook$;Location=API_Event_Activity;Extended Properties=&quot;&quot;" command="SELECT * FROM [API_Event_Activity]"/>
  </connection>
  <connection id="8" xr16:uid="{39C34CE2-CB73-40FA-A9AE-3FA072A25DDC}" keepAlive="1" name="Query - API_Event_Category" description="Connection to the 'API_Event_Category' query in the workbook." type="5" refreshedVersion="6" background="1" saveData="1">
    <dbPr connection="Provider=Microsoft.Mashup.OleDb.1;Data Source=$Workbook$;Location=API_Event_Category;Extended Properties=&quot;&quot;" command="SELECT * FROM [API_Event_Category]"/>
  </connection>
  <connection id="9" xr16:uid="{9F9163C1-8080-4A55-BCD4-2D142CA55AF0}" keepAlive="1" name="Query - API_Loader" description="Connection to the 'API_Loader' query in the workbook." type="5" refreshedVersion="6" background="1" saveData="1">
    <dbPr connection="Provider=Microsoft.Mashup.OleDb.1;Data Source=$Workbook$;Location=API_Loader;Extended Properties=&quot;&quot;" command="SELECT * FROM [API_Loader]"/>
  </connection>
  <connection id="10" xr16:uid="{B904CA0C-165A-4F9C-81FE-EF160B95AB8F}" keepAlive="1" name="Query - API_lst_EventActivity" description="Connection to the 'API_lst_EventActivity' query in the workbook." type="5" refreshedVersion="0" background="1">
    <dbPr connection="Provider=Microsoft.Mashup.OleDb.1;Data Source=$Workbook$;Location=API_lst_EventActivity;Extended Properties=&quot;&quot;" command="SELECT * FROM [API_lst_EventActivity]"/>
  </connection>
  <connection id="11" xr16:uid="{9975F4D2-2EC5-445C-9E3C-C571F8A38785}" keepAlive="1" name="Query - API_lst_EventActivity4Plan" description="Connection to the 'API_lst_EventActivity4Plan' query in the workbook." type="5" refreshedVersion="0" background="1">
    <dbPr connection="Provider=Microsoft.Mashup.OleDb.1;Data Source=$Workbook$;Location=API_lst_EventActivity4Plan;Extended Properties=&quot;&quot;" command="SELECT * FROM [API_lst_EventActivity4Plan]"/>
  </connection>
  <connection id="12" xr16:uid="{75119892-574C-4CF2-85F1-B014E2AF7284}" keepAlive="1" name="Query - API_lst_ProblemActivity" description="Connection to the 'API_lst_ProblemActivity' query in the workbook." type="5" refreshedVersion="0" background="1">
    <dbPr connection="Provider=Microsoft.Mashup.OleDb.1;Data Source=$Workbook$;Location=API_lst_ProblemActivity;Extended Properties=&quot;&quot;" command="SELECT * FROM [API_lst_ProblemActivity]"/>
  </connection>
  <connection id="13" xr16:uid="{7F573D4C-E645-4CCA-8ABF-E56B138CAA76}" keepAlive="1" name="Query - API_lst_ProblemActivity4Plan" description="Connection to the 'API_lst_ProblemActivity4Plan' query in the workbook." type="5" refreshedVersion="0" background="1">
    <dbPr connection="Provider=Microsoft.Mashup.OleDb.1;Data Source=$Workbook$;Location=API_lst_ProblemActivity4Plan;Extended Properties=&quot;&quot;" command="SELECT * FROM [API_lst_ProblemActivity4Plan]"/>
  </connection>
  <connection id="14" xr16:uid="{4AAFC546-2B99-4BFB-991F-7158EAA591F2}" keepAlive="1" name="Query - API_Material" description="Connection to the 'API_Material' query in the workbook." type="5" refreshedVersion="6" background="1" saveData="1">
    <dbPr connection="Provider=Microsoft.Mashup.OleDb.1;Data Source=$Workbook$;Location=API_Material;Extended Properties=&quot;&quot;" command="SELECT * FROM [API_Material]"/>
  </connection>
  <connection id="15" xr16:uid="{E6D11416-4519-46CF-99B5-144C02349E6F}" keepAlive="1" name="Query - API_NmKolomInput" description="Connection to the 'API_NmKolomInput' query in the workbook." type="5" refreshedVersion="0" background="1">
    <dbPr connection="Provider=Microsoft.Mashup.OleDb.1;Data Source=$Workbook$;Location=API_NmKolomInput;Extended Properties=&quot;&quot;" command="SELECT * FROM [API_NmKolomInput]"/>
  </connection>
  <connection id="16" xr16:uid="{F6FC77C8-96F4-4651-B51C-DDC5AF1559FC}" keepAlive="1" name="Query - API_NmKolomPlan" description="Connection to the 'API_NmKolomPlan' query in the workbook." type="5" refreshedVersion="0" background="1">
    <dbPr connection="Provider=Microsoft.Mashup.OleDb.1;Data Source=$Workbook$;Location=API_NmKolomPlan;Extended Properties=&quot;&quot;" command="SELECT * FROM [API_NmKolomPlan]"/>
  </connection>
  <connection id="17" xr16:uid="{ECFBDAF2-4A40-40C7-8D86-AD024DFCA315}" keepAlive="1" name="Query - API_OperatorNIK" description="Connection to the 'API_OperatorNIK' query in the workbook." type="5" refreshedVersion="6" background="1" saveData="1">
    <dbPr connection="Provider=Microsoft.Mashup.OleDb.1;Data Source=$Workbook$;Location=API_OperatorNIK;Extended Properties=&quot;&quot;" command="SELECT * FROM [API_OperatorNIK]"/>
  </connection>
  <connection id="18" xr16:uid="{8E5D7EF5-E2B7-4C39-A447-4CEB8A0C4A4E}" keepAlive="1" name="Query - API_PITLocation" description="Connection to the 'API_PITLocation' query in the workbook." type="5" refreshedVersion="6" background="1" saveData="1">
    <dbPr connection="Provider=Microsoft.Mashup.OleDb.1;Data Source=$Workbook$;Location=API_PITLocation;Extended Properties=&quot;&quot;" command="SELECT * FROM [API_PITLocation]"/>
  </connection>
  <connection id="19" xr16:uid="{1BFB41C0-2623-4223-AE4A-F278B2CEE2EB}" keepAlive="1" name="Query - API_Problem_Activity" description="Connection to the 'API_Problem_Activity' query in the workbook." type="5" refreshedVersion="6" background="1" saveData="1">
    <dbPr connection="Provider=Microsoft.Mashup.OleDb.1;Data Source=$Workbook$;Location=API_Problem_Activity;Extended Properties=&quot;&quot;" command="SELECT * FROM [API_Problem_Activity]"/>
  </connection>
  <connection id="20" xr16:uid="{47317062-8655-4573-B83B-B3705EBC96C4}" keepAlive="1" name="Query - API_Problem_Category" description="Connection to the 'API_Problem_Category' query in the workbook." type="5" refreshedVersion="6" background="1" saveData="1">
    <dbPr connection="Provider=Microsoft.Mashup.OleDb.1;Data Source=$Workbook$;Location=API_Problem_Category;Extended Properties=&quot;&quot;" command="SELECT * FROM [API_Problem_Category]"/>
  </connection>
  <connection id="21" xr16:uid="{56B554D1-64FB-4C4A-A52F-1F3F4F5DE00A}" keepAlive="1" name="Query - API_Q" description="Connection to the 'API_Q' query in the workbook." type="5" refreshedVersion="0" background="1">
    <dbPr connection="Provider=Microsoft.Mashup.OleDb.1;Data Source=$Workbook$;Location=API_Q;Extended Properties=&quot;&quot;" command="SELECT * FROM [API_Q]"/>
  </connection>
  <connection id="22" xr16:uid="{9F1CABA7-494A-4822-84D1-4C0BE88FC386}" keepAlive="1" name="Query - API_Shift" description="Connection to the 'API_Shift' query in the workbook." type="5" refreshedVersion="6" background="1" saveData="1">
    <dbPr connection="Provider=Microsoft.Mashup.OleDb.1;Data Source=$Workbook$;Location=API_Shift;Extended Properties=&quot;&quot;" command="SELECT * FROM [API_Shift]"/>
  </connection>
  <connection id="23" xr16:uid="{772A68E7-76BA-4FF3-8238-70587F33E29C}" keepAlive="1" name="Query - API_Source" description="Connection to the 'API_Source' query in the workbook." type="5" refreshedVersion="6" background="1" saveData="1">
    <dbPr connection="Provider=Microsoft.Mashup.OleDb.1;Data Source=$Workbook$;Location=API_Source;Extended Properties=&quot;&quot;" command="SELECT * FROM [API_Source]"/>
  </connection>
  <connection id="24" xr16:uid="{A5F42935-E868-4170-AE2B-3057CEABF10C}" keepAlive="1" name="Query - API_SupervisorNIK" description="Connection to the 'API_SupervisorNIK' query in the workbook." type="5" refreshedVersion="6" background="1" saveData="1">
    <dbPr connection="Provider=Microsoft.Mashup.OleDb.1;Data Source=$Workbook$;Location=API_SupervisorNIK;Extended Properties=&quot;&quot;" command="SELECT * FROM [API_SupervisorNIK]"/>
  </connection>
  <connection id="25" xr16:uid="{2A2C9012-EAD3-42C2-A5B1-90BE6AC230A1}" keepAlive="1" name="Query - GetJson" description="Connection to the 'GetJson' query in the workbook." type="5" refreshedVersion="0" background="1">
    <dbPr connection="Provider=Microsoft.Mashup.OleDb.1;Data Source=$Workbook$;Location=GetJson;Extended Properties=&quot;&quot;" command="SELECT * FROM [GetJson]"/>
  </connection>
  <connection id="26" xr16:uid="{70B03AD4-2E87-451A-AB4C-DCD06F5F8C61}" keepAlive="1" name="Query - InputData2Web1" description="Connection to the 'InputData2Web' query in the workbook." type="5" refreshedVersion="7" background="1" saveData="1">
    <dbPr connection="Provider=Microsoft.Mashup.OleDb.1;Data Source=$Workbook$;Location=InputData2Web;Extended Properties=&quot;&quot;" command="SELECT * FROM [InputData2Web]"/>
  </connection>
  <connection id="27" xr16:uid="{D1D952EE-1EFD-4308-8368-87235ED87F47}" keepAlive="1" name="Query - InputDatenShiftless12Row" description="Connection to the 'InputDatenShiftless12Row' query in the workbook." type="5" refreshedVersion="7" background="1" saveData="1">
    <dbPr connection="Provider=Microsoft.Mashup.OleDb.1;Data Source=$Workbook$;Location=InputDatenShiftless12Row;Extended Properties=&quot;&quot;" command="SELECT * FROM [InputDatenShiftless12Row]"/>
  </connection>
  <connection id="28" xr16:uid="{E42EDDAF-0A92-4D1E-AC55-EEF055172931}" keepAlive="1" name="Query - InputEventActivity" description="Connection to the 'InputEventActivity' query in the workbook." type="5" refreshedVersion="7" background="1" saveData="1">
    <dbPr connection="Provider=Microsoft.Mashup.OleDb.1;Data Source=$Workbook$;Location=InputEventActivity;Extended Properties=&quot;&quot;" command="SELECT * FROM [InputEventActivity]"/>
  </connection>
  <connection id="29" xr16:uid="{CEEC9F0E-7F25-4C66-BAE0-C4A399C36889}" keepAlive="1" name="Query - InputProuductivityProblem" description="Connection to the 'InputProuductivityProblem' query in the workbook." type="5" refreshedVersion="7" background="1" saveData="1">
    <dbPr connection="Provider=Microsoft.Mashup.OleDb.1;Data Source=$Workbook$;Location=InputProuductivityProblem;Extended Properties=&quot;&quot;" command="SELECT * FROM [InputProuductivityProblem]"/>
  </connection>
  <connection id="30" xr16:uid="{87389115-8AA4-489D-9141-015C45816831}" keepAlive="1" name="Query - InputValidationActivity" description="Connection to the 'InputValidationActivity' query in the workbook." type="5" refreshedVersion="7" background="1" saveData="1">
    <dbPr connection="Provider=Microsoft.Mashup.OleDb.1;Data Source=$Workbook$;Location=InputValidationActivity;Extended Properties=&quot;&quot;" command="SELECT * FROM [InputValidationActivity]"/>
  </connection>
  <connection id="31" xr16:uid="{49069C53-1877-4A3E-80CE-1AA58FFE8DC7}" keepAlive="1" name="Query - InputValidationActualProgress" description="Connection to the 'InputValidationActualProgress' query in the workbook." type="5" refreshedVersion="7" background="1" saveData="1">
    <dbPr connection="Provider=Microsoft.Mashup.OleDb.1;Data Source=$Workbook$;Location=InputValidationActualProgress;Extended Properties=&quot;&quot;" command="SELECT * FROM [InputValidationActualProgress]"/>
  </connection>
  <connection id="32" xr16:uid="{33771879-EEE8-4C07-9CED-DD5CB6BEBD44}" keepAlive="1" name="Query - Plan_EventActivity" description="Connection to the 'Plan_EventActivity' query in the workbook." type="5" refreshedVersion="7" background="1" saveData="1">
    <dbPr connection="Provider=Microsoft.Mashup.OleDb.1;Data Source=$Workbook$;Location=Plan_EventActivity;Extended Properties=&quot;&quot;" command="SELECT * FROM [Plan_EventActivity]"/>
  </connection>
  <connection id="33" xr16:uid="{15D90AFA-85B9-4989-861A-6E41E62408D2}" keepAlive="1" name="Query - PlanProductivity" description="Connection to the 'PlanProductivity' query in the workbook." type="5" refreshedVersion="6" background="1" saveData="1">
    <dbPr connection="Provider=Microsoft.Mashup.OleDb.1;Data Source=$Workbook$;Location=PlanProductivity;Extended Properties=&quot;&quot;" command="SELECT * FROM [PlanProductivity]"/>
  </connection>
  <connection id="34" xr16:uid="{A96C7C90-6E2B-448E-AF02-9EEA00D3D5C0}" keepAlive="1" name="Query - PlanValidation" description="Connection to the 'PlanValidation' query in the workbook." type="5" refreshedVersion="6" background="1" saveData="1">
    <dbPr connection="Provider=Microsoft.Mashup.OleDb.1;Data Source=$Workbook$;Location=PlanValidation;Extended Properties=&quot;&quot;" command="SELECT * FROM [PlanValidation]"/>
  </connection>
  <connection id="35" xr16:uid="{338983E6-7F75-40AC-A2B2-B679B86707E7}" keepAlive="1" name="Query - QryTest" description="Connection to the 'QryTest' query in the workbook." type="5" refreshedVersion="0" background="1">
    <dbPr connection="Provider=Microsoft.Mashup.OleDb.1;Data Source=$Workbook$;Location=QryTest;Extended Properties=&quot;&quot;" command="SELECT * FROM [QryTest]"/>
  </connection>
  <connection id="36" xr16:uid="{B5546D75-ABA9-4713-8793-C685F97A897B}" keepAlive="1" name="Query - Web_AccountingPeriod" description="Connection to the 'Web_AccountingPeriod' query in the workbook." type="5" refreshedVersion="0" background="1">
    <dbPr connection="Provider=Microsoft.Mashup.OleDb.1;Data Source=$Workbook$;Location=Web_AccountingPeriod;Extended Properties=&quot;&quot;" command="SELECT * FROM [Web_AccountingPeriod]"/>
  </connection>
  <connection id="37" xr16:uid="{F6527929-6440-449B-8AFD-4D3BFC6B3561}" keepAlive="1" name="Query - Web_Activity" description="Connection to the 'Web_Activity' query in the workbook." type="5" refreshedVersion="0" background="1">
    <dbPr connection="Provider=Microsoft.Mashup.OleDb.1;Data Source=$Workbook$;Location=Web_Activity;Extended Properties=&quot;&quot;" command="SELECT * FROM [Web_Activity]"/>
  </connection>
  <connection id="38" xr16:uid="{415B529D-FC4A-40AA-A590-83695080E73D}" keepAlive="1" name="Query - Web_CNUnit" description="Connection to the 'Web_CNUnit' query in the workbook." type="5" refreshedVersion="0" background="1">
    <dbPr connection="Provider=Microsoft.Mashup.OleDb.1;Data Source=$Workbook$;Location=Web_CNUnit;Extended Properties=&quot;&quot;" command="SELECT * FROM [Web_CNUnit]"/>
  </connection>
  <connection id="39" xr16:uid="{51C9E77E-12FB-4BBF-ACAE-00765FC1D0EC}" keepAlive="1" name="Query - Web_CNUnitCap" description="Connection to the 'Web_CNUnitCap' query in the workbook." type="5" refreshedVersion="0" background="1">
    <dbPr connection="Provider=Microsoft.Mashup.OleDb.1;Data Source=$Workbook$;Location=Web_CNUnitCap;Extended Properties=&quot;&quot;" command="SELECT * FROM [Web_CNUnitCap]"/>
  </connection>
  <connection id="40" xr16:uid="{C9BB1DBD-2A97-40FB-8DF3-AB1AB8D30FA7}" keepAlive="1" name="Query - Web_Destination" description="Connection to the 'Web_Destination' query in the workbook." type="5" refreshedVersion="0" background="1">
    <dbPr connection="Provider=Microsoft.Mashup.OleDb.1;Data Source=$Workbook$;Location=Web_Destination;Extended Properties=&quot;&quot;" command="SELECT * FROM [Web_Destination]"/>
  </connection>
  <connection id="41" xr16:uid="{274A1BEE-56A5-4F91-A3BC-9331A6376C55}" keepAlive="1" name="Query - Web_Event_Activity" description="Connection to the 'Web_Event_Activity' query in the workbook." type="5" refreshedVersion="0" background="1">
    <dbPr connection="Provider=Microsoft.Mashup.OleDb.1;Data Source=$Workbook$;Location=Web_Event_Activity;Extended Properties=&quot;&quot;" command="SELECT * FROM [Web_Event_Activity]"/>
  </connection>
  <connection id="42" xr16:uid="{92F87980-5CE2-4498-8AC8-953123C2578E}" keepAlive="1" name="Query - Web_Event_Category" description="Connection to the 'Web_Event_Category' query in the workbook." type="5" refreshedVersion="0" background="1">
    <dbPr connection="Provider=Microsoft.Mashup.OleDb.1;Data Source=$Workbook$;Location=Web_Event_Category;Extended Properties=&quot;&quot;" command="SELECT * FROM [Web_Event_Category]"/>
  </connection>
  <connection id="43" xr16:uid="{DF0F6573-D1A3-43D6-A83D-A95D821D5F46}" keepAlive="1" name="Query - Web_Loader" description="Connection to the 'Web_Loader' query in the workbook." type="5" refreshedVersion="0" background="1">
    <dbPr connection="Provider=Microsoft.Mashup.OleDb.1;Data Source=$Workbook$;Location=Web_Loader;Extended Properties=&quot;&quot;" command="SELECT * FROM [Web_Loader]"/>
  </connection>
  <connection id="44" xr16:uid="{8270F473-664D-45DD-9751-562ABC15D1DF}" keepAlive="1" name="Query - Web_Material" description="Connection to the 'Web_Material' query in the workbook." type="5" refreshedVersion="0" background="1">
    <dbPr connection="Provider=Microsoft.Mashup.OleDb.1;Data Source=$Workbook$;Location=Web_Material;Extended Properties=&quot;&quot;" command="SELECT * FROM [Web_Material]"/>
  </connection>
  <connection id="45" xr16:uid="{FB930B5E-8284-4F99-9534-AA93F96DE4A1}" keepAlive="1" name="Query - Web_OperatorNIK" description="Connection to the 'Web_OperatorNIK' query in the workbook." type="5" refreshedVersion="0" background="1">
    <dbPr connection="Provider=Microsoft.Mashup.OleDb.1;Data Source=$Workbook$;Location=Web_OperatorNIK;Extended Properties=&quot;&quot;" command="SELECT * FROM [Web_OperatorNIK]"/>
  </connection>
  <connection id="46" xr16:uid="{0C948782-3BFF-4A9B-BAC8-AAEAA888B582}" keepAlive="1" name="Query - Web_PITLocation" description="Connection to the 'Web_PITLocation' query in the workbook." type="5" refreshedVersion="0" background="1">
    <dbPr connection="Provider=Microsoft.Mashup.OleDb.1;Data Source=$Workbook$;Location=Web_PITLocation;Extended Properties=&quot;&quot;" command="SELECT * FROM [Web_PITLocation]"/>
  </connection>
  <connection id="47" xr16:uid="{1E9C4B4D-906E-4745-947F-0824ED35C211}" keepAlive="1" name="Query - Web_Problem_Activity" description="Connection to the 'Web_Problem_Activity' query in the workbook." type="5" refreshedVersion="0" background="1">
    <dbPr connection="Provider=Microsoft.Mashup.OleDb.1;Data Source=$Workbook$;Location=Web_Problem_Activity;Extended Properties=&quot;&quot;" command="SELECT * FROM [Web_Problem_Activity]"/>
  </connection>
  <connection id="48" xr16:uid="{8277B102-B1BB-4751-BF2B-78BA90277E8B}" keepAlive="1" name="Query - Web_Problem_Category" description="Connection to the 'Web_Problem_Category' query in the workbook." type="5" refreshedVersion="0" background="1">
    <dbPr connection="Provider=Microsoft.Mashup.OleDb.1;Data Source=$Workbook$;Location=Web_Problem_Category;Extended Properties=&quot;&quot;" command="SELECT * FROM [Web_Problem_Category]"/>
  </connection>
  <connection id="49" xr16:uid="{E1BC5199-C44C-41FC-843B-8A17B97F08E7}" keepAlive="1" name="Query - Web_Shift" description="Connection to the 'Web_Shift' query in the workbook." type="5" refreshedVersion="0" background="1">
    <dbPr connection="Provider=Microsoft.Mashup.OleDb.1;Data Source=$Workbook$;Location=Web_Shift;Extended Properties=&quot;&quot;" command="SELECT * FROM [Web_Shift]"/>
  </connection>
  <connection id="50" xr16:uid="{1C733D46-664B-4E2F-AF05-CA5C828691AE}" keepAlive="1" name="Query - Web_Source" description="Connection to the 'Web_Source' query in the workbook." type="5" refreshedVersion="0" background="1">
    <dbPr connection="Provider=Microsoft.Mashup.OleDb.1;Data Source=$Workbook$;Location=Web_Source;Extended Properties=&quot;&quot;" command="SELECT * FROM [Web_Source]"/>
  </connection>
  <connection id="51" xr16:uid="{A91941CE-D14F-4BB8-8A57-AE2EE08E98DC}" keepAlive="1" name="Query - Web_SupervisorNIK" description="Connection to the 'Web_SupervisorNIK' query in the workbook." type="5" refreshedVersion="0" background="1">
    <dbPr connection="Provider=Microsoft.Mashup.OleDb.1;Data Source=$Workbook$;Location=Web_SupervisorNIK;Extended Properties=&quot;&quot;" command="SELECT * FROM [Web_SupervisorNIK]"/>
  </connection>
</connections>
</file>

<file path=xl/sharedStrings.xml><?xml version="1.0" encoding="utf-8"?>
<sst xmlns="http://schemas.openxmlformats.org/spreadsheetml/2006/main" count="9172" uniqueCount="2147">
  <si>
    <t>Month</t>
  </si>
  <si>
    <t>Weekly</t>
  </si>
  <si>
    <t>Date</t>
  </si>
  <si>
    <t>NIK</t>
  </si>
  <si>
    <t>Time</t>
  </si>
  <si>
    <t>PT. Unggul Dinamika Utama</t>
  </si>
  <si>
    <t>Periode Input :</t>
  </si>
  <si>
    <t>Code Number</t>
  </si>
  <si>
    <t>Type Unit</t>
  </si>
  <si>
    <t>Classification</t>
  </si>
  <si>
    <t>Prod Activity</t>
  </si>
  <si>
    <t>Non Prod Activity</t>
  </si>
  <si>
    <t>Column1</t>
  </si>
  <si>
    <t>Hauling OB</t>
  </si>
  <si>
    <t>Hauling Coal</t>
  </si>
  <si>
    <t>Travel Unit (Exca)</t>
  </si>
  <si>
    <t>Travel Unit Exc Exca</t>
  </si>
  <si>
    <t>Delay</t>
  </si>
  <si>
    <t>Idle</t>
  </si>
  <si>
    <t>OB Activity</t>
  </si>
  <si>
    <t>Breakdown</t>
  </si>
  <si>
    <t>D10</t>
  </si>
  <si>
    <t>D11</t>
  </si>
  <si>
    <t>Delay Time</t>
  </si>
  <si>
    <t>Idle Time</t>
  </si>
  <si>
    <t>OB</t>
  </si>
  <si>
    <t>WCO</t>
  </si>
  <si>
    <t>SD</t>
  </si>
  <si>
    <t>SI</t>
  </si>
  <si>
    <t>BD</t>
  </si>
  <si>
    <t>Coal Activity</t>
  </si>
  <si>
    <t>WNP</t>
  </si>
  <si>
    <t xml:space="preserve">Unit </t>
  </si>
  <si>
    <t>Digger OB</t>
  </si>
  <si>
    <t>Material</t>
  </si>
  <si>
    <t>Rit OB</t>
  </si>
  <si>
    <t>Vol OB</t>
  </si>
  <si>
    <t>Distance</t>
  </si>
  <si>
    <t>Prod'ty OB</t>
  </si>
  <si>
    <t>Vol*Dist OB</t>
  </si>
  <si>
    <t>Sources And Destination</t>
  </si>
  <si>
    <t>Rit.Co.V</t>
  </si>
  <si>
    <t>Ton.Co.V</t>
  </si>
  <si>
    <t>Dist.Co.V</t>
  </si>
  <si>
    <t>Prod.ty.V</t>
  </si>
  <si>
    <t>Ton.Dist.Co.V.</t>
  </si>
  <si>
    <t>Seam</t>
  </si>
  <si>
    <t>Coal By Voice</t>
  </si>
  <si>
    <t>Daily Input Progress Mining WH</t>
  </si>
  <si>
    <t>PP01</t>
  </si>
  <si>
    <t>PP02</t>
  </si>
  <si>
    <t>PP03</t>
  </si>
  <si>
    <t>PP04</t>
  </si>
  <si>
    <t>PP05</t>
  </si>
  <si>
    <t>PP06</t>
  </si>
  <si>
    <t>PP07</t>
  </si>
  <si>
    <t>PP08</t>
  </si>
  <si>
    <t>PP09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</si>
  <si>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</si>
  <si>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</si>
  <si>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</si>
  <si>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</si>
  <si>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</si>
  <si>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</si>
  <si>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</si>
  <si>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</si>
  <si>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</si>
  <si>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</si>
  <si>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</si>
  <si>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Lokasi Pit OB</t>
  </si>
  <si>
    <t>Lokasi Dumping</t>
  </si>
  <si>
    <t>SP</t>
  </si>
  <si>
    <t>DS</t>
  </si>
  <si>
    <t>DOB</t>
  </si>
  <si>
    <t>Mat.OB</t>
  </si>
  <si>
    <t>Problem Productivity</t>
  </si>
  <si>
    <t>Column2</t>
  </si>
  <si>
    <t>Column3</t>
  </si>
  <si>
    <t>Column4</t>
  </si>
  <si>
    <t>Column5</t>
  </si>
  <si>
    <t>Prod OB</t>
  </si>
  <si>
    <t>Prod Coal</t>
  </si>
  <si>
    <t>Distance OB</t>
  </si>
  <si>
    <t>Distance Coal</t>
  </si>
  <si>
    <t>Column53</t>
  </si>
  <si>
    <t>Column54</t>
  </si>
  <si>
    <t>Column55</t>
  </si>
  <si>
    <t xml:space="preserve">Front Problem Prod'Ty </t>
  </si>
  <si>
    <t>Road Problem Prod'Ty</t>
  </si>
  <si>
    <t xml:space="preserve">Disposal Problem Prod'Ty </t>
  </si>
  <si>
    <t>Front</t>
  </si>
  <si>
    <t>Road</t>
  </si>
  <si>
    <t>Disposal</t>
  </si>
  <si>
    <t>Working Hours</t>
  </si>
  <si>
    <t>Problem Prod'ty</t>
  </si>
  <si>
    <t>7</t>
  </si>
  <si>
    <t>Column22</t>
  </si>
  <si>
    <t>Production OB</t>
  </si>
  <si>
    <t>Production Coal</t>
  </si>
  <si>
    <t>NAMA KARYAWAN</t>
  </si>
  <si>
    <t>HM START</t>
  </si>
  <si>
    <t>HM STOP</t>
  </si>
  <si>
    <t>DURASI</t>
  </si>
  <si>
    <t>Shift</t>
  </si>
  <si>
    <t>Nama Pengawas</t>
  </si>
  <si>
    <t>EN</t>
  </si>
  <si>
    <t>HMST</t>
  </si>
  <si>
    <t>HMSP</t>
  </si>
  <si>
    <t>D.HM</t>
  </si>
  <si>
    <t xml:space="preserve">HARD DIGGING </t>
  </si>
  <si>
    <t xml:space="preserve">HARD DIGGING BLASTED </t>
  </si>
  <si>
    <t xml:space="preserve">BOULDER </t>
  </si>
  <si>
    <t xml:space="preserve">WAITING SURVEY </t>
  </si>
  <si>
    <t xml:space="preserve">PREPARE FRONT </t>
  </si>
  <si>
    <t xml:space="preserve">SOFT LOADING POINT </t>
  </si>
  <si>
    <t xml:space="preserve">WAITING SUPPORT FRONT </t>
  </si>
  <si>
    <t xml:space="preserve">TOP LOADING </t>
  </si>
  <si>
    <t>BACKLOADING</t>
  </si>
  <si>
    <t xml:space="preserve">DOUBLE BENCH </t>
  </si>
  <si>
    <t xml:space="preserve">FATIGUE CHECK </t>
  </si>
  <si>
    <t>NARROW  LOADING POINT</t>
  </si>
  <si>
    <t xml:space="preserve">CROWDED ROAD </t>
  </si>
  <si>
    <t>OVERGRADE ROAD</t>
  </si>
  <si>
    <t xml:space="preserve">DAMAGED ROAD </t>
  </si>
  <si>
    <t xml:space="preserve">NARROW ACCESS </t>
  </si>
  <si>
    <t>DUSTY ROAD</t>
  </si>
  <si>
    <t xml:space="preserve">SOFT DUMPING POINT </t>
  </si>
  <si>
    <t xml:space="preserve">WAITING SUPPORT DISPOSAL </t>
  </si>
  <si>
    <t xml:space="preserve">LIGHTING PROBLEM </t>
  </si>
  <si>
    <t xml:space="preserve">NARROW DUMPING POINT </t>
  </si>
  <si>
    <t>HM Karyawan</t>
  </si>
  <si>
    <t>NIK OPERATOR/DRIVER</t>
  </si>
  <si>
    <t>NIK PENGAWAS</t>
  </si>
  <si>
    <t>Preparing Front</t>
  </si>
  <si>
    <t>Preparing Disposal</t>
  </si>
  <si>
    <t>Haul Road Maintenance</t>
  </si>
  <si>
    <t>Dozing</t>
  </si>
  <si>
    <t>Spreading</t>
  </si>
  <si>
    <t>Land Clearing dan Grubbing</t>
  </si>
  <si>
    <t>Instalasi Pump</t>
  </si>
  <si>
    <t>Pemindahan Lighting Plant</t>
  </si>
  <si>
    <t>Pembuatan Parit</t>
  </si>
  <si>
    <t>Pembuatan Tanggul</t>
  </si>
  <si>
    <t>Road Maintenance</t>
  </si>
  <si>
    <t>Scrab Setelah Hujan</t>
  </si>
  <si>
    <t>General Expose</t>
  </si>
  <si>
    <t>Correction</t>
  </si>
  <si>
    <t>Cleaning Coal</t>
  </si>
  <si>
    <t>DWH</t>
  </si>
  <si>
    <t>DPOB</t>
  </si>
  <si>
    <t>DPCO</t>
  </si>
  <si>
    <t>DPPP</t>
  </si>
  <si>
    <t>P2H</t>
  </si>
  <si>
    <t>REFUELLING DAN DAILY CHECK DT</t>
  </si>
  <si>
    <t>TRAVEL UNIT</t>
  </si>
  <si>
    <t>TUNGGU UNIT</t>
  </si>
  <si>
    <t>TUNGGU ENGINEERING</t>
  </si>
  <si>
    <t>TUNGGU BLASTING</t>
  </si>
  <si>
    <t>PEMBERSIHAN UNIT</t>
  </si>
  <si>
    <t>ISTIRAHAT</t>
  </si>
  <si>
    <t>CEK SAFETY</t>
  </si>
  <si>
    <t>REQUEST STANDBY</t>
  </si>
  <si>
    <t>TUNGGU OPERATOR</t>
  </si>
  <si>
    <t>GANTI SHIFT</t>
  </si>
  <si>
    <t>DEBU</t>
  </si>
  <si>
    <t>SHOLAT</t>
  </si>
  <si>
    <t>CEK EXCA HARIAN</t>
  </si>
  <si>
    <t>SLIPPERY</t>
  </si>
  <si>
    <t>PP192</t>
  </si>
  <si>
    <t>PP193</t>
  </si>
  <si>
    <t>PP21</t>
  </si>
  <si>
    <t>DE01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</si>
  <si>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</si>
  <si>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</si>
  <si>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</si>
  <si>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</si>
  <si>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</si>
  <si>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</si>
  <si>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</si>
  <si>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</si>
  <si>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</si>
  <si>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</si>
  <si>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</si>
  <si>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</si>
  <si>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</si>
  <si>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DE15</t>
  </si>
  <si>
    <t>DE16</t>
  </si>
  <si>
    <t>SCHEDULE SERVICE</t>
  </si>
  <si>
    <t>UNSCHEDULE BREAKDOWN</t>
  </si>
  <si>
    <t>TYRE BREAKDOWN</t>
  </si>
  <si>
    <t>INSTRUMEN BREAKDOWN</t>
  </si>
  <si>
    <t>ACCIDENT BREAKDOWN</t>
  </si>
  <si>
    <t>R01</t>
  </si>
  <si>
    <t>R02</t>
  </si>
  <si>
    <t>R03</t>
  </si>
  <si>
    <t>R04</t>
  </si>
  <si>
    <t>R05</t>
  </si>
  <si>
    <t>HUJAN</t>
  </si>
  <si>
    <t>KABUT</t>
  </si>
  <si>
    <t>KEADAAN KAHAR</t>
  </si>
  <si>
    <t>PROBLEM KOMUNITAS</t>
  </si>
  <si>
    <t>PROBLEM COSTUMER</t>
  </si>
  <si>
    <t>ID01</t>
  </si>
  <si>
    <t>ID02</t>
  </si>
  <si>
    <t>ID03</t>
  </si>
  <si>
    <t>ID04</t>
  </si>
  <si>
    <t>ID05</t>
  </si>
  <si>
    <t>0</t>
  </si>
  <si>
    <t>=</t>
  </si>
  <si>
    <t>Day</t>
  </si>
  <si>
    <t>Start Week</t>
  </si>
  <si>
    <t>Monday</t>
  </si>
  <si>
    <t>Night</t>
  </si>
  <si>
    <t xml:space="preserve">DAILY CALCULATED </t>
  </si>
  <si>
    <t>Week</t>
  </si>
  <si>
    <t>Monthly</t>
  </si>
  <si>
    <t>Vlookup Week</t>
  </si>
  <si>
    <t>Calculated Week</t>
  </si>
  <si>
    <t>Kode</t>
  </si>
  <si>
    <t xml:space="preserve">Week </t>
  </si>
  <si>
    <t>Status Unit</t>
  </si>
  <si>
    <t>Full</t>
  </si>
  <si>
    <t>Year</t>
  </si>
  <si>
    <t>Week To</t>
  </si>
  <si>
    <t>Variabel</t>
  </si>
  <si>
    <t>Periode</t>
  </si>
  <si>
    <t>Var</t>
  </si>
  <si>
    <t>Start</t>
  </si>
  <si>
    <t>Start/Stop</t>
  </si>
  <si>
    <t>Periode Week</t>
  </si>
  <si>
    <t>Stop Week</t>
  </si>
  <si>
    <t>No</t>
  </si>
  <si>
    <t>Code</t>
  </si>
  <si>
    <t>Stop</t>
  </si>
  <si>
    <t>Monthy</t>
  </si>
  <si>
    <t>Duration</t>
  </si>
  <si>
    <t>Start Month</t>
  </si>
  <si>
    <t>Stop Month</t>
  </si>
  <si>
    <t>Lokasi Pit</t>
  </si>
  <si>
    <t>Block Location</t>
  </si>
  <si>
    <t>Dump Location</t>
  </si>
  <si>
    <t>Coal Destinasi</t>
  </si>
  <si>
    <t>Full Date</t>
  </si>
  <si>
    <t>Week Code</t>
  </si>
  <si>
    <t>Date2</t>
  </si>
  <si>
    <t>Column11</t>
  </si>
  <si>
    <t>Column12</t>
  </si>
  <si>
    <t>Week_to</t>
  </si>
  <si>
    <t>Column14</t>
  </si>
  <si>
    <t>Column15</t>
  </si>
  <si>
    <t>Column16</t>
  </si>
  <si>
    <t>Column17</t>
  </si>
  <si>
    <t>Date3</t>
  </si>
  <si>
    <t>Daily</t>
  </si>
  <si>
    <t>Duration2</t>
  </si>
  <si>
    <t>2</t>
  </si>
  <si>
    <t>3</t>
  </si>
  <si>
    <t>4</t>
  </si>
  <si>
    <t>5</t>
  </si>
  <si>
    <t>6</t>
  </si>
  <si>
    <t>Code Unit</t>
  </si>
  <si>
    <t>Type</t>
  </si>
  <si>
    <t>Spesifikasi Unit</t>
  </si>
  <si>
    <t>Ownership</t>
  </si>
  <si>
    <t>Digger</t>
  </si>
  <si>
    <t>Fuel truck</t>
  </si>
  <si>
    <t>Vol</t>
  </si>
  <si>
    <t>Plan Prod'ty</t>
  </si>
  <si>
    <t>Hauler/loader</t>
  </si>
  <si>
    <t>Materi</t>
  </si>
  <si>
    <t>H/mat</t>
  </si>
  <si>
    <t>Volume</t>
  </si>
  <si>
    <t>Activity</t>
  </si>
  <si>
    <t>RD</t>
  </si>
  <si>
    <t>NICK</t>
  </si>
  <si>
    <t>CODE</t>
  </si>
  <si>
    <t>NAMA LENGKAP</t>
  </si>
  <si>
    <t>Pengawas Produksi</t>
  </si>
  <si>
    <t>Description</t>
  </si>
  <si>
    <t>Segment Problem Prod'ty</t>
  </si>
  <si>
    <t>Week_01</t>
  </si>
  <si>
    <t>6:00-7:00</t>
  </si>
  <si>
    <t>January</t>
  </si>
  <si>
    <t>Week_02</t>
  </si>
  <si>
    <t>Week_03</t>
  </si>
  <si>
    <t>Week_04</t>
  </si>
  <si>
    <t>Week_05</t>
  </si>
  <si>
    <t>EX6001</t>
  </si>
  <si>
    <t>EX1200-7BH</t>
  </si>
  <si>
    <t>EXCAVATOR 120T</t>
  </si>
  <si>
    <t>UDU</t>
  </si>
  <si>
    <t>FT2001</t>
  </si>
  <si>
    <t>PIT TEMPUDO 4</t>
  </si>
  <si>
    <t>b1</t>
  </si>
  <si>
    <t>Disp 1</t>
  </si>
  <si>
    <t>CPP</t>
  </si>
  <si>
    <t>TS</t>
  </si>
  <si>
    <t>773E</t>
  </si>
  <si>
    <t>Waste Excavation</t>
  </si>
  <si>
    <t>SEAM 27 AL</t>
  </si>
  <si>
    <t>Suwardi</t>
  </si>
  <si>
    <t>7:00-8:00</t>
  </si>
  <si>
    <t>February</t>
  </si>
  <si>
    <t>Week_06</t>
  </si>
  <si>
    <t>Week_07</t>
  </si>
  <si>
    <t>Week_08</t>
  </si>
  <si>
    <t>Week_09</t>
  </si>
  <si>
    <t>EX4001</t>
  </si>
  <si>
    <t>ZX470LC-5G</t>
  </si>
  <si>
    <t>EXCAVATOR 40T</t>
  </si>
  <si>
    <t>IC</t>
  </si>
  <si>
    <t>PIT TEMPUDO 5</t>
  </si>
  <si>
    <t>b2</t>
  </si>
  <si>
    <t>Disp 2</t>
  </si>
  <si>
    <t>Hopper</t>
  </si>
  <si>
    <t>OBB</t>
  </si>
  <si>
    <t>SEAM 27 AU</t>
  </si>
  <si>
    <t>8:00-9:00</t>
  </si>
  <si>
    <t>March</t>
  </si>
  <si>
    <t>Week_10</t>
  </si>
  <si>
    <t>Week_11</t>
  </si>
  <si>
    <t>Week_12</t>
  </si>
  <si>
    <t>Week_13</t>
  </si>
  <si>
    <t>Week_14</t>
  </si>
  <si>
    <t>EX2001</t>
  </si>
  <si>
    <t>ZX200-5G</t>
  </si>
  <si>
    <t>EXCAVATOR 20T</t>
  </si>
  <si>
    <t>PIT TEMPUDO 6</t>
  </si>
  <si>
    <t>b3</t>
  </si>
  <si>
    <t>Disp 3</t>
  </si>
  <si>
    <t>Jetty</t>
  </si>
  <si>
    <t>OBF</t>
  </si>
  <si>
    <t>Support OB</t>
  </si>
  <si>
    <t>SEAM 27 L</t>
  </si>
  <si>
    <t>9:00-10:00</t>
  </si>
  <si>
    <t>April</t>
  </si>
  <si>
    <t>Week_15</t>
  </si>
  <si>
    <t>Week_16</t>
  </si>
  <si>
    <t>Week_17</t>
  </si>
  <si>
    <t>Week_18</t>
  </si>
  <si>
    <t>EX2002</t>
  </si>
  <si>
    <t>PIT TEMPUDO 7</t>
  </si>
  <si>
    <t>b4</t>
  </si>
  <si>
    <t>Disp 4</t>
  </si>
  <si>
    <t>d</t>
  </si>
  <si>
    <t>OBR</t>
  </si>
  <si>
    <t>Coal Getting</t>
  </si>
  <si>
    <t xml:space="preserve">SEAM 27 U </t>
  </si>
  <si>
    <t>10:00-11:00</t>
  </si>
  <si>
    <t>May</t>
  </si>
  <si>
    <t>Week_19</t>
  </si>
  <si>
    <t>Week_20</t>
  </si>
  <si>
    <t>Week_21</t>
  </si>
  <si>
    <t>Week_22</t>
  </si>
  <si>
    <t>Week_23</t>
  </si>
  <si>
    <t>RD4001</t>
  </si>
  <si>
    <t>DUMP TRUCK 60T</t>
  </si>
  <si>
    <t>PIT TEMPUDO 8</t>
  </si>
  <si>
    <t>b5</t>
  </si>
  <si>
    <t>Disp 5</t>
  </si>
  <si>
    <t>e</t>
  </si>
  <si>
    <t>MD</t>
  </si>
  <si>
    <t xml:space="preserve">SEAM 27 </t>
  </si>
  <si>
    <t>50121019</t>
  </si>
  <si>
    <t>11:00-12:00</t>
  </si>
  <si>
    <t>June</t>
  </si>
  <si>
    <t>Week_24</t>
  </si>
  <si>
    <t>Week_25</t>
  </si>
  <si>
    <t>Week_26</t>
  </si>
  <si>
    <t>Week_27</t>
  </si>
  <si>
    <t>RD4002</t>
  </si>
  <si>
    <t>PIT TEMPUDO 9</t>
  </si>
  <si>
    <t>b6</t>
  </si>
  <si>
    <t>Disp 6</t>
  </si>
  <si>
    <t>f</t>
  </si>
  <si>
    <t>Support Coal</t>
  </si>
  <si>
    <t xml:space="preserve">SEAM 28 AL </t>
  </si>
  <si>
    <t>50121020</t>
  </si>
  <si>
    <t>12:00-13:00</t>
  </si>
  <si>
    <t>July</t>
  </si>
  <si>
    <t>Week_28</t>
  </si>
  <si>
    <t>Week_29</t>
  </si>
  <si>
    <t>Week_30</t>
  </si>
  <si>
    <t>Week_31</t>
  </si>
  <si>
    <t>RD4003</t>
  </si>
  <si>
    <t>PIT TEMPUDO 10</t>
  </si>
  <si>
    <t>b7</t>
  </si>
  <si>
    <t>Disp 7</t>
  </si>
  <si>
    <t>g</t>
  </si>
  <si>
    <t>Clearing And Grubbing</t>
  </si>
  <si>
    <t>SEAM 28 AU</t>
  </si>
  <si>
    <t>50121021</t>
  </si>
  <si>
    <t>13:00-14:00</t>
  </si>
  <si>
    <t>August</t>
  </si>
  <si>
    <t>Week_32</t>
  </si>
  <si>
    <t>Week_33</t>
  </si>
  <si>
    <t>Week_34</t>
  </si>
  <si>
    <t>Week_35</t>
  </si>
  <si>
    <t>Week_36</t>
  </si>
  <si>
    <t>RD4004</t>
  </si>
  <si>
    <t>SEAM 28</t>
  </si>
  <si>
    <t>50121022</t>
  </si>
  <si>
    <t>14:00-15:00</t>
  </si>
  <si>
    <t>September</t>
  </si>
  <si>
    <t>Week_37</t>
  </si>
  <si>
    <t>Week_38</t>
  </si>
  <si>
    <t>Week_39</t>
  </si>
  <si>
    <t>Week_40</t>
  </si>
  <si>
    <t>RD4005</t>
  </si>
  <si>
    <t>Open Channel</t>
  </si>
  <si>
    <t>SEAM 29</t>
  </si>
  <si>
    <t>50121023</t>
  </si>
  <si>
    <t>15:00-16:00</t>
  </si>
  <si>
    <t>October</t>
  </si>
  <si>
    <t>Week_41</t>
  </si>
  <si>
    <t>Week_42</t>
  </si>
  <si>
    <t>Week_43</t>
  </si>
  <si>
    <t>Week_44</t>
  </si>
  <si>
    <t>DZ6001</t>
  </si>
  <si>
    <t>D8T RY</t>
  </si>
  <si>
    <t>BULLDOZER 38T</t>
  </si>
  <si>
    <t>Setting Pump &amp; Tower Lamp</t>
  </si>
  <si>
    <t>SEAM 19</t>
  </si>
  <si>
    <t>50121024</t>
  </si>
  <si>
    <t>16:00-17:00</t>
  </si>
  <si>
    <t>November</t>
  </si>
  <si>
    <t>Week_45</t>
  </si>
  <si>
    <t>Week_46</t>
  </si>
  <si>
    <t>Week_47</t>
  </si>
  <si>
    <t>Week_48</t>
  </si>
  <si>
    <t>Week_49</t>
  </si>
  <si>
    <t>DZ4001</t>
  </si>
  <si>
    <t>D6R2 XL</t>
  </si>
  <si>
    <t>BULLDOZER 20T</t>
  </si>
  <si>
    <t>CO</t>
  </si>
  <si>
    <t>Gen Bundwall</t>
  </si>
  <si>
    <t>SEAM 20 A</t>
  </si>
  <si>
    <t>17:00-18:00</t>
  </si>
  <si>
    <t>December</t>
  </si>
  <si>
    <t>Week_50</t>
  </si>
  <si>
    <t>Week_51</t>
  </si>
  <si>
    <t>Week_52</t>
  </si>
  <si>
    <t>Week_53</t>
  </si>
  <si>
    <t>GD5001</t>
  </si>
  <si>
    <t>14M3</t>
  </si>
  <si>
    <t>MOTOR GRADER 14 FEET</t>
  </si>
  <si>
    <t>Sidecasting</t>
  </si>
  <si>
    <t>SEAM 20 L</t>
  </si>
  <si>
    <t>18:00-19:00</t>
  </si>
  <si>
    <t>ST1001</t>
  </si>
  <si>
    <t>FMX400 6x6</t>
  </si>
  <si>
    <t>SERVICE/LUBE TRUCK</t>
  </si>
  <si>
    <t>SEAM 20 U</t>
  </si>
  <si>
    <t>19:00-20:00</t>
  </si>
  <si>
    <t>FT1001</t>
  </si>
  <si>
    <t>FUEL TRUCK 20KL</t>
  </si>
  <si>
    <t xml:space="preserve">SEAM 20 </t>
  </si>
  <si>
    <t>20:00-21:00</t>
  </si>
  <si>
    <t>WT1001</t>
  </si>
  <si>
    <t>WATER TRUCK 20KL</t>
  </si>
  <si>
    <t>SEAM 21</t>
  </si>
  <si>
    <t>21:00-22:00</t>
  </si>
  <si>
    <t>LS1001</t>
  </si>
  <si>
    <t>CS-2000_LED</t>
  </si>
  <si>
    <t>LIGHTING SET CS-2000 LED</t>
  </si>
  <si>
    <t>SEAM 22</t>
  </si>
  <si>
    <t>22:00-23:00</t>
  </si>
  <si>
    <t>LS1002</t>
  </si>
  <si>
    <t>DE17</t>
  </si>
  <si>
    <t>23:00-0:00</t>
  </si>
  <si>
    <t>LS1003</t>
  </si>
  <si>
    <t>DE18</t>
  </si>
  <si>
    <t>0:00-1:00</t>
  </si>
  <si>
    <t>GS6001</t>
  </si>
  <si>
    <t>CUMMINS</t>
  </si>
  <si>
    <t>GENSET CUMMINS 100 KVA ( 80 kW )</t>
  </si>
  <si>
    <t>DE19</t>
  </si>
  <si>
    <t>Scrab After Rain</t>
  </si>
  <si>
    <t>1:00-2:00</t>
  </si>
  <si>
    <t>GS6002</t>
  </si>
  <si>
    <t>DE20</t>
  </si>
  <si>
    <t>Crowded Pit</t>
  </si>
  <si>
    <t>2:00-3:00</t>
  </si>
  <si>
    <t>TH1001</t>
  </si>
  <si>
    <t>MHT-X 860S</t>
  </si>
  <si>
    <t>DE21</t>
  </si>
  <si>
    <t>Crowded Disposal</t>
  </si>
  <si>
    <t>3:00-4:00</t>
  </si>
  <si>
    <t>CO1001</t>
  </si>
  <si>
    <t>Airman 185 CFM</t>
  </si>
  <si>
    <t>DE22</t>
  </si>
  <si>
    <t>Crowded Road</t>
  </si>
  <si>
    <t>4:00-5:00</t>
  </si>
  <si>
    <t>WM1001</t>
  </si>
  <si>
    <t>WELDING MACHINE MILLER BIG BLUE 800X</t>
  </si>
  <si>
    <t>DE23</t>
  </si>
  <si>
    <t>Personal Needs</t>
  </si>
  <si>
    <t>5:00-6:00</t>
  </si>
  <si>
    <t>C01</t>
  </si>
  <si>
    <t>WA600</t>
  </si>
  <si>
    <t>WHEEL LOADER WA600</t>
  </si>
  <si>
    <t>DE24</t>
  </si>
  <si>
    <t>Wait Refuelling</t>
  </si>
  <si>
    <t>B01</t>
  </si>
  <si>
    <t>P460XT</t>
  </si>
  <si>
    <t>DUMP TRUCK 40T</t>
  </si>
  <si>
    <t>B02</t>
  </si>
  <si>
    <t>B03</t>
  </si>
  <si>
    <t>B04</t>
  </si>
  <si>
    <t>Week_54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</si>
  <si>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</si>
  <si>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</si>
  <si>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</si>
  <si>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</si>
  <si>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</si>
  <si>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</si>
  <si>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</si>
  <si>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</si>
  <si>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</si>
  <si>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</si>
  <si>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</si>
  <si>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</si>
  <si>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</si>
  <si>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</si>
  <si>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</si>
  <si>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</si>
  <si>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</si>
  <si>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</si>
  <si>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</si>
  <si>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</si>
  <si>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</si>
  <si>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Hour</t>
  </si>
  <si>
    <t>William</t>
  </si>
  <si>
    <t xml:space="preserve">Yohanes </t>
  </si>
  <si>
    <t>nikpengawas</t>
  </si>
  <si>
    <t>NamaPengawas</t>
  </si>
  <si>
    <t>a</t>
  </si>
  <si>
    <t>DiggerCoal</t>
  </si>
  <si>
    <t>SP2</t>
  </si>
  <si>
    <t>DS3</t>
  </si>
  <si>
    <t>WH</t>
  </si>
  <si>
    <t>B/D</t>
  </si>
  <si>
    <t>MOHH</t>
  </si>
  <si>
    <t>Daily Input Progressive Plan</t>
  </si>
  <si>
    <t>Plan</t>
  </si>
  <si>
    <t>Overburden</t>
  </si>
  <si>
    <t>Coal</t>
  </si>
  <si>
    <t>DAY</t>
  </si>
  <si>
    <t>NIGHT</t>
  </si>
  <si>
    <t>Prod'ty Coal</t>
  </si>
  <si>
    <t>Location Pit</t>
  </si>
  <si>
    <t>Weighting Average</t>
  </si>
  <si>
    <t>R06</t>
  </si>
  <si>
    <t>DVOB</t>
  </si>
  <si>
    <t>DVTC</t>
  </si>
  <si>
    <t>Jumlah Pengisian</t>
  </si>
  <si>
    <t>Fuel</t>
  </si>
  <si>
    <t>General Support</t>
  </si>
  <si>
    <t>Supporting Activities</t>
  </si>
  <si>
    <t>D12</t>
  </si>
  <si>
    <t>GENSET CUMMINS 50 KVA ( 40 kW )</t>
  </si>
  <si>
    <t>LV-03</t>
  </si>
  <si>
    <t>Mitsubishi Pajero</t>
  </si>
  <si>
    <t>LV-047</t>
  </si>
  <si>
    <t>Mitsubishi Triton</t>
  </si>
  <si>
    <t>LV068</t>
  </si>
  <si>
    <t>RLV-001</t>
  </si>
  <si>
    <t>Toyota Hilux</t>
  </si>
  <si>
    <t>RLV-002</t>
  </si>
  <si>
    <t>RLV-003</t>
  </si>
  <si>
    <t>RLV-004</t>
  </si>
  <si>
    <t>RLV-005</t>
  </si>
  <si>
    <t>Isuzu Dmax</t>
  </si>
  <si>
    <t>RLV-006</t>
  </si>
  <si>
    <t>Toyota Innova</t>
  </si>
  <si>
    <t>RBU-001</t>
  </si>
  <si>
    <t>Bus</t>
  </si>
  <si>
    <t>RBU-002</t>
  </si>
  <si>
    <t>RBU-003</t>
  </si>
  <si>
    <t>Spek Unit</t>
  </si>
  <si>
    <t>Digger Coal</t>
  </si>
  <si>
    <t>Actual PA</t>
  </si>
  <si>
    <t>Actual UA</t>
  </si>
  <si>
    <t>Actual UA For OB Activity</t>
  </si>
  <si>
    <t>Actual UA For Coal Activity</t>
  </si>
  <si>
    <t>Actual UA For Supporting Activity</t>
  </si>
  <si>
    <t>Actual OB Activity</t>
  </si>
  <si>
    <t>Actual Coal Activity</t>
  </si>
  <si>
    <t>Actual Supporting Activities</t>
  </si>
  <si>
    <t>Actual Delay</t>
  </si>
  <si>
    <t>Actual Idle</t>
  </si>
  <si>
    <t>Actual Breakdown</t>
  </si>
  <si>
    <t>Actual OB Activity2</t>
  </si>
  <si>
    <t>Actual Coal Activity3</t>
  </si>
  <si>
    <t>Actual Travel Unit (Exca)</t>
  </si>
  <si>
    <t>Actual Travel Unit Exc Exca</t>
  </si>
  <si>
    <t>Actual Preparing Front</t>
  </si>
  <si>
    <t>Actual Preparing Disposal</t>
  </si>
  <si>
    <t>Actual Road Maintenance</t>
  </si>
  <si>
    <t>Actual Dozing</t>
  </si>
  <si>
    <t>Actual Spreading</t>
  </si>
  <si>
    <t>Actual Land Clearing dan Grubbing</t>
  </si>
  <si>
    <t>Actual Instalasi Pump</t>
  </si>
  <si>
    <t>Actual Pemindahan Lighting Plant</t>
  </si>
  <si>
    <t>Actual Pembuatan Parit</t>
  </si>
  <si>
    <t>Actual Pembuatan Tanggul</t>
  </si>
  <si>
    <t>Actual Scrab Setelah Hujan</t>
  </si>
  <si>
    <t>Actual General Expose</t>
  </si>
  <si>
    <t>Actual Cleaning Coal</t>
  </si>
  <si>
    <t>Actual General Support</t>
  </si>
  <si>
    <t>Actual P2H</t>
  </si>
  <si>
    <t>Actual REFUELLING DAN DAILY CHECK DT</t>
  </si>
  <si>
    <t>Actual TRAVEL UNIT</t>
  </si>
  <si>
    <t>Actual TUNGGU UNIT</t>
  </si>
  <si>
    <t>Actual TUNGGU ENGINEERING</t>
  </si>
  <si>
    <t>Actual TUNGGU BLASTING</t>
  </si>
  <si>
    <t>Actual PEMBERSIHAN UNIT</t>
  </si>
  <si>
    <t>Actual ISTIRAHAT</t>
  </si>
  <si>
    <t>Actual CEK SAFETY</t>
  </si>
  <si>
    <t>Actual REQUEST STANDBY</t>
  </si>
  <si>
    <t>Actual TUNGGU OPERATOR</t>
  </si>
  <si>
    <t>Actual GANTI SHIFT</t>
  </si>
  <si>
    <t>Actual DEBU</t>
  </si>
  <si>
    <t>Actual SHOLAT</t>
  </si>
  <si>
    <t>Actual CEK EXCA HARIAN</t>
  </si>
  <si>
    <t>Actual SLIPPERY</t>
  </si>
  <si>
    <t>Actual HUJAN</t>
  </si>
  <si>
    <t>Actual KABUT</t>
  </si>
  <si>
    <t>Actual KEADAAN KAHAR</t>
  </si>
  <si>
    <t>Actual PROBLEM KOMUNITAS</t>
  </si>
  <si>
    <t>Actual PROBLEM COSTUMER</t>
  </si>
  <si>
    <t>Actual SCHEDULE SERVICE</t>
  </si>
  <si>
    <t>Actual UNSCHEDULE BREAKDOWN</t>
  </si>
  <si>
    <t>Actual TYRE BREAKDOWN</t>
  </si>
  <si>
    <t>Actual INSTRUMEN BREAKDOWN</t>
  </si>
  <si>
    <t>Actual ACCIDENT BREAKDOWN</t>
  </si>
  <si>
    <t>Actual Top Soil</t>
  </si>
  <si>
    <t>Actual OB Blasting</t>
  </si>
  <si>
    <t>Actual OB Freedig</t>
  </si>
  <si>
    <t>Actual OB Ripping</t>
  </si>
  <si>
    <t>Actual Mud</t>
  </si>
  <si>
    <t>Actual Total Produksi OB</t>
  </si>
  <si>
    <t>Actual OB PIT TEMPUDO 4</t>
  </si>
  <si>
    <t>Actual OB PIT TEMPUDO 5</t>
  </si>
  <si>
    <t>Actual OB PIT TEMPUDO 6</t>
  </si>
  <si>
    <t>Actual OB PIT TEMPUDO 7</t>
  </si>
  <si>
    <t>Actual OB PIT TEMPUDO 8</t>
  </si>
  <si>
    <t>Actual OB PIT TEMPUDO 9</t>
  </si>
  <si>
    <t>Actual OB PIT TEMPUDO 10</t>
  </si>
  <si>
    <t>Actual prod'ty All Material</t>
  </si>
  <si>
    <t>Actual Distance TS</t>
  </si>
  <si>
    <t>Actual Distance OBB</t>
  </si>
  <si>
    <t>Actual Distance OBF</t>
  </si>
  <si>
    <t>Actual Distance OBR</t>
  </si>
  <si>
    <t>Actual Distance MD</t>
  </si>
  <si>
    <t>Actual Distance Total</t>
  </si>
  <si>
    <t>Actual Vol * Dist TS</t>
  </si>
  <si>
    <t>Actual Vol * Dist OBB</t>
  </si>
  <si>
    <t>Actual Vol * Dist OBF</t>
  </si>
  <si>
    <t>Actual Vol * Dist OBR</t>
  </si>
  <si>
    <t>Actual Vol * Dist MD</t>
  </si>
  <si>
    <t>Actual Vol * Dist Total</t>
  </si>
  <si>
    <t>Actual Distance PIT TEMPUDO 4</t>
  </si>
  <si>
    <t>Actual Distance PIT TEMPUDO 5</t>
  </si>
  <si>
    <t>Actual Distance PIT TEMPUDO 6</t>
  </si>
  <si>
    <t>Actual Distance PIT TEMPUDO 7</t>
  </si>
  <si>
    <t>Actual Distance PIT TEMPUDO 8</t>
  </si>
  <si>
    <t>Actual Distance PIT TEMPUDO 9</t>
  </si>
  <si>
    <t>Actual Distance PIT TEMPUDO 10</t>
  </si>
  <si>
    <t>Actual Vol * Dist PIT TEMPUDO 4</t>
  </si>
  <si>
    <t>Actual Vol * Dist PIT TEMPUDO 5</t>
  </si>
  <si>
    <t>Actual Vol * Dist PIT TEMPUDO 6</t>
  </si>
  <si>
    <t>Actual Vol * Dist PIT TEMPUDO 7</t>
  </si>
  <si>
    <t>Actual Vol * Dist PIT TEMPUDO 8</t>
  </si>
  <si>
    <t>Actual Vol * Dist PIT TEMPUDO 9</t>
  </si>
  <si>
    <t>Actual Vol * Dist PIT TEMPUDO 10</t>
  </si>
  <si>
    <t>Actual Produksi SEAM 27 AL</t>
  </si>
  <si>
    <t>Actual Produksi SEAM 27 AU</t>
  </si>
  <si>
    <t>Actual Produksi SEAM 27 L</t>
  </si>
  <si>
    <t xml:space="preserve">Actual Produksi SEAM 27 U </t>
  </si>
  <si>
    <t xml:space="preserve">Actual Produksi SEAM 27 </t>
  </si>
  <si>
    <t xml:space="preserve">Actual Produksi SEAM 28 AL </t>
  </si>
  <si>
    <t>Actual Produksi SEAM 28 AU</t>
  </si>
  <si>
    <t>Actual Produksi SEAM 28</t>
  </si>
  <si>
    <t>Actual Produksi SEAM 29</t>
  </si>
  <si>
    <t>Actual Produksi SEAM 19</t>
  </si>
  <si>
    <t>Actual Produksi SEAM 20 A</t>
  </si>
  <si>
    <t>Actual Produksi SEAM 20 L</t>
  </si>
  <si>
    <t>Actual Produksi SEAM 20 U</t>
  </si>
  <si>
    <t xml:space="preserve">Actual Produksi SEAM 20 </t>
  </si>
  <si>
    <t>Actual Produksi SEAM 21</t>
  </si>
  <si>
    <t>Actual Produksi SEAM 22</t>
  </si>
  <si>
    <t>Actual Total Produksi Coal</t>
  </si>
  <si>
    <t>Actual Prod'ty All Seam</t>
  </si>
  <si>
    <t>Actual Coal PIT TEMPUDO 4</t>
  </si>
  <si>
    <t>Actual Coal PIT TEMPUDO 5</t>
  </si>
  <si>
    <t>Actual Coal PIT TEMPUDO 6</t>
  </si>
  <si>
    <t>Actual Coal PIT TEMPUDO 7</t>
  </si>
  <si>
    <t>Actual Coal PIT TEMPUDO 8</t>
  </si>
  <si>
    <t>Actual Coal PIT TEMPUDO 9</t>
  </si>
  <si>
    <t>Actual Coal PIT TEMPUDO 10</t>
  </si>
  <si>
    <t>Plan PA</t>
  </si>
  <si>
    <t>Plan UA</t>
  </si>
  <si>
    <t>Plan Produksi OB</t>
  </si>
  <si>
    <t>Plan Produksi Coal</t>
  </si>
  <si>
    <t>Plan Distance OB</t>
  </si>
  <si>
    <t>Plan distance Coal</t>
  </si>
  <si>
    <t>Plan OB PIT TEMPUDO 4</t>
  </si>
  <si>
    <t>Plan OB PIT TEMPUDO 5</t>
  </si>
  <si>
    <t>Plan OB PIT TEMPUDO 6</t>
  </si>
  <si>
    <t>Plan OB PIT TEMPUDO 7</t>
  </si>
  <si>
    <t>Plan OB PIT TEMPUDO 8</t>
  </si>
  <si>
    <t>Plan OB PIT TEMPUDO 9</t>
  </si>
  <si>
    <t>Plan OB PIT TEMPUDO 10</t>
  </si>
  <si>
    <t>Plan Coal PIT TEMPUDO 4</t>
  </si>
  <si>
    <t>Plan Coal PIT TEMPUDO 5</t>
  </si>
  <si>
    <t>Plan Coal PIT TEMPUDO 6</t>
  </si>
  <si>
    <t>Plan Coal PIT TEMPUDO 7</t>
  </si>
  <si>
    <t>Plan Coal PIT TEMPUDO 8</t>
  </si>
  <si>
    <t>Plan Coal PIT TEMPUDO 9</t>
  </si>
  <si>
    <t>Plan Coal PIT TEMPUDO 10</t>
  </si>
  <si>
    <t>Plan Dist OB PIT TEMPUDO 4</t>
  </si>
  <si>
    <t>Plan Dist OB PIT TEMPUDO 5</t>
  </si>
  <si>
    <t>Plan Dist OB PIT TEMPUDO 6</t>
  </si>
  <si>
    <t>Plan Dist OB PIT TEMPUDO 7</t>
  </si>
  <si>
    <t>Plan Dist OB PIT TEMPUDO 8</t>
  </si>
  <si>
    <t>Plan Dist OB PIT TEMPUDO 9</t>
  </si>
  <si>
    <t>Plan Dist OB PIT TEMPUDO 10</t>
  </si>
  <si>
    <t>Plan Dist Coal PIT TEMPUDO 4</t>
  </si>
  <si>
    <t>Plan Dist Coal PIT TEMPUDO 5</t>
  </si>
  <si>
    <t>Plan Dist Coal PIT TEMPUDO 6</t>
  </si>
  <si>
    <t>Plan Dist Coal PIT TEMPUDO 7</t>
  </si>
  <si>
    <t>Plan Dist Coal PIT TEMPUDO 8</t>
  </si>
  <si>
    <t>Plan Dist Coal PIT TEMPUDO 9</t>
  </si>
  <si>
    <t>Plan Dist Coal PIT TEMPUDO 10</t>
  </si>
  <si>
    <t>Plan OB Activity2</t>
  </si>
  <si>
    <t>Plan Coal Activity3</t>
  </si>
  <si>
    <t>Plan Travel Unit (Exca)</t>
  </si>
  <si>
    <t>Plan Travel Unit Exc Exca</t>
  </si>
  <si>
    <t>Plan Preparing Front</t>
  </si>
  <si>
    <t>Plan Preparing Disposal</t>
  </si>
  <si>
    <t>Plan Road Maintenance</t>
  </si>
  <si>
    <t>Plan Dozing</t>
  </si>
  <si>
    <t>Plan Spreading</t>
  </si>
  <si>
    <t>Plan Land Clearing dan Grubbing</t>
  </si>
  <si>
    <t>Plan Instalasi Pump</t>
  </si>
  <si>
    <t>Plan Pemindahan Lighting Plant</t>
  </si>
  <si>
    <t>Plan Pembuatan Parit</t>
  </si>
  <si>
    <t>Plan Pembuatan Tanggul</t>
  </si>
  <si>
    <t>Plan Scrab Setelah Hujan</t>
  </si>
  <si>
    <t>Plan General Expose</t>
  </si>
  <si>
    <t>Plan Cleaning Coal</t>
  </si>
  <si>
    <t>Plan General Support</t>
  </si>
  <si>
    <t>Plan P2H</t>
  </si>
  <si>
    <t>Plan REFUELLING DAN DAILY CHECK DT</t>
  </si>
  <si>
    <t>Plan TRAVEL UNIT</t>
  </si>
  <si>
    <t>Plan TUNGGU UNIT</t>
  </si>
  <si>
    <t>Plan TUNGGU ENGINEERING</t>
  </si>
  <si>
    <t>Plan TUNGGU BLASTING</t>
  </si>
  <si>
    <t>Plan PEMBERSIHAN UNIT</t>
  </si>
  <si>
    <t>Plan ISTIRAHAT</t>
  </si>
  <si>
    <t>Plan CEK SAFETY</t>
  </si>
  <si>
    <t>Plan REQUEST STANDBY</t>
  </si>
  <si>
    <t>Plan TUNGGU OPERATOR</t>
  </si>
  <si>
    <t>Plan GANTI SHIFT</t>
  </si>
  <si>
    <t>Plan DEBU</t>
  </si>
  <si>
    <t>Plan SHOLAT</t>
  </si>
  <si>
    <t>Plan CEK EXCA HARIAN</t>
  </si>
  <si>
    <t>Plan SLIPPERY</t>
  </si>
  <si>
    <t>Plan HUJAN</t>
  </si>
  <si>
    <t>Plan KABUT</t>
  </si>
  <si>
    <t>Plan KEADAAN KAHAR</t>
  </si>
  <si>
    <t>Plan PROBLEM KOMUNITAS</t>
  </si>
  <si>
    <t>Plan PROBLEM COSTUMER</t>
  </si>
  <si>
    <t>Plan SCHEDULE SERVICE</t>
  </si>
  <si>
    <t>Plan UNSCHEDULE BREAKDOWN</t>
  </si>
  <si>
    <t>Plan TYRE BREAKDOWN</t>
  </si>
  <si>
    <t>Plan INSTRUMEN BREAKDOWN</t>
  </si>
  <si>
    <t>Plan ACCIDENT BREAKDOWN</t>
  </si>
  <si>
    <t>Plan Prod'ty OB</t>
  </si>
  <si>
    <t>Plan Prod'ty Coal</t>
  </si>
  <si>
    <t>Plan OB Activity</t>
  </si>
  <si>
    <t>Plan Coal Activity</t>
  </si>
  <si>
    <t>Plan Supporting Activities</t>
  </si>
  <si>
    <t>Plan Delay</t>
  </si>
  <si>
    <t>Plan Idle</t>
  </si>
  <si>
    <t>Plan Breakdown</t>
  </si>
  <si>
    <t>Calculated Plan Summary</t>
  </si>
  <si>
    <t>Calculated Plan By Pit</t>
  </si>
  <si>
    <t>Plan All WH</t>
  </si>
  <si>
    <t>Gain And Loss Calculation ?</t>
  </si>
  <si>
    <t>Unit</t>
  </si>
  <si>
    <t>Issued Fuel to Unit</t>
  </si>
  <si>
    <t>Fuel Burn Rates Based On Issued and WH</t>
  </si>
  <si>
    <t>Actual Distance Produksi SEAM 27 AL</t>
  </si>
  <si>
    <t>Actual Distance Produksi SEAM 27 AU</t>
  </si>
  <si>
    <t>Actual Distance Produksi SEAM 27 L</t>
  </si>
  <si>
    <t xml:space="preserve">Actual Distance Produksi SEAM 27 U </t>
  </si>
  <si>
    <t xml:space="preserve">Actual Distance Produksi SEAM 27 </t>
  </si>
  <si>
    <t xml:space="preserve">Actual Distance Produksi SEAM 28 AL </t>
  </si>
  <si>
    <t>Actual Distance Produksi SEAM 28 AU</t>
  </si>
  <si>
    <t>Actual Distance Produksi SEAM 28</t>
  </si>
  <si>
    <t>Actual Distance Produksi SEAM 29</t>
  </si>
  <si>
    <t>Actual Distance Produksi SEAM 19</t>
  </si>
  <si>
    <t>Actual Distance Produksi SEAM 20 A</t>
  </si>
  <si>
    <t>Actual Distance Produksi SEAM 20 L</t>
  </si>
  <si>
    <t>Actual Distance Produksi SEAM 20 U</t>
  </si>
  <si>
    <t xml:space="preserve">Actual Distance Produksi SEAM 20 </t>
  </si>
  <si>
    <t>Actual Distance Produksi SEAM 21</t>
  </si>
  <si>
    <t>Actual Distance Produksi SEAM 22</t>
  </si>
  <si>
    <t>Actual Distance Total Produksi Coal</t>
  </si>
  <si>
    <t>Actual Ton * DIstance Produksi SEAM 27 AL</t>
  </si>
  <si>
    <t>Actual Ton * DIstance Produksi SEAM 27 AU</t>
  </si>
  <si>
    <t>Actual Ton * DIstance Produksi SEAM 27 L</t>
  </si>
  <si>
    <t xml:space="preserve">Actual Ton * DIstance Produksi SEAM 27 U </t>
  </si>
  <si>
    <t xml:space="preserve">Actual Ton * DIstance Produksi SEAM 27 </t>
  </si>
  <si>
    <t xml:space="preserve">Actual Ton * DIstance Produksi SEAM 28 AL </t>
  </si>
  <si>
    <t>Actual Ton * DIstance Produksi SEAM 28 AU</t>
  </si>
  <si>
    <t>Actual Ton * DIstance Produksi SEAM 28</t>
  </si>
  <si>
    <t>Actual Ton * DIstance Produksi SEAM 29</t>
  </si>
  <si>
    <t>Actual Ton * DIstance Produksi SEAM 19</t>
  </si>
  <si>
    <t>Actual Ton * DIstance Produksi SEAM 20 A</t>
  </si>
  <si>
    <t>Actual Ton * DIstance Produksi SEAM 20 L</t>
  </si>
  <si>
    <t>Actual Ton * DIstance Produksi SEAM 20 U</t>
  </si>
  <si>
    <t xml:space="preserve">Actual Ton * DIstance Produksi SEAM 20 </t>
  </si>
  <si>
    <t>Actual Ton * DIstance Produksi SEAM 21</t>
  </si>
  <si>
    <t>Actual Ton * DIstance Produksi SEAM 22</t>
  </si>
  <si>
    <t>Actual Ton * DIstance Total Produksi Coal</t>
  </si>
  <si>
    <t>Actual Distance Coal PIT TEMPUDO 4</t>
  </si>
  <si>
    <t>Actual Distance Coal PIT TEMPUDO 5</t>
  </si>
  <si>
    <t>Actual Distance Coal PIT TEMPUDO 6</t>
  </si>
  <si>
    <t>Actual Distance Coal PIT TEMPUDO 7</t>
  </si>
  <si>
    <t>Actual Distance Coal PIT TEMPUDO 8</t>
  </si>
  <si>
    <t>Actual Distance Coal PIT TEMPUDO 9</t>
  </si>
  <si>
    <t>Actual Distance Coal PIT TEMPUDO 10</t>
  </si>
  <si>
    <t>Actual Ton * Dist Coal PIT TEMPUDO 4</t>
  </si>
  <si>
    <t>Actual Ton * Dist Coal PIT TEMPUDO 5</t>
  </si>
  <si>
    <t>Actual Ton * Dist Coal PIT TEMPUDO 6</t>
  </si>
  <si>
    <t>Actual Ton * Dist Coal PIT TEMPUDO 7</t>
  </si>
  <si>
    <t>Actual Ton * Dist Coal PIT TEMPUDO 8</t>
  </si>
  <si>
    <t>Actual Ton * Dist Coal PIT TEMPUDO 9</t>
  </si>
  <si>
    <t>Actual Ton * Dist Coal PIT TEMPUDO 10</t>
  </si>
  <si>
    <t>Volume Coal</t>
  </si>
  <si>
    <t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</si>
  <si>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</si>
  <si>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</si>
  <si>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</si>
  <si>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</si>
  <si>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</si>
  <si>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</si>
  <si>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</si>
  <si>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</si>
  <si>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</si>
  <si>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</si>
  <si>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</si>
  <si>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</si>
  <si>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</si>
  <si>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</si>
  <si>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</si>
  <si>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</si>
  <si>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</si>
  <si>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</si>
  <si>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Lokasi Pit Coal</t>
  </si>
  <si>
    <t>Lokasi StokRom</t>
  </si>
  <si>
    <t>PM2002</t>
  </si>
  <si>
    <t>Low Boy</t>
  </si>
  <si>
    <t>PT. KPP</t>
  </si>
  <si>
    <t>CM240</t>
  </si>
  <si>
    <t>Compactor</t>
  </si>
  <si>
    <t>Ali Usman</t>
  </si>
  <si>
    <t>Durasi Menit</t>
  </si>
  <si>
    <t>Baso</t>
  </si>
  <si>
    <t>GD301</t>
  </si>
  <si>
    <t>Greader</t>
  </si>
  <si>
    <t>Herianto</t>
  </si>
  <si>
    <t>50721059</t>
  </si>
  <si>
    <t>Hotman Sinaga</t>
  </si>
  <si>
    <t>50721060</t>
  </si>
  <si>
    <t>Andi Amiluddin</t>
  </si>
  <si>
    <t>50721061</t>
  </si>
  <si>
    <t>Jefrianus Yoseph Budu</t>
  </si>
  <si>
    <t>50721062</t>
  </si>
  <si>
    <t xml:space="preserve">Aslan </t>
  </si>
  <si>
    <t>50721063</t>
  </si>
  <si>
    <t>Murdani</t>
  </si>
  <si>
    <t>50721064</t>
  </si>
  <si>
    <t>Sahroni</t>
  </si>
  <si>
    <t>50721065</t>
  </si>
  <si>
    <t>50721066</t>
  </si>
  <si>
    <t>Theopilus Yansen</t>
  </si>
  <si>
    <t>50721067</t>
  </si>
  <si>
    <t>Musliadi</t>
  </si>
  <si>
    <t>50721068</t>
  </si>
  <si>
    <t>M. Dariyus</t>
  </si>
  <si>
    <t>Suwoko</t>
  </si>
  <si>
    <t>50721070</t>
  </si>
  <si>
    <t>Bayu Yuwono</t>
  </si>
  <si>
    <t>50721071</t>
  </si>
  <si>
    <t>Ignasius Longginus</t>
  </si>
  <si>
    <t>50721072</t>
  </si>
  <si>
    <t>Sali</t>
  </si>
  <si>
    <t>50721073</t>
  </si>
  <si>
    <t>Matius Taruk Allo</t>
  </si>
  <si>
    <t>50721074</t>
  </si>
  <si>
    <t>Imam Safi'i</t>
  </si>
  <si>
    <t>50621042</t>
  </si>
  <si>
    <t>Saiful</t>
  </si>
  <si>
    <t>M.Erik Hidayatul Arifin</t>
  </si>
  <si>
    <t>50621045</t>
  </si>
  <si>
    <t>Jumri</t>
  </si>
  <si>
    <t>50721082</t>
  </si>
  <si>
    <t>Dwiki Darmawan Saputro</t>
  </si>
  <si>
    <t>50721083</t>
  </si>
  <si>
    <t>Yohanis Vinsensius Pati</t>
  </si>
  <si>
    <t>50721084</t>
  </si>
  <si>
    <t>M. Abdul Solik</t>
  </si>
  <si>
    <t>50721085</t>
  </si>
  <si>
    <t>Mursyidin Nur</t>
  </si>
  <si>
    <t>50721086</t>
  </si>
  <si>
    <t>Marselinus Rudi Pasangka</t>
  </si>
  <si>
    <t>50721087</t>
  </si>
  <si>
    <t>Inra Sanjaya</t>
  </si>
  <si>
    <t>50721088</t>
  </si>
  <si>
    <t>Thomas Rianto Tandi Soma</t>
  </si>
  <si>
    <t>50721089</t>
  </si>
  <si>
    <t>Ali Said</t>
  </si>
  <si>
    <t>50721090</t>
  </si>
  <si>
    <t>Tri Wijaya Subekti</t>
  </si>
  <si>
    <t>50721091</t>
  </si>
  <si>
    <t>Germanus Juprianto Dara</t>
  </si>
  <si>
    <t>50721092</t>
  </si>
  <si>
    <t>Petrus Ringgi</t>
  </si>
  <si>
    <t>50721093</t>
  </si>
  <si>
    <t>Usman Kao</t>
  </si>
  <si>
    <t>50721075</t>
  </si>
  <si>
    <t>Mohammad Fendik</t>
  </si>
  <si>
    <t>50721076</t>
  </si>
  <si>
    <t>Dhirar San</t>
  </si>
  <si>
    <t>50721077</t>
  </si>
  <si>
    <t>Sande David Blt</t>
  </si>
  <si>
    <t>50721078</t>
  </si>
  <si>
    <t>Ayub Ibrahim Dandan</t>
  </si>
  <si>
    <t>50721079</t>
  </si>
  <si>
    <t>Harpan</t>
  </si>
  <si>
    <t>50721080</t>
  </si>
  <si>
    <t>Lukman</t>
  </si>
  <si>
    <t>50721081</t>
  </si>
  <si>
    <t>Adi Wardana</t>
  </si>
  <si>
    <t>Akhmad Rizaldi</t>
  </si>
  <si>
    <t xml:space="preserve">Erfiandi Bakhtiar </t>
  </si>
  <si>
    <t>Sowan Saputra</t>
  </si>
  <si>
    <t>Muhamad Zensupriayanto</t>
  </si>
  <si>
    <t>Fajar Cahyono</t>
  </si>
  <si>
    <t>Tri Wibowo</t>
  </si>
  <si>
    <t>Asliadi</t>
  </si>
  <si>
    <t>Tarmono</t>
  </si>
  <si>
    <t>50621039</t>
  </si>
  <si>
    <t xml:space="preserve">Rangga Hario Kharisma </t>
  </si>
  <si>
    <t>50621040</t>
  </si>
  <si>
    <t>Hasri</t>
  </si>
  <si>
    <t>50621041</t>
  </si>
  <si>
    <t>Rinol Nurcahyo</t>
  </si>
  <si>
    <t>50621048</t>
  </si>
  <si>
    <t>Arfawan</t>
  </si>
  <si>
    <t>EX5001</t>
  </si>
  <si>
    <t>Yes</t>
  </si>
  <si>
    <t>OPERASI 1 SHIFT</t>
  </si>
  <si>
    <t>PROBLEM TRANSPORTASI</t>
  </si>
  <si>
    <t>LAINNYA</t>
  </si>
  <si>
    <t>TUNGGU REFUELLING</t>
  </si>
  <si>
    <t>LESS HAULER</t>
  </si>
  <si>
    <t>LESS SUPPORT</t>
  </si>
  <si>
    <t>PP22</t>
  </si>
  <si>
    <t>PP23</t>
  </si>
  <si>
    <t>Rit Rehandling</t>
  </si>
  <si>
    <t>Vol Rehandling</t>
  </si>
  <si>
    <t>Compressor</t>
  </si>
  <si>
    <t>GS5001</t>
  </si>
  <si>
    <t>GS5002</t>
  </si>
  <si>
    <t>RBS-501</t>
  </si>
  <si>
    <t>Api key</t>
  </si>
  <si>
    <t>id</t>
  </si>
  <si>
    <t>shift_category_name</t>
  </si>
  <si>
    <t>shift_name</t>
  </si>
  <si>
    <t>start_time</t>
  </si>
  <si>
    <t>duration</t>
  </si>
  <si>
    <t>end_time</t>
  </si>
  <si>
    <t>organization_name</t>
  </si>
  <si>
    <t>Start-End</t>
  </si>
  <si>
    <t>text</t>
  </si>
  <si>
    <t>value</t>
  </si>
  <si>
    <t>item_group</t>
  </si>
  <si>
    <t>Name</t>
  </si>
  <si>
    <t>employee_number</t>
  </si>
  <si>
    <t>employee_name</t>
  </si>
  <si>
    <t>gender</t>
  </si>
  <si>
    <t>is_operator</t>
  </si>
  <si>
    <t>is_supervisor</t>
  </si>
  <si>
    <t>NIK+Name</t>
  </si>
  <si>
    <t>entity_id</t>
  </si>
  <si>
    <t>business_area_code</t>
  </si>
  <si>
    <t>business_area_name</t>
  </si>
  <si>
    <t>parent_business_area_id</t>
  </si>
  <si>
    <t>parent_business_area_name</t>
  </si>
  <si>
    <t>Parent+BussName</t>
  </si>
  <si>
    <t>PIT &gt; TEMPUDO 5</t>
  </si>
  <si>
    <t>is_active</t>
  </si>
  <si>
    <t>is_locked</t>
  </si>
  <si>
    <t>is_default</t>
  </si>
  <si>
    <t>equipment_type_name</t>
  </si>
  <si>
    <t>equipment_name</t>
  </si>
  <si>
    <t>capacity</t>
  </si>
  <si>
    <t>capacity_uom_name</t>
  </si>
  <si>
    <t>Testing</t>
  </si>
  <si>
    <t>stock_location_name</t>
  </si>
  <si>
    <t>type</t>
  </si>
  <si>
    <t>PIT Location</t>
  </si>
  <si>
    <t>Source</t>
  </si>
  <si>
    <t>Destination</t>
  </si>
  <si>
    <t>timesheet_date</t>
  </si>
  <si>
    <t>shift_id</t>
  </si>
  <si>
    <t>activity_id</t>
  </si>
  <si>
    <t>cn_unit_id</t>
  </si>
  <si>
    <t>operator_id</t>
  </si>
  <si>
    <t>supervisor_id</t>
  </si>
  <si>
    <t>hour_start</t>
  </si>
  <si>
    <t>hour_end</t>
  </si>
  <si>
    <t>pit_id</t>
  </si>
  <si>
    <t>loader_id</t>
  </si>
  <si>
    <t>source_id</t>
  </si>
  <si>
    <t>destination_id</t>
  </si>
  <si>
    <t>material_id</t>
  </si>
  <si>
    <t>distance</t>
  </si>
  <si>
    <t>ritase</t>
  </si>
  <si>
    <t>volume</t>
  </si>
  <si>
    <t>refuelling_quantity</t>
  </si>
  <si>
    <t>classification</t>
  </si>
  <si>
    <t>event_definition_category_name</t>
  </si>
  <si>
    <t>event_definition_category_code</t>
  </si>
  <si>
    <t>is_problem_productivity</t>
  </si>
  <si>
    <t>organization_</t>
  </si>
  <si>
    <t>timesheet_detail_event</t>
  </si>
  <si>
    <t>timesheet_detail_productivity_problem</t>
  </si>
  <si>
    <t>event_category_name</t>
  </si>
  <si>
    <t>API_Problem_Activity</t>
  </si>
  <si>
    <t>API_Event_Activity</t>
  </si>
  <si>
    <t>API_Problem_Category</t>
  </si>
  <si>
    <t>API_Event_Category</t>
  </si>
  <si>
    <t>API_Material</t>
  </si>
  <si>
    <t>API_Destination</t>
  </si>
  <si>
    <t>API_Shift</t>
  </si>
  <si>
    <t>API_CNUnit</t>
  </si>
  <si>
    <t>API_Activity</t>
  </si>
  <si>
    <t>API_OperatorNIK</t>
  </si>
  <si>
    <t>API_SupervisorNIK</t>
  </si>
  <si>
    <t>API_PITLocation</t>
  </si>
  <si>
    <t>API_Loader</t>
  </si>
  <si>
    <t>API_Source</t>
  </si>
  <si>
    <t>Event</t>
  </si>
  <si>
    <t>ProductivityProblem</t>
  </si>
  <si>
    <t>Sum Event Hourly</t>
  </si>
  <si>
    <t>More Than 60 minutes</t>
  </si>
  <si>
    <t>Row Ke</t>
  </si>
  <si>
    <t>Column Name</t>
  </si>
  <si>
    <t>IsVisibleOnly</t>
  </si>
  <si>
    <t>Formulas</t>
  </si>
  <si>
    <t>Validation</t>
  </si>
  <si>
    <t>More Than 720 minutes</t>
  </si>
  <si>
    <t>http://smdev.mc.com:8081/</t>
  </si>
  <si>
    <t>Training</t>
  </si>
  <si>
    <t>Development</t>
  </si>
  <si>
    <t>URL Link</t>
  </si>
  <si>
    <t>Purpose</t>
  </si>
  <si>
    <t>Old Link</t>
  </si>
  <si>
    <t>https://mcs.codemarvel.com/</t>
  </si>
  <si>
    <t>http://smdev.mc.com/</t>
  </si>
  <si>
    <t>http://smdev.mc.com:8080/</t>
  </si>
  <si>
    <t>WH OB</t>
  </si>
  <si>
    <t>Loader</t>
  </si>
  <si>
    <t>destination</t>
  </si>
  <si>
    <t>Column header</t>
  </si>
  <si>
    <t>API URL</t>
  </si>
  <si>
    <t>api/Shift/Shift/DataGrid</t>
  </si>
  <si>
    <t>api/Timesheet/Timesheet/EquipmentOrTruckIdLookup</t>
  </si>
  <si>
    <t>api/General/MasterList/MasterListIdLookup</t>
  </si>
  <si>
    <t>api/General/Employee/DataGrid</t>
  </si>
  <si>
    <t>api/Location/BusinessArea/DataGrid</t>
  </si>
  <si>
    <t>api/Equipment/EquipmentList/DataGrid</t>
  </si>
  <si>
    <t>api/Location/MineLocation/DataGrid</t>
  </si>
  <si>
    <t>api/Timesheet/Timesheet/StockpileOrWasteLocationOrPortLocationIdLookup</t>
  </si>
  <si>
    <t>api/Timesheet/Timesheet/ProductOrWasteIdLookup</t>
  </si>
  <si>
    <t>api/General/EventDefinitionCategory/DataGrid</t>
  </si>
  <si>
    <t>api/General/EventCategory/DataGrid</t>
  </si>
  <si>
    <t>Active URL</t>
  </si>
  <si>
    <t>Jumlah Kolom</t>
  </si>
  <si>
    <t>Table Name</t>
  </si>
  <si>
    <t>List Kolom</t>
  </si>
  <si>
    <t>Response</t>
  </si>
  <si>
    <t>Event_Activity</t>
  </si>
  <si>
    <t>Problem_Category</t>
  </si>
  <si>
    <t>Problem_Activity</t>
  </si>
  <si>
    <t>CNUnit</t>
  </si>
  <si>
    <t>OperatorNIK</t>
  </si>
  <si>
    <t>SupervisorNIK</t>
  </si>
  <si>
    <t>PITLocation</t>
  </si>
  <si>
    <t>Event_Category</t>
  </si>
  <si>
    <t>id,shift_category_name,shift_name,start_time,duration,end_time,organization_name</t>
  </si>
  <si>
    <t>text,value,type</t>
  </si>
  <si>
    <t>text,value,item_group</t>
  </si>
  <si>
    <t>Name,id,employee_number,employee_name,gender,is_operator,is_supervisor</t>
  </si>
  <si>
    <t>id,entity_id,business_area_code,business_area_name,parent_business_area_id,parent_business_area_name,organization_name,text,value</t>
  </si>
  <si>
    <t>id,is_active,is_locked,is_default,entity_id,equipment_type_name,equipment_name,capacity,capacity_uom_name,text,value</t>
  </si>
  <si>
    <t>id,is_active,stock_location_name,text,value</t>
  </si>
  <si>
    <t>value,text</t>
  </si>
  <si>
    <t>id,event_category_name,event_definition_category_name,value,text</t>
  </si>
  <si>
    <t>id,event_definition_category_name,is_problem_productivity,timesheet_detail_event,timesheet_detail_productivity_problem,value,text</t>
  </si>
  <si>
    <t>id,event_category_name,event_definition_category_name,organization_name,value,text</t>
  </si>
  <si>
    <t>id,is_active,event_definition_category_name,event_definition_category_code,is_problem_productivity,organization_id,timesheet_detail_event,timesheet_detail_productivity_problem,value,text</t>
  </si>
  <si>
    <t>b2160850-939b-4ec7-99fe-ae8395834200</t>
  </si>
  <si>
    <t>Capacity</t>
  </si>
  <si>
    <t>Date+CodeNumber</t>
  </si>
  <si>
    <t>Data.1</t>
  </si>
  <si>
    <t>Data.2</t>
  </si>
  <si>
    <t>Need Revise</t>
  </si>
  <si>
    <t>rit_rehandling</t>
  </si>
  <si>
    <t>vol_rehandling</t>
  </si>
  <si>
    <t>productivity</t>
  </si>
  <si>
    <t>vol_distance</t>
  </si>
  <si>
    <t>vol_density</t>
  </si>
  <si>
    <t>AccountingPeriod</t>
  </si>
  <si>
    <t>api/accounting/accountingperiod/accountingperiodidlookup</t>
  </si>
  <si>
    <t>API_Accounting Period</t>
  </si>
  <si>
    <t>Administrator</t>
  </si>
  <si>
    <t>Mat.Coal</t>
  </si>
  <si>
    <t>Material Coal</t>
  </si>
  <si>
    <t>application_username</t>
  </si>
  <si>
    <t>fullname</t>
  </si>
  <si>
    <t>email</t>
  </si>
  <si>
    <t>is_sysadmin</t>
  </si>
  <si>
    <t>api_key</t>
  </si>
  <si>
    <t>expired_date</t>
  </si>
  <si>
    <t>primary_team_name</t>
  </si>
  <si>
    <t>business_unit_id</t>
  </si>
  <si>
    <t>business_unit_name</t>
  </si>
  <si>
    <t>ApplicationUser</t>
  </si>
  <si>
    <t>api/SystemAdministration/ApplicationUser/List</t>
  </si>
  <si>
    <t>id,is_active,is_locked,application_username,fullname,email,is_sysadmin,api_key,expired_date,organization_name,primary_team_name,business_unit_id,business_unit_name</t>
  </si>
  <si>
    <t>Allowed Role</t>
  </si>
  <si>
    <t>Input/Maintain</t>
  </si>
  <si>
    <t>Web_AccountingPeriod.value</t>
  </si>
  <si>
    <t>API_ApplicationUser</t>
  </si>
  <si>
    <t>Activity_HardCode</t>
  </si>
  <si>
    <t>Accounting Period</t>
  </si>
  <si>
    <t>role_name</t>
  </si>
  <si>
    <t>Unggul Dinamika Utama</t>
  </si>
  <si>
    <t>Dawud Prionggodo</t>
  </si>
  <si>
    <t>DATE</t>
  </si>
  <si>
    <t>EventCatName</t>
  </si>
  <si>
    <t>http://sm.mc.com/</t>
  </si>
  <si>
    <t>ssa</t>
  </si>
  <si>
    <t>http://sm.mc.com</t>
  </si>
  <si>
    <t>CPP Hopper</t>
  </si>
  <si>
    <t>67d2790e-181b-4185-b83a-ceb778e63c3b</t>
  </si>
  <si>
    <t>3fc7fb1eb9464560b949b7315dee732d</t>
  </si>
  <si>
    <t>StatusUpdate</t>
  </si>
  <si>
    <t>DAILY CHECK DT</t>
  </si>
  <si>
    <t>P5M</t>
  </si>
  <si>
    <t>SAFETY TALK</t>
  </si>
  <si>
    <t>TUNGGU SURVEY</t>
  </si>
  <si>
    <t>REFUELLING</t>
  </si>
  <si>
    <t>FRIDAY PRAY</t>
  </si>
  <si>
    <t>DE25</t>
  </si>
  <si>
    <t>DE26</t>
  </si>
  <si>
    <t>DE27</t>
  </si>
  <si>
    <t>LACK OFF SUPPORT</t>
  </si>
  <si>
    <t>LACK OF HAULER</t>
  </si>
  <si>
    <t>13-OBRM-OB REMOVAL</t>
  </si>
  <si>
    <t>contract-item-class</t>
  </si>
  <si>
    <t>14-COGT-COAL GETTING</t>
  </si>
  <si>
    <t>15-COHL-COAL HAULING</t>
  </si>
  <si>
    <t>16-ROMT-ROAD MAINTENANCE</t>
  </si>
  <si>
    <t>DatenShift</t>
  </si>
  <si>
    <t>Count Shift per Date</t>
  </si>
  <si>
    <t>a1ab8cdfb50b416398e20a29071cc5a3</t>
  </si>
  <si>
    <t>754b211126a84ccca997b7f4cfd1a7d4</t>
  </si>
  <si>
    <t>218f7af6fc7d41cc84abb2057c7bc800</t>
  </si>
  <si>
    <t>UD-EX040001</t>
  </si>
  <si>
    <t>959e3de7162d4478ae7b5905ae06d085</t>
  </si>
  <si>
    <t>UD-EX060001</t>
  </si>
  <si>
    <t>e8e83668a99e4ae7b1131d920e988a7e</t>
  </si>
  <si>
    <t>8945e9971b3b4c48b2a7d01ebab6421b</t>
  </si>
  <si>
    <t>admin_udu</t>
  </si>
  <si>
    <t>Lsmardika@gmail.com</t>
  </si>
  <si>
    <t>05363b8fdd204714926823cdb3ab1261</t>
  </si>
  <si>
    <t>dawud.prionggodo@indexim.co.id</t>
  </si>
  <si>
    <t>c20935f0ad54456fbe67be7a94c1644f</t>
  </si>
  <si>
    <t>08/02/2021</t>
  </si>
  <si>
    <t>111ecd8ba27d486c91b72b8d3d9a43d5-720</t>
  </si>
  <si>
    <t>08/03/2021</t>
  </si>
  <si>
    <t>08/04/2021</t>
  </si>
  <si>
    <t>ByLatest?latestupdate=</t>
  </si>
  <si>
    <t>RowAwal</t>
  </si>
  <si>
    <t>RowAkhir</t>
  </si>
  <si>
    <t>RunPartial</t>
  </si>
  <si>
    <t>Success</t>
  </si>
  <si>
    <t>Index</t>
  </si>
  <si>
    <t>HDT3002</t>
  </si>
  <si>
    <t>&lt;PLEASE EDIT&gt;</t>
  </si>
  <si>
    <t>Gunawan Gozali</t>
  </si>
  <si>
    <t>Hendry Tan</t>
  </si>
  <si>
    <t>PIT</t>
  </si>
  <si>
    <t>PORT</t>
  </si>
  <si>
    <t>IC-PIT-TEMP02</t>
  </si>
  <si>
    <t>TEMPUDO 2</t>
  </si>
  <si>
    <t>IC-Disposal</t>
  </si>
  <si>
    <t>DISPOSAL</t>
  </si>
  <si>
    <t>INDEXIM COALINDO</t>
  </si>
  <si>
    <t>TEMPUDO 4</t>
  </si>
  <si>
    <t>IC-PIT-TEMP05</t>
  </si>
  <si>
    <t>TEMPUDO 5</t>
  </si>
  <si>
    <t>IC-PIT-TEMP06</t>
  </si>
  <si>
    <t>TEMPUDO 6</t>
  </si>
  <si>
    <t>IC-PIT</t>
  </si>
  <si>
    <t>CPP KM 33</t>
  </si>
  <si>
    <t>IC-PORT</t>
  </si>
  <si>
    <t>IC-CPPKM33-CPP KM33 Hopper</t>
  </si>
  <si>
    <t>CPP KM33 Hopper</t>
  </si>
  <si>
    <t>Kaliorang Anchorage</t>
  </si>
  <si>
    <t>IC-PIT-TEMP07</t>
  </si>
  <si>
    <t>TEMPUDO 7</t>
  </si>
  <si>
    <t>IC-CPPKM33</t>
  </si>
  <si>
    <t>IC-CPPKM33-CPPKM33 ROM</t>
  </si>
  <si>
    <t>CPP KM 33 ROM</t>
  </si>
  <si>
    <t>UDU-PIT</t>
  </si>
  <si>
    <t>IC-PIT-TEMP03</t>
  </si>
  <si>
    <t>TEMPUDO 3</t>
  </si>
  <si>
    <t>PIT ROM</t>
  </si>
  <si>
    <t>Seam 29</t>
  </si>
  <si>
    <t>Production Activity</t>
  </si>
  <si>
    <t>Non Production Activity</t>
  </si>
  <si>
    <t xml:space="preserve">Front Problem productivity </t>
  </si>
  <si>
    <t>DOUBLE BENCH</t>
  </si>
  <si>
    <t>OB ACTIVITY</t>
  </si>
  <si>
    <t>CLEANING COAL</t>
  </si>
  <si>
    <t>TRAVEL UNIT EXC EXCA</t>
  </si>
  <si>
    <t>GENERAL SUPPORT</t>
  </si>
  <si>
    <t>PEMBUATAN PARIT</t>
  </si>
  <si>
    <t>PEMBUATAN TANGGUL</t>
  </si>
  <si>
    <t>INSTALASI PUMP</t>
  </si>
  <si>
    <t>PEMINDAHAN LIGHTING PLANT</t>
  </si>
  <si>
    <t>COAL ACTIVITY</t>
  </si>
  <si>
    <t>TRAVEL UNIT (EXCA)</t>
  </si>
  <si>
    <t>SCRAB SETELAH HUJAN</t>
  </si>
  <si>
    <t>GENERAL EXPOSE</t>
  </si>
  <si>
    <t>LAND CLEARING DAN GRUBBING</t>
  </si>
  <si>
    <t>PREPARING FRONT</t>
  </si>
  <si>
    <t>DOZING</t>
  </si>
  <si>
    <t>SPREADING</t>
  </si>
  <si>
    <t>PREPARING DISPOSAL</t>
  </si>
  <si>
    <t>ROAD MAINTENANCE</t>
  </si>
  <si>
    <t>CPP KM 33 &gt; CPP KM 33 ROM</t>
  </si>
  <si>
    <t>CPP KM 33 &gt; CPP KM33 Hopper</t>
  </si>
  <si>
    <t>INDEXIM COALINDO &gt; CPP KM 33</t>
  </si>
  <si>
    <t>INDEXIM COALINDO &gt; DISPOSAL</t>
  </si>
  <si>
    <t>INDEXIM COALINDO &gt; PIT</t>
  </si>
  <si>
    <t>INDEXIM COALINDO &gt; PORT</t>
  </si>
  <si>
    <t>PIT &gt; PIT ROM</t>
  </si>
  <si>
    <t>PIT &gt; TEMPUDO 2</t>
  </si>
  <si>
    <t>PIT &gt; TEMPUDO 3</t>
  </si>
  <si>
    <t>PIT &gt; TEMPUDO 4</t>
  </si>
  <si>
    <t>PIT &gt; TEMPUDO 6</t>
  </si>
  <si>
    <t>PIT &gt; TEMPUDO 7</t>
  </si>
  <si>
    <t>PORT &gt; Kaliorang Anchorage</t>
  </si>
  <si>
    <t>1dad9a7e17c9459d8f5ebbf08e542df9</t>
  </si>
  <si>
    <t>Aditya Septian Perdana</t>
  </si>
  <si>
    <t>aditya.perdana@indexim.co.id</t>
  </si>
  <si>
    <t>56af8c68-e7f6-4c70-8745-ece3b5d2c120</t>
  </si>
  <si>
    <t>2022-01-12T16:52:24.002302</t>
  </si>
  <si>
    <t>74e4660760614c9f8a21c5b78b986b50</t>
  </si>
  <si>
    <t>suwardi@indexim.co.id</t>
  </si>
  <si>
    <t>641c91d5-bad6-4b67-a01e-3e26bae28c99</t>
  </si>
  <si>
    <t>2022-01-12T16:57:06.151577</t>
  </si>
  <si>
    <t>ad7c91faffdf4cb2a43c36da95accf20</t>
  </si>
  <si>
    <t>Donny Cahyadi Surianto</t>
  </si>
  <si>
    <t>donny.surianto@indexim.co.id</t>
  </si>
  <si>
    <t>c2acf84d-2e12-4594-b138-226d87697783</t>
  </si>
  <si>
    <t>2022-01-12T17:46:01.446346</t>
  </si>
  <si>
    <t>6921c200b05943038f919ff32f7164a5</t>
  </si>
  <si>
    <t>gunawan.gozali@indexim.co.id</t>
  </si>
  <si>
    <t>03ff39b6-43e8-4dc6-bc08-630a7566e4b9</t>
  </si>
  <si>
    <t>2022-01-16T08:56:00.040224</t>
  </si>
  <si>
    <t>a8af83f29f87420d9eec88df82573fd1</t>
  </si>
  <si>
    <t>Armadi Haris</t>
  </si>
  <si>
    <t>armadi.haris@indexim.co.id</t>
  </si>
  <si>
    <t>09f77cae-a26c-42b5-8b1c-d3736229f64d</t>
  </si>
  <si>
    <t>2022-01-12T16:43:31.766131</t>
  </si>
  <si>
    <t>a591601626004f49b3c80bff6b191e21</t>
  </si>
  <si>
    <t>Odilia Hendika</t>
  </si>
  <si>
    <t>odilia.hendika@indexim.co.id</t>
  </si>
  <si>
    <t>1ea19a3a-f3f1-4e55-aa0b-ded06df9837c</t>
  </si>
  <si>
    <t>2022-01-15T19:52:47.295585</t>
  </si>
  <si>
    <t>d4e260a202334b4da94e7649ba7d32d8</t>
  </si>
  <si>
    <t>hendry.tan@imkgold.co.id</t>
  </si>
  <si>
    <t>fdf5939a-c591-4ad9-a0ed-0783626b0cca</t>
  </si>
  <si>
    <t>2022-01-16T15:39:03.904082</t>
  </si>
  <si>
    <t>5ac6b9848b344fc2841fd45236ba4d92</t>
  </si>
  <si>
    <t>Asep Riswandi</t>
  </si>
  <si>
    <t>Asep.riswandi@indexim.co.id</t>
  </si>
  <si>
    <t>08a1c001-f22b-40a2-b28e-a80cfc4fd4c2</t>
  </si>
  <si>
    <t>2022-01-12T16:56:19.643282</t>
  </si>
  <si>
    <t>fb6ad8a6a9c6452fb2e3f35f67b04fa2</t>
  </si>
  <si>
    <t>David Roberto</t>
  </si>
  <si>
    <t>david.roberto@imkgold.co.id</t>
  </si>
  <si>
    <t>6cca8652-833d-48fe-8e5c-a5b266d4372b</t>
  </si>
  <si>
    <t>2022-01-12T16:55:32.075599</t>
  </si>
  <si>
    <t>356dd27c144d4c7b84e7d8b1df6d2736</t>
  </si>
  <si>
    <t>Yanendra</t>
  </si>
  <si>
    <t>yanendra@indexim.co.id</t>
  </si>
  <si>
    <t>3abf6835-8d24-47e1-81a1-0fd50c3194a9</t>
  </si>
  <si>
    <t>2022-01-12T17:48:01.49343</t>
  </si>
  <si>
    <t>e003bbdd2aff4f1e9170062e9bf50d52</t>
  </si>
  <si>
    <t>Lie Mirasari Kartika Hadi</t>
  </si>
  <si>
    <t>mirasari@imkgold.co.id</t>
  </si>
  <si>
    <t>26e5187f-8325-44f6-afe0-eec45e8dfc45</t>
  </si>
  <si>
    <t>2022-01-15T19:52:01.02453</t>
  </si>
  <si>
    <t>7a42f3451e474ba083eee1e579d88d00</t>
  </si>
  <si>
    <t>Naba</t>
  </si>
  <si>
    <t>naba.sihombing@indexim.co.id</t>
  </si>
  <si>
    <t>2d94980f-0321-4df8-9d51-5ee63b20fe22</t>
  </si>
  <si>
    <t>2022-01-20T13:31:29.128191</t>
  </si>
  <si>
    <t>2022-01-12T17:18:55.441922</t>
  </si>
  <si>
    <t>d2eb1b231f1a418db85a2d95c64a76da</t>
  </si>
  <si>
    <t>Timesheet</t>
  </si>
  <si>
    <t>b2fa8ea4-7364-4e29-96c4-071d20d63c11</t>
  </si>
  <si>
    <t>2022-01-15T08:50:42.324735</t>
  </si>
  <si>
    <t>Finance Acoounting</t>
  </si>
  <si>
    <t>Mine Survey</t>
  </si>
  <si>
    <t>WATER TRUCK 20KL RENAULT K460 6x6</t>
  </si>
  <si>
    <t>RBS212</t>
  </si>
  <si>
    <t>RBS225</t>
  </si>
  <si>
    <t>UD-RD040001</t>
  </si>
  <si>
    <t>UD-RD040002</t>
  </si>
  <si>
    <t>RBS501</t>
  </si>
  <si>
    <t>UD-RD040003</t>
  </si>
  <si>
    <t>RBS209</t>
  </si>
  <si>
    <t>RIGID DUMP TRUCK 60T CATERPILLAR 773E</t>
  </si>
  <si>
    <t>RBS221</t>
  </si>
  <si>
    <t>RBS217</t>
  </si>
  <si>
    <t>HDT3004</t>
  </si>
  <si>
    <t>RBS222</t>
  </si>
  <si>
    <t>UD-RD040004</t>
  </si>
  <si>
    <t>RBS205</t>
  </si>
  <si>
    <t>RBS214</t>
  </si>
  <si>
    <t>RBS223</t>
  </si>
  <si>
    <t>D30</t>
  </si>
  <si>
    <t>HDT3005</t>
  </si>
  <si>
    <t>HDT3003</t>
  </si>
  <si>
    <t>RBS219</t>
  </si>
  <si>
    <t>RBS215</t>
  </si>
  <si>
    <t>RBS224</t>
  </si>
  <si>
    <t>HDT3006</t>
  </si>
  <si>
    <t>HDT3001</t>
  </si>
  <si>
    <t>UD-RD040005</t>
  </si>
  <si>
    <t>RBS220</t>
  </si>
  <si>
    <t>c17e1cc32d4f41d5872150d099e797fa</t>
  </si>
  <si>
    <t>4fa3d4ae9d654a97bb020c112e994555</t>
  </si>
  <si>
    <t>B1</t>
  </si>
  <si>
    <t>day-work-event</t>
  </si>
  <si>
    <t>37a6411a4957491f96a33f325eb4bfcd</t>
  </si>
  <si>
    <t>B2</t>
  </si>
  <si>
    <t>bc2d260cc643464796f97099624a85cc</t>
  </si>
  <si>
    <t>B3</t>
  </si>
  <si>
    <t>74a704c5be3e4df4974e96eea84aab68</t>
  </si>
  <si>
    <t>Metric Ton</t>
  </si>
  <si>
    <t>WATER TRUCK</t>
  </si>
  <si>
    <t>3ea1ec259a2342d581d29c2ebab2394b</t>
  </si>
  <si>
    <t>WASTE DUMP 01</t>
  </si>
  <si>
    <t>f915fdabb43e47e4829bbddf256b95e0</t>
  </si>
  <si>
    <t>WASTE DUMP 04</t>
  </si>
  <si>
    <t>cbdb2ebd60474eb2b6fd79fe1cbccb98</t>
  </si>
  <si>
    <t>WASTE DUMP 06</t>
  </si>
  <si>
    <t>a19f748aab9040cd9913cbb3dd307c6b</t>
  </si>
  <si>
    <t>WASTE DUMP 03</t>
  </si>
  <si>
    <t>3360edf7e91446a3bd45866aaae143bc</t>
  </si>
  <si>
    <t>CPP HOPPER</t>
  </si>
  <si>
    <t>becb886d22c149489e5e3b062fc5fa18</t>
  </si>
  <si>
    <t>Block A1</t>
  </si>
  <si>
    <t>42159926847d424ba24ebb0297019732</t>
  </si>
  <si>
    <t>WASTE DUMP 05</t>
  </si>
  <si>
    <t>45f9215e1cbd4e38b7d6b9faecf3d208</t>
  </si>
  <si>
    <t>Block B1</t>
  </si>
  <si>
    <t>fdd03fe7fc5444dd86e411dfae5c4747</t>
  </si>
  <si>
    <t>WASTE DUMP 02</t>
  </si>
  <si>
    <t>ee5cf9eceb354c89a066789a2d299d41</t>
  </si>
  <si>
    <t>WASTE DUMP 07</t>
  </si>
  <si>
    <t>Top Soil</t>
  </si>
  <si>
    <t>Mud</t>
  </si>
  <si>
    <t>Overburden Ripping</t>
  </si>
  <si>
    <t>Overburden Blasting</t>
  </si>
  <si>
    <t>Overburden Free Dig</t>
  </si>
  <si>
    <t>2022-01</t>
  </si>
  <si>
    <t>2021-08</t>
  </si>
  <si>
    <t>2021-09</t>
  </si>
  <si>
    <t>2021-10</t>
  </si>
  <si>
    <t>January 2022</t>
  </si>
  <si>
    <t>October 2021</t>
  </si>
  <si>
    <t>September 2021</t>
  </si>
  <si>
    <t>August 2021</t>
  </si>
  <si>
    <t>UDU-MINING</t>
  </si>
  <si>
    <t>074501342595457f83c84b58049066ab</t>
  </si>
  <si>
    <t>DUMP TRUCK CV.TMM</t>
  </si>
  <si>
    <t>0a2ad5a871274fd99cbc13bbbe3e3e62</t>
  </si>
  <si>
    <t>UD-EX020001</t>
  </si>
  <si>
    <t>EXCAVATOR 20T HITACHI ZX200-5G</t>
  </si>
  <si>
    <t>0fdbc1d1cf8149769d02fe5368a68857</t>
  </si>
  <si>
    <t>198bde4f33e1418fb9afceec7c7b3869</t>
  </si>
  <si>
    <t>DUMP TRUCK REZEKI BORNEO SEBUKU, PT</t>
  </si>
  <si>
    <t>1a9e1ea44199493f8bb2f2110907dc36</t>
  </si>
  <si>
    <t>1be0153f376b498b89b100c0066fc4cc</t>
  </si>
  <si>
    <t>UD-DZ060001</t>
  </si>
  <si>
    <t>BULLDOZER 38T CATERPILLAR D8T RY</t>
  </si>
  <si>
    <t>EXCAVATOR 40T HITACHI ZX470LC-5G</t>
  </si>
  <si>
    <t>219317c0ad64465ca294be9f97480879</t>
  </si>
  <si>
    <t>GREDER REZEKI BORNEO SEBUKU, PT</t>
  </si>
  <si>
    <t>26d21980809f4dfc86b74503919536f5</t>
  </si>
  <si>
    <t>2f1e9a2552b147be878811cb3a3ed36d</t>
  </si>
  <si>
    <t>33d87e693a9f46e099ce1d92e5613a1e</t>
  </si>
  <si>
    <t>3adcc35736a841bfbd24ec82badfacc5</t>
  </si>
  <si>
    <t>UD-RD088</t>
  </si>
  <si>
    <t>4883d7702ea44487948dc48e57e5f333</t>
  </si>
  <si>
    <t>UD-RD099</t>
  </si>
  <si>
    <t>4e0fbf0885c04c2bab684b67b5c1b75f</t>
  </si>
  <si>
    <t>60f050abef3c4022b2cc055f2d185925</t>
  </si>
  <si>
    <t>623b63a996624e168b4dd3fe553b269e</t>
  </si>
  <si>
    <t>6b4b5e1777054ef8b78eb2cce2c5ef24</t>
  </si>
  <si>
    <t>6df0fbc9312c48afbffd386a3346591c</t>
  </si>
  <si>
    <t>EX05</t>
  </si>
  <si>
    <t>EXCAVATOR 20T INDEXIM COALINDO,PT VOLVO 200</t>
  </si>
  <si>
    <t>71730c955d414dd2981fbe1420e6adea</t>
  </si>
  <si>
    <t>812e8f532cf741868ed9d86fb460e4bc</t>
  </si>
  <si>
    <t>8e3f55b05a464962a33baf6205eca8aa</t>
  </si>
  <si>
    <t>EXCAVATOR 120T HITACHI EX1200-7BH</t>
  </si>
  <si>
    <t>95f38f0b56e6498cbd766aa5b01febdd</t>
  </si>
  <si>
    <t>9c861422754642e0bcd53af4d106de51</t>
  </si>
  <si>
    <t>UD-EX020002</t>
  </si>
  <si>
    <t>a92d9b00cb5f47e5972fe3b99a26df18</t>
  </si>
  <si>
    <t>RBS254</t>
  </si>
  <si>
    <t>affb365ad0434da0ace2c3952d4ac3dd</t>
  </si>
  <si>
    <t>bfc3f472009d41febded1660e002c347</t>
  </si>
  <si>
    <t>c5a8da0f6a1a4446854f183eb0b7b8a3</t>
  </si>
  <si>
    <t>RBS122</t>
  </si>
  <si>
    <t>c9f41d0722b94db08618368e16c4fa10</t>
  </si>
  <si>
    <t>cedca7d6ade84c6f958042622c1aaff2</t>
  </si>
  <si>
    <t>d22ef048d79b40caa5b67881af0e3507</t>
  </si>
  <si>
    <t>d428e0dc1c854ddb9c3928f2c60e5c2e</t>
  </si>
  <si>
    <t>UD-WT010001</t>
  </si>
  <si>
    <t>d99614cc8c844023aa4e4757568505a2</t>
  </si>
  <si>
    <t>dd48c866561145f4b39b61cabb9b8770</t>
  </si>
  <si>
    <t>ddfb11d6b2314b6990f2e2c82918fa9a</t>
  </si>
  <si>
    <t>e6c23e5065e54b73b95db526dda428c7</t>
  </si>
  <si>
    <t>BULLDOZER 20T INDEXIM COALINDO,PT D6R2 XL-1</t>
  </si>
  <si>
    <t>f4803941f222456498a0869155560284</t>
  </si>
  <si>
    <t>RBS062</t>
  </si>
  <si>
    <t>fe9d797b4cf746f28bd006ef7e0b8fe5</t>
  </si>
  <si>
    <t>36b1800994284879a9aceeccca6c2131</t>
  </si>
  <si>
    <t>5bdc105482914048b891af7853b36a17</t>
  </si>
  <si>
    <t>6f7b393f328a49c88dc31db7644a15a9</t>
  </si>
  <si>
    <t>98a8943cf09a475496f0abb504583979</t>
  </si>
  <si>
    <t>4f26aef6950242f18956fd4d194afc70</t>
  </si>
  <si>
    <t>Agnes Dwi Anggraini</t>
  </si>
  <si>
    <t>ede5525e580c4222a497e34c8cfb2c36</t>
  </si>
  <si>
    <t>b0d9ac693b9d4085b501c0ff991a8ee2</t>
  </si>
  <si>
    <t>Etwin Edi Hapsoro</t>
  </si>
  <si>
    <t>138096f4107f41f1beebc1a5efa0dda0</t>
  </si>
  <si>
    <t>Ari Kurniawan</t>
  </si>
  <si>
    <t>1b129653f5c34e449d04bdf7f264f27b</t>
  </si>
  <si>
    <t>Muliadi Saputra</t>
  </si>
  <si>
    <t>a594315fb7fc4dbcb4f0983d47b03358</t>
  </si>
  <si>
    <t>7d8ec847b7504fa0971349ca896dc278</t>
  </si>
  <si>
    <t>a8e85a1a706346d8a070f45ad2a7bfa8</t>
  </si>
  <si>
    <t>Erfiandi Bakhtiar</t>
  </si>
  <si>
    <t>0d3d07de1b1e41f79874977e8dc346e0</t>
  </si>
  <si>
    <t>6701cbc3c6a74a39b24104183ba9116e</t>
  </si>
  <si>
    <t>80dd898c28e14f778c66c846045d4231</t>
  </si>
  <si>
    <t>82911f940b22405991326a917e78e092</t>
  </si>
  <si>
    <t>f7ee01ce6f4d42be92409b29102ac955</t>
  </si>
  <si>
    <t>8182a83876fd48ca994fbeefae34eb4e</t>
  </si>
  <si>
    <t>ed9ee19a6c4f4264894f321f8766bf80</t>
  </si>
  <si>
    <t>f782c95103e941be95f4b6e51e0f535e</t>
  </si>
  <si>
    <t>Apriansyah Noor</t>
  </si>
  <si>
    <t>029f0a7080bd4f83855e27c683c9b60f</t>
  </si>
  <si>
    <t>Bambang Rudi Hartono</t>
  </si>
  <si>
    <t>1e13db59b480432d96808a5d2734e6c3</t>
  </si>
  <si>
    <t>Slamet Sugianto</t>
  </si>
  <si>
    <t>8eaa42ddc74d4aec9dc03efea4d8ece4</t>
  </si>
  <si>
    <t>Frans Ernest Nyuk</t>
  </si>
  <si>
    <t>e283d50f792e4304aa6e75b092004e22</t>
  </si>
  <si>
    <t>c2323eb17ed54ba2b0e49df1877e5c10</t>
  </si>
  <si>
    <t>Achmad Fatoni</t>
  </si>
  <si>
    <t>7ce129022d8545839d8759139c44ff96</t>
  </si>
  <si>
    <t>d3066fcbf62e4f21bf96eb9eb9890cf7</t>
  </si>
  <si>
    <t>Albertus Patrickson</t>
  </si>
  <si>
    <t>8c33ec4ddcb6482983b34f79734c7950</t>
  </si>
  <si>
    <t>Agus Susilo</t>
  </si>
  <si>
    <t>9dc3cfe55ca24293a3929e204a98effd</t>
  </si>
  <si>
    <t>Haris Armadi</t>
  </si>
  <si>
    <t>5d017e8a6e4941a1a03b440d587ea9ab</t>
  </si>
  <si>
    <t>Wiliam</t>
  </si>
  <si>
    <t>4e95583d1ea348559dd44aba78bd444d</t>
  </si>
  <si>
    <t>dd8e4e1121e340b9a692a5eb0329aa0f</t>
  </si>
  <si>
    <t>Eko Purnomo</t>
  </si>
  <si>
    <t>a787e7f215bf4607a4db5f1b0f2c4b3a</t>
  </si>
  <si>
    <t>Rangga Hario Kharisma</t>
  </si>
  <si>
    <t>71f9e83bd6874778b4da7d22df1b20e9</t>
  </si>
  <si>
    <t>a970505785134a07a410adbd17be56ee</t>
  </si>
  <si>
    <t>f0b99295693f4f0c8f83cf1d5e627b2e</t>
  </si>
  <si>
    <t>df7e0470e8e34574a1cc46fa3509bad3</t>
  </si>
  <si>
    <t>Hambali</t>
  </si>
  <si>
    <t>9dd4a80a583144748cf4ba907a62d23b</t>
  </si>
  <si>
    <t>Yulius Gera</t>
  </si>
  <si>
    <t>21121c9f85204a489878c1868cfa837c</t>
  </si>
  <si>
    <t>0c4225851334452faa2bebd8f403bc6b</t>
  </si>
  <si>
    <t>Ivan Zamorano</t>
  </si>
  <si>
    <t>a14d41f1de884b3c8c7ff78f01825d3f</t>
  </si>
  <si>
    <t>Fajar Riski Ergiananta</t>
  </si>
  <si>
    <t>b899a4fcca1f4d39a202182a3b0dd8c1</t>
  </si>
  <si>
    <t>d1f4057ef0fa43a5aa0031131150c73c</t>
  </si>
  <si>
    <t>Taufik Hidayat</t>
  </si>
  <si>
    <t>9fcf1bd20d8f452ba87f9fa554d1b888</t>
  </si>
  <si>
    <t>Anugrah Muhammad</t>
  </si>
  <si>
    <t>bb87fe08723b4d50b37e4ef4df93794e</t>
  </si>
  <si>
    <t>Radianan Rante Padang</t>
  </si>
  <si>
    <t>5cda97451ea24682b649d23fc6fa6c55</t>
  </si>
  <si>
    <t>Djufri</t>
  </si>
  <si>
    <t>52281a83d3384270b53c7ed8dba5874a</t>
  </si>
  <si>
    <t>Edi Supriyanto</t>
  </si>
  <si>
    <t>802638c96b414ca8a0118c52bebdd48d</t>
  </si>
  <si>
    <t>Paulus Yohanes Attym</t>
  </si>
  <si>
    <t>8f647dbfe47d448a9bd2662ba456649a</t>
  </si>
  <si>
    <t>Muhammad Zaenuddin</t>
  </si>
  <si>
    <t>4a84af0a5d5c474c86b301c85d25f2ae</t>
  </si>
  <si>
    <t>Ashadi</t>
  </si>
  <si>
    <t>884b91979b964721a4403c701e30bd68</t>
  </si>
  <si>
    <t>Mujiman MS</t>
  </si>
  <si>
    <t>98822944cc1e4783ab148eea8979a75b</t>
  </si>
  <si>
    <t>Iman Eufrattickasatya</t>
  </si>
  <si>
    <t>72949702de2e4f0d957c75cff469665e</t>
  </si>
  <si>
    <t>Yohanes Taddu'P</t>
  </si>
  <si>
    <t>42ae4a65790b46a6a5cd5d62ca485506</t>
  </si>
  <si>
    <t>ed07540b0d6a45d7878aa619f35c5d7e</t>
  </si>
  <si>
    <t>39c622866a0d451991585741ec67c6ce</t>
  </si>
  <si>
    <t>6242e0c6be6e4926b8a001d551576fdc</t>
  </si>
  <si>
    <t>Aslan</t>
  </si>
  <si>
    <t>957b6aefc09a45dbb1202f87044ff36e</t>
  </si>
  <si>
    <t>791b472a69ca4e26a122bfb2dd78ce23</t>
  </si>
  <si>
    <t>0ce8727b8686401e884e273fc5ae6826</t>
  </si>
  <si>
    <t>97a09f321e6942669c53b264f24503c7</t>
  </si>
  <si>
    <t>80f0890e05dc431cb332f095fdb8ab8f</t>
  </si>
  <si>
    <t>0964a24e6e1647e6877dc218c04af7f9</t>
  </si>
  <si>
    <t>2093f083d2524f8ea9c66a33e65c4959</t>
  </si>
  <si>
    <t>16ccba2365c4410bb0c311e0a843dca0</t>
  </si>
  <si>
    <t>3aead2d3b42641d2bfbaadb12f2db6b8</t>
  </si>
  <si>
    <t>1720e8ffb86a4551a38e90c72d26bcaf</t>
  </si>
  <si>
    <t>659507abd353403eaaa85f647c24233f</t>
  </si>
  <si>
    <t>e98b1f619ff84ce2b02dd76364547867</t>
  </si>
  <si>
    <t>e6e0ca7a7a22405b99610e6b1babcdf0</t>
  </si>
  <si>
    <t>68b4da5a21464dcdad699d5e0495b90d</t>
  </si>
  <si>
    <t>9247c36303ec400787441a72388ac8e1</t>
  </si>
  <si>
    <t>ee40649252ec46eca5efe53032a3cdbd</t>
  </si>
  <si>
    <t>2e43ffb03e0744a19ff46bbe55104223</t>
  </si>
  <si>
    <t>02a5114254544068917d90f4c648533b</t>
  </si>
  <si>
    <t>45dce89f2fec413cbbc36d62927b7f86</t>
  </si>
  <si>
    <t>2042d4992d26486e8cf59b28d89f2ace</t>
  </si>
  <si>
    <t>a1208b469aa74e29994f5b779adfd9b2</t>
  </si>
  <si>
    <t>63aae91236434053855206541d67979d</t>
  </si>
  <si>
    <t>d8feb29561504b39b081267db42e025e</t>
  </si>
  <si>
    <t>424f3f5758c14680a6267dd2823445d4</t>
  </si>
  <si>
    <t>72c564e8bb3d41fcad22f5948101f742</t>
  </si>
  <si>
    <t>042ea365753741469625e72c3ac6db7b</t>
  </si>
  <si>
    <t>90629acec5924fa7a53607cce0c5df34</t>
  </si>
  <si>
    <t>0d11dc0766c94c27b7352342c4d91a53</t>
  </si>
  <si>
    <t>26c0a3a197ca473eaf25940b4088fa6b</t>
  </si>
  <si>
    <t>c0094e4fa6054e95a41456ece6b65e03</t>
  </si>
  <si>
    <t>210e1bcacc7844d7bed979894fe32973</t>
  </si>
  <si>
    <t>Adhi Hartono</t>
  </si>
  <si>
    <t>29805fbbda3a42419c1016172225a404</t>
  </si>
  <si>
    <t>Jumari</t>
  </si>
  <si>
    <t>72bedf1060a647e6bfcf269297e244bd</t>
  </si>
  <si>
    <t>Nimrot Hutabarat</t>
  </si>
  <si>
    <t>d4e9e32206474958b1cb60928cfa1589</t>
  </si>
  <si>
    <t>151e5b3a7d8f43b99c930df46ec97119</t>
  </si>
  <si>
    <t>Prastio Selambang</t>
  </si>
  <si>
    <t>b5cc917619d249b1b1312ae2b4f8a646</t>
  </si>
  <si>
    <t>Mulyadi Achmad</t>
  </si>
  <si>
    <t>39ae2d2f4ffe4e59bc36c53d4b7b2225</t>
  </si>
  <si>
    <t>Dwi Agus Cahyono</t>
  </si>
  <si>
    <t>07b6f2a90079418eaafb06f6a207cd75</t>
  </si>
  <si>
    <t>Christoriady Dudung</t>
  </si>
  <si>
    <t>2b794d284b02478e9759afc051fb7c9e</t>
  </si>
  <si>
    <t>Aris Firdaus</t>
  </si>
  <si>
    <t>a2d7fe261e044d85902c80211e406559</t>
  </si>
  <si>
    <t>Aan Kunaifi</t>
  </si>
  <si>
    <t>945c4c202732499daadf164b73f42917</t>
  </si>
  <si>
    <t>Marjoko</t>
  </si>
  <si>
    <t>3872042d012749648452fe0286b800c7</t>
  </si>
  <si>
    <t>Tri Setio Utomo</t>
  </si>
  <si>
    <t>e998fd75149a428ebe41783c9751e3b3</t>
  </si>
  <si>
    <t>Rahmadi</t>
  </si>
  <si>
    <t>66baca7521ae4c9b9531cce8574df099</t>
  </si>
  <si>
    <t>Barkah</t>
  </si>
  <si>
    <t>9ec6dc7ec072459e9444763a2df9445b</t>
  </si>
  <si>
    <t>Askarullah</t>
  </si>
  <si>
    <t>f193af11382b44189687ecd29a02d4ac</t>
  </si>
  <si>
    <t>Ovan Abdi Prananda</t>
  </si>
  <si>
    <t>690b479cd7cf46928accb18fee28adbf</t>
  </si>
  <si>
    <t>b507a8bca5ab42bba26ff8ddc2c95582</t>
  </si>
  <si>
    <t>Victor Buttubulawan</t>
  </si>
  <si>
    <t>3ae0eb7aa15d4a5fab11d43584860ac8</t>
  </si>
  <si>
    <t>Wahyu Supriyanto</t>
  </si>
  <si>
    <t>fe940ee5038a492aa0f3ad4d06322d8b</t>
  </si>
  <si>
    <t>2789fa5dce324a438aeb314fc482d9e7</t>
  </si>
  <si>
    <t>Indra Lesmana Sandi</t>
  </si>
  <si>
    <t>07120f29d7264a338f6eb6e399d0697a</t>
  </si>
  <si>
    <t>Nirwana</t>
  </si>
  <si>
    <t>6d99c8018da2484384a846c547c555a2</t>
  </si>
  <si>
    <t>Naomi Paseru</t>
  </si>
  <si>
    <t>661182e61f9b4bfeb0e079f1b2cd731b</t>
  </si>
  <si>
    <t>Gunardi Nurkamal</t>
  </si>
  <si>
    <t>e9396be3244e4410ace5b1d67206011b</t>
  </si>
  <si>
    <t>Faisal Ibnu Hadjar</t>
  </si>
  <si>
    <t>36e119b27be0482fac0b63a50ba6a896</t>
  </si>
  <si>
    <t>Suryadi</t>
  </si>
  <si>
    <t>e6762288d9814872b2ccffcfb0f15a9e</t>
  </si>
  <si>
    <t>5024e61805f841b28753d4440597f615</t>
  </si>
  <si>
    <t>Rizky Agus Purwanto</t>
  </si>
  <si>
    <t>8e3508e863b4496c9585037e22bac580</t>
  </si>
  <si>
    <t>Urip Mualip</t>
  </si>
  <si>
    <t>ee57bf513f9c41b89692a2b169c72d7a</t>
  </si>
  <si>
    <t>Ferri Mulianto</t>
  </si>
  <si>
    <t>3e6abcebfba34add9030eba6b7b5d764</t>
  </si>
  <si>
    <t>Eben Binsar P. Silalahi</t>
  </si>
  <si>
    <t>bc39d80d79f6442ea86b15908b2188d2</t>
  </si>
  <si>
    <t>Muhammad Irfan</t>
  </si>
  <si>
    <t>92c6453384004034a3976d8391eef901</t>
  </si>
  <si>
    <t>Firdaus</t>
  </si>
  <si>
    <t>4003d015b0624facb38b4e9c468cc744</t>
  </si>
  <si>
    <t>b727d19d4f0046158937948ea06bdc16</t>
  </si>
  <si>
    <t xml:space="preserve"> IC-PIT-TEMP03</t>
  </si>
  <si>
    <t>af484a58670746b199ea714ad5064cbc</t>
  </si>
  <si>
    <t xml:space="preserve"> IC-PIT-TEMP05</t>
  </si>
  <si>
    <t>7087ad1402c3430a8d92e9cfe9274eb9</t>
  </si>
  <si>
    <t xml:space="preserve"> IC-PIT-TEMP02</t>
  </si>
  <si>
    <t>207626e1180e4586a3f2c58d62e68b99</t>
  </si>
  <si>
    <t xml:space="preserve"> IC-PIT-TEMP07</t>
  </si>
  <si>
    <t>a2789f76c60746d89b64c289a4afc389</t>
  </si>
  <si>
    <t xml:space="preserve"> PIT ROM</t>
  </si>
  <si>
    <t>5668a5360acc4d7288b76ca713212209</t>
  </si>
  <si>
    <t xml:space="preserve"> IC-CPPKM33-CPP KM33 HOPPER</t>
  </si>
  <si>
    <t>5a014baf9df044bb8b795b7e75652222</t>
  </si>
  <si>
    <t>937a2a6b858446eab44ef3d7b9bcddab</t>
  </si>
  <si>
    <t xml:space="preserve"> IC-CPPKM33-CPPKM33 ROM</t>
  </si>
  <si>
    <t>fad994b6d3ee43379150111fe9d154e3</t>
  </si>
  <si>
    <t xml:space="preserve"> KALIORANG ANCHORAGE</t>
  </si>
  <si>
    <t>e62dd16e6c634d9e918910e4e8d671ae</t>
  </si>
  <si>
    <t>f998b5483163405fb94ff214597d07b7</t>
  </si>
  <si>
    <t xml:space="preserve"> IC-PIT-TEMP04</t>
  </si>
  <si>
    <t>06c3ced3bc0b44608c45d2d1c9cbcfea</t>
  </si>
  <si>
    <t xml:space="preserve"> IC-PIT-TEMP06</t>
  </si>
  <si>
    <t>287d07ff9f3b4ae6b5dd4005a27bdfd8</t>
  </si>
  <si>
    <t>IC-CPPKM33 ROM</t>
  </si>
  <si>
    <t>3f469a422e9949dc9e64fca8a5484b7a</t>
  </si>
  <si>
    <t>4d38ca4fc81740de849d6d5c78a0dcf0</t>
  </si>
  <si>
    <t>1951884b94a74929807935593e7f68e6</t>
  </si>
  <si>
    <t>491bd3c93f724c37b5f801fc5f0ed56f</t>
  </si>
  <si>
    <t>0c530f1fca89439b8879298c1bb57af5</t>
  </si>
  <si>
    <t>d140ec3bf8e64a0f9a7ee8b69973934f</t>
  </si>
  <si>
    <t xml:space="preserve"> IC-CPPKM33 HOPPER-DELETE</t>
  </si>
  <si>
    <t>CPP KM33 HOPPER-delete</t>
  </si>
  <si>
    <t>45e48ef8b6e147fcb745ae3e471eafc9</t>
  </si>
  <si>
    <t xml:space="preserve"> IC-PIT TEMP04-DELETE</t>
  </si>
  <si>
    <t>TEMPUDO 4-delete</t>
  </si>
  <si>
    <t>660dc5a61149452e8b2f29e1c6b96281</t>
  </si>
  <si>
    <t>603c299d41c940458f7441714b78d618</t>
  </si>
  <si>
    <t>58287cd63ff5424fa1cd3e9eb1bd62eb</t>
  </si>
  <si>
    <t>72a75257e04144a5aefe98209454872d</t>
  </si>
  <si>
    <t>814e3267741f43bfa0f90613edcadce5</t>
  </si>
  <si>
    <t>e2a92c64abe94d7581d614e729d70c93</t>
  </si>
  <si>
    <t>IC-PIT TEMP04</t>
  </si>
  <si>
    <t>62aea934c15c4efb885180e08fd79f3c</t>
  </si>
  <si>
    <t>IC-CPPKM33 HOPPER</t>
  </si>
  <si>
    <t>CPP KM33 HOPPER</t>
  </si>
  <si>
    <t>f13da098be504f15b731430573233071</t>
  </si>
  <si>
    <t xml:space="preserve"> IC-DISPOSAL-DELETE</t>
  </si>
  <si>
    <t>DISPOSAL-delete</t>
  </si>
  <si>
    <t>adb38a80bc4a4114b898b679bfccabe2</t>
  </si>
  <si>
    <t>aa939e88dba642989913423c00ceac4f</t>
  </si>
  <si>
    <t>8ba15baee3b5489cb80a5bde7c118d47</t>
  </si>
  <si>
    <t>ee67917531c4488faf6f70afcb7ca74f</t>
  </si>
  <si>
    <t>bcfa95c9d3a4482aa6f989202fac089f</t>
  </si>
  <si>
    <t>ab154a3008cf42158b06864fbf0324ca</t>
  </si>
  <si>
    <t>247f791ce68c4e608a1899732eae95d4</t>
  </si>
  <si>
    <t>CPP KM33</t>
  </si>
  <si>
    <t>5c86987842dd4a26b3dc5555b8104bef</t>
  </si>
  <si>
    <t>048280a8b65945c5944f9ecf6da78cbc</t>
  </si>
  <si>
    <t>UDU TDISPOSAL</t>
  </si>
  <si>
    <t>UDU-DISPOSAL</t>
  </si>
  <si>
    <t>70f5d25fa15e48bab67ebefd33e7d322</t>
  </si>
  <si>
    <t>6100fe473fc64d66b5b43f8b229bafda</t>
  </si>
  <si>
    <t>UDU TPIT</t>
  </si>
  <si>
    <t>1afb6b61a7954b21a0dff57d033f7d7a</t>
  </si>
  <si>
    <t>IPDTEMPUDO 5</t>
  </si>
  <si>
    <t>INPIT TEMPUDO 5</t>
  </si>
  <si>
    <t>c5d0079e754041a98a1fed9321bc32eb</t>
  </si>
  <si>
    <t>UDU KDISPOSAL</t>
  </si>
  <si>
    <t>bbdbded2e3b04c92aa38a8b61500388f</t>
  </si>
  <si>
    <t>f551afa832cd40b99aa226d13465e2cb</t>
  </si>
  <si>
    <t>DOZER</t>
  </si>
  <si>
    <t>EXCAVATOR</t>
  </si>
  <si>
    <t>GRADER</t>
  </si>
  <si>
    <t>DUMP TRUCK</t>
  </si>
  <si>
    <t>9f2d3fd5b2c34f9da0d37ad6282ad87a</t>
  </si>
  <si>
    <t>Seam 27L</t>
  </si>
  <si>
    <t>4621d31afd3940c6acbd13bd18cd7ba1</t>
  </si>
  <si>
    <t>Seam 27U</t>
  </si>
  <si>
    <t>3babd8220428483e99b07d1bac33ce5e</t>
  </si>
  <si>
    <t>Seam 27AU</t>
  </si>
  <si>
    <t>d4ba0580de3e43c09fccc0a8de14bce7</t>
  </si>
  <si>
    <t>Seam 27AL</t>
  </si>
  <si>
    <t>890a640093e94b07b3812d39b960adcf</t>
  </si>
  <si>
    <t>98c8c0c069a14dd7939b85e371bf71a9</t>
  </si>
  <si>
    <t>Seam 28AL</t>
  </si>
  <si>
    <t>5c49faab56594e3995b446a4ae1ed7ce</t>
  </si>
  <si>
    <t>Seam 28AU</t>
  </si>
  <si>
    <t>0bd0655e89984ba88bfffaba1d692712</t>
  </si>
  <si>
    <t>Seam 27</t>
  </si>
  <si>
    <t>6b669deeb1eb45b1a23ceef4cd401c97</t>
  </si>
  <si>
    <t>Seam 28</t>
  </si>
  <si>
    <t>199279a95795417caf972bdc3196bc7f</t>
  </si>
  <si>
    <t>Seam 22</t>
  </si>
  <si>
    <t>ab84346ac7794eacb9b5aa9181df542a</t>
  </si>
  <si>
    <t>Seam 20L</t>
  </si>
  <si>
    <t>27b8b9188054494b970d76a6182704e0</t>
  </si>
  <si>
    <t>Seam 20U</t>
  </si>
  <si>
    <t>491d20bc44be4189b3e4ea73bd837a23</t>
  </si>
  <si>
    <t>Seam 20A</t>
  </si>
  <si>
    <t>aa00b580dbf14792aab006620220bf60</t>
  </si>
  <si>
    <t>Seam 20</t>
  </si>
  <si>
    <t>f30345cd63cf451490f1e9dd6e2ae964</t>
  </si>
  <si>
    <t>Seam 19</t>
  </si>
  <si>
    <t>b1ef6e19e9334dc2a612ba4309d2003a</t>
  </si>
  <si>
    <t>Seam 21</t>
  </si>
  <si>
    <t>01a028e25083434fbb01f6e4072e2e5b</t>
  </si>
  <si>
    <t>Indexim Medium Sulphur</t>
  </si>
  <si>
    <t>27b36494bf754510abb26336c1508397</t>
  </si>
  <si>
    <t>2b81cde7f22349c38dc522a70a467202</t>
  </si>
  <si>
    <t>312572cb916042e0beb21372b04241a1</t>
  </si>
  <si>
    <t>Indexim Bedding Coal</t>
  </si>
  <si>
    <t>3f0debbc3f2c4ce68088916c6885b61e</t>
  </si>
  <si>
    <t>5382d9a204a04e20bc547640eeb2f19f</t>
  </si>
  <si>
    <t>60b047377eaa466d96654d312a72e84f</t>
  </si>
  <si>
    <t>Indexim High Sulphur</t>
  </si>
  <si>
    <t>6d0e1d4240f4459ea80381c6f6f407be</t>
  </si>
  <si>
    <t>77a70344ba3848e78b9711d27fb8e11f</t>
  </si>
  <si>
    <t>MUD</t>
  </si>
  <si>
    <t>8ad0927bfab34e1196eb615356fbe19c</t>
  </si>
  <si>
    <t>8ef423b0ccba43b1819bfa56a9aa4c17</t>
  </si>
  <si>
    <t>Indexim Low Sulphur</t>
  </si>
  <si>
    <t>97d06f887a9c4d75be4f99cda0745597</t>
  </si>
  <si>
    <t>b398294da64b492ab8a3ea43ee9ea9ec</t>
  </si>
  <si>
    <t>b41cf274f4b744a095f71c616f0cc6d8</t>
  </si>
  <si>
    <t>b8c5044561c14e59bc6d5a4b5d2d45ce</t>
  </si>
  <si>
    <t>Indexim Product Coal PLN</t>
  </si>
  <si>
    <t>e6cb57d6a7b7423a83f901ca94151cca</t>
  </si>
  <si>
    <t>Indexim Raw Coal</t>
  </si>
  <si>
    <t>09b0d8d7d6eb4bbd89eb9d8284e21ff5</t>
  </si>
  <si>
    <t>R</t>
  </si>
  <si>
    <t>f6ce1662bd0643c9a0fe40433d4adf6f</t>
  </si>
  <si>
    <t>DE</t>
  </si>
  <si>
    <t>6f2679445dad4680acedea9a18ebef60</t>
  </si>
  <si>
    <t xml:space="preserve">Disposal Problem Productivity </t>
  </si>
  <si>
    <t>DPP</t>
  </si>
  <si>
    <t>5de09554adf648f0a67cad053a09410d</t>
  </si>
  <si>
    <t>FPP</t>
  </si>
  <si>
    <t>c17be2fbc3954a6f90b43bdacf8f68a7</t>
  </si>
  <si>
    <t>ID</t>
  </si>
  <si>
    <t>4f4e7bf908e34c3fa621ff06a65615b8</t>
  </si>
  <si>
    <t>S</t>
  </si>
  <si>
    <t>efb97eee8d00424aa5651a8a8c3d95be</t>
  </si>
  <si>
    <t>P</t>
  </si>
  <si>
    <t>f680173fe0284656987915f68800efdd</t>
  </si>
  <si>
    <t xml:space="preserve">Road Problem Productivity </t>
  </si>
  <si>
    <t>RPP</t>
  </si>
  <si>
    <t>ee332a9c7bdf4ba18cf27782c0ef1c3f</t>
  </si>
  <si>
    <t xml:space="preserve">Unit Problem Productivity </t>
  </si>
  <si>
    <t>UPP</t>
  </si>
  <si>
    <t>62282c4c69e647b79d57dac5c377db60</t>
  </si>
  <si>
    <t>6fa46641711b4d61aa1f49e742440d2e</t>
  </si>
  <si>
    <t>bf17cbf15c374efd8239f3867ac26edd</t>
  </si>
  <si>
    <t>048bf7b4e8944cf6997a340444b65599</t>
  </si>
  <si>
    <t>e0fe03aa170449de81a975785c3440ec</t>
  </si>
  <si>
    <t>6f4d6c048e544fc792982d51aaf217cf</t>
  </si>
  <si>
    <t>d503bd8914054859b763fe12280a9b83</t>
  </si>
  <si>
    <t>941e1541e58f42f3a50dafd9d66ef302</t>
  </si>
  <si>
    <t>9460b4ce3f4241bba354cee3a8b729c0</t>
  </si>
  <si>
    <t>08caa28078d54373b18060e4f01635b3</t>
  </si>
  <si>
    <t>cb4d43b02fed493fbd6a8dbda6a1557e</t>
  </si>
  <si>
    <t>601fe67664554f50a0c10d339dc99d87</t>
  </si>
  <si>
    <t>3cbf71cee5df4342bea1e2a92e7d466c</t>
  </si>
  <si>
    <t>8777104ea66b4da9b92d510269afbe29</t>
  </si>
  <si>
    <t>691ca66015494307a31e58692c094170</t>
  </si>
  <si>
    <t>caf14846ef2544369065510fbc2cbdab</t>
  </si>
  <si>
    <t>9d905f333bae40ce95667faf1c3a82f4</t>
  </si>
  <si>
    <t>c0da1955c289456a985f99592868b47a</t>
  </si>
  <si>
    <t>485a21b16c6d47c5bc5df5a0c47e8735</t>
  </si>
  <si>
    <t>1bfd7c2e707f441b9d8d99ce7842d241</t>
  </si>
  <si>
    <t>c5f2156fdd53409db47881ebfd0a3b1c</t>
  </si>
  <si>
    <t>61064f41b33c490284159d41c2fe33e9</t>
  </si>
  <si>
    <t>ff0b2cb1f4364e769cea0b505a86e0b9</t>
  </si>
  <si>
    <t>f540c174a9bd4900b26eca255e4b630b</t>
  </si>
  <si>
    <t>6815110297f84997b62ee1a67859a1b5</t>
  </si>
  <si>
    <t>7b0cf820f3a045459840ee316b005cc2</t>
  </si>
  <si>
    <t>d8085b30c59b44d4a1724912c8ae1c61</t>
  </si>
  <si>
    <t>a7afa6191e4f498ebb6d3dc30fdad80e</t>
  </si>
  <si>
    <t>257cf25f437f43afaceb68f78fd3b730</t>
  </si>
  <si>
    <t>ac77895bde034c6b8b7cfde9c65cd810</t>
  </si>
  <si>
    <t>26397a2d74444e5eaa3fe5896174c525</t>
  </si>
  <si>
    <t>22f263dbc17b47958a01f39a3d52fee4</t>
  </si>
  <si>
    <t>653b32a7c7d54e1babbe76342adbe484</t>
  </si>
  <si>
    <t>dd47da0afb1f412f8d704363ad3d52bf</t>
  </si>
  <si>
    <t>ac5653018cab45dcb87f636e7e46bd72</t>
  </si>
  <si>
    <t>07d5aad15eab4597ad99cafdb3380512</t>
  </si>
  <si>
    <t>be2fdced31f3420b818d5c0785cd91b3</t>
  </si>
  <si>
    <t>3c003f744ecb4ac5b6390e2c3b3e107d</t>
  </si>
  <si>
    <t>111ecd8ba27d486c91b72b8d3d9a43d5</t>
  </si>
  <si>
    <t>1f92ee1855504964b77010df89f179a5</t>
  </si>
  <si>
    <t>649fcc34d1e34c8e94c55d1bce362cab</t>
  </si>
  <si>
    <t>829f5b90a0924c3e908ca7b4ae80a790</t>
  </si>
  <si>
    <t>54b242a39a934ffda2168ff169832c0b</t>
  </si>
  <si>
    <t>9b3ad773f49c407bb86df6ccfd463b3b</t>
  </si>
  <si>
    <t>e07b240cd2364f75b3c15f68401223ed</t>
  </si>
  <si>
    <t>f43524159cc4443ab6f99b2050afc55c</t>
  </si>
  <si>
    <t>LACK</t>
  </si>
  <si>
    <t>2b73c2c49adc44319c65ddf7da6a4ba4</t>
  </si>
  <si>
    <t>115d461b18c24baba57b5b4227b61352</t>
  </si>
  <si>
    <t>33280c42c411496cb1e44d0ad5b97a4d</t>
  </si>
  <si>
    <t>1d74cfacae5b4c36ac7a36fc204d46f2</t>
  </si>
  <si>
    <t>56be8e21a4864457904f401bdb87be9f</t>
  </si>
  <si>
    <t>bea34dc8743c4bad84e12f1086dc9039</t>
  </si>
  <si>
    <t>13fc12dbf32f4619a16aec400640613c</t>
  </si>
  <si>
    <t>2b02be27d44e4739883190cc32515d55</t>
  </si>
  <si>
    <t>492ba57b8eee4b3f82ed2e3dc8f19ef5</t>
  </si>
  <si>
    <t>25cafa59bd544502a232a9b06882e9a7</t>
  </si>
  <si>
    <t>76575048fc954d7cad4f84e408dad700</t>
  </si>
  <si>
    <t>0ac06552b2b04f0797f88710c1f91e6c</t>
  </si>
  <si>
    <t>def02c84f6734d7bbd809a9faa64831f</t>
  </si>
  <si>
    <t>abd6f2d9dfdb4939acf8eb25209afc81</t>
  </si>
  <si>
    <t>df300092de514d4d8570686732a39393</t>
  </si>
  <si>
    <t>f3f6a8ff94d646fea16caec20e10122c</t>
  </si>
  <si>
    <t>8abc74b8f2fb452983c5367deedc527a</t>
  </si>
  <si>
    <t>ec5e093e2a85473c8938216e31a33737</t>
  </si>
  <si>
    <t>593610160d2048598c6cbcf21228b4fc</t>
  </si>
  <si>
    <t>9517bdaf26f34508b26137bfa0ea21d2</t>
  </si>
  <si>
    <t>47b9bdb948d341d09bf9274c00323d75</t>
  </si>
  <si>
    <t>4c472dcc0638484c9e98c5b933c88685</t>
  </si>
  <si>
    <t>9806998450c04ef6a94c2b833d73df7d</t>
  </si>
  <si>
    <t>a89aa6bcf9f240278686e4731a607b75</t>
  </si>
  <si>
    <t>WAITING SUPPORT DISPOSAL</t>
  </si>
  <si>
    <t>e33ecdd163ab4b719356278ff594d185</t>
  </si>
  <si>
    <t>fc6547cf0d8d46fb8065d8937d2752c5</t>
  </si>
  <si>
    <t>aa3c4591835e413ba5144d90e7f3df75</t>
  </si>
  <si>
    <t>9334f18bf22d40b2b084002686f42c93</t>
  </si>
  <si>
    <t>9e64b5a3901641078ce5926c41d4e05e</t>
  </si>
  <si>
    <t>15c91748f2474c65802fa96f60aa8043</t>
  </si>
  <si>
    <t>a2a61c0902a84a619962096ab3857b87</t>
  </si>
  <si>
    <t>483e5d4269a546cd990ac70a75b42ae8</t>
  </si>
  <si>
    <t>895211bd1a26447986a789534576edf6</t>
  </si>
  <si>
    <t>294f9d82e74d4a98bd83ac8c2d14b427</t>
  </si>
  <si>
    <t>2022-11</t>
  </si>
  <si>
    <t>c632ad446f9e4c74a6ce765b8d1a758d</t>
  </si>
  <si>
    <t>2022-12</t>
  </si>
  <si>
    <t>dfcff647508f44ad8b1a5670093bce33</t>
  </si>
  <si>
    <t>2020-09</t>
  </si>
  <si>
    <t>a07f4eb294774e5e8069a9b20e34466a</t>
  </si>
  <si>
    <t>2020-10</t>
  </si>
  <si>
    <t>b19478b589494b509f1627740903113b</t>
  </si>
  <si>
    <t>2020-11</t>
  </si>
  <si>
    <t>832248096f7b4a3f94c75026d7ba7205</t>
  </si>
  <si>
    <t>499157ace70944c6b371859878e3ae6e</t>
  </si>
  <si>
    <t>32bbfdab61664c80abf09b350aaef173</t>
  </si>
  <si>
    <t>2021-11</t>
  </si>
  <si>
    <t>67c8da6bef6945899c58f459b0ec7976</t>
  </si>
  <si>
    <t>2021-12</t>
  </si>
  <si>
    <t>bbd47a5eb0a04533a21b74d6b96316c5</t>
  </si>
  <si>
    <t>a1cf9a0bebae4e3fb194fafd7d766e39</t>
  </si>
  <si>
    <t>2022-02</t>
  </si>
  <si>
    <t>645b96e1ce834d35aa8f47ef9e076ff8</t>
  </si>
  <si>
    <t>2022-03</t>
  </si>
  <si>
    <t>9516f252a1294033a530bb760c0d4563</t>
  </si>
  <si>
    <t>2022-04</t>
  </si>
  <si>
    <t>6f1b44cac6d9413aa66294befd091738</t>
  </si>
  <si>
    <t>2022-05</t>
  </si>
  <si>
    <t>47ff0931f3c749b495d003f2f12fd7b6</t>
  </si>
  <si>
    <t>2022-06</t>
  </si>
  <si>
    <t>32a2d6cdc3ef47f8a37307b4b54b77f1</t>
  </si>
  <si>
    <t>2022-07</t>
  </si>
  <si>
    <t>d745d2974af441d3abadd1d8ed34b81d</t>
  </si>
  <si>
    <t>2022-08</t>
  </si>
  <si>
    <t>a510af296dec420497dc164fa750d933</t>
  </si>
  <si>
    <t>2022-09</t>
  </si>
  <si>
    <t>75fc85614edf4d89b99be2793a31ce8a</t>
  </si>
  <si>
    <t>2022-10</t>
  </si>
  <si>
    <t>a3c52d1505b04fb18b397b78adddb279</t>
  </si>
  <si>
    <t>2020-02</t>
  </si>
  <si>
    <t>4205caadba0f41f9b73cae60355ce9d1</t>
  </si>
  <si>
    <t>2020-03</t>
  </si>
  <si>
    <t>8862d0bc19b74c7c950aa28eb2c82ffe</t>
  </si>
  <si>
    <t>2020-04</t>
  </si>
  <si>
    <t>4e3f4b72f21b4958955bf27674464c82</t>
  </si>
  <si>
    <t>2020-05</t>
  </si>
  <si>
    <t>370c142b2ff6420f89d0e4d208e88e34</t>
  </si>
  <si>
    <t>2020-06</t>
  </si>
  <si>
    <t>29e4cd949f42493cadddc2e772df7038</t>
  </si>
  <si>
    <t>2020-07</t>
  </si>
  <si>
    <t>b8b14625537a414ca48f6a086d5127bd</t>
  </si>
  <si>
    <t>2020-08</t>
  </si>
  <si>
    <t>bcd89442f6284241901141c9b97741d8</t>
  </si>
  <si>
    <t>2020-01</t>
  </si>
  <si>
    <t>December 2022</t>
  </si>
  <si>
    <t>November 2022</t>
  </si>
  <si>
    <t>October 2022</t>
  </si>
  <si>
    <t>September 2022</t>
  </si>
  <si>
    <t>August 2022</t>
  </si>
  <si>
    <t>July 2022</t>
  </si>
  <si>
    <t>June 2022</t>
  </si>
  <si>
    <t>May 2022</t>
  </si>
  <si>
    <t>April 2022</t>
  </si>
  <si>
    <t>March 2022</t>
  </si>
  <si>
    <t>February 2022</t>
  </si>
  <si>
    <t>December 2021</t>
  </si>
  <si>
    <t>November 2021</t>
  </si>
  <si>
    <t>November 2020</t>
  </si>
  <si>
    <t>October 2020</t>
  </si>
  <si>
    <t>September 2020</t>
  </si>
  <si>
    <t>August 2020</t>
  </si>
  <si>
    <t>July 2020</t>
  </si>
  <si>
    <t>June 2020</t>
  </si>
  <si>
    <t>May 2020</t>
  </si>
  <si>
    <t>April 2020</t>
  </si>
  <si>
    <t>March 2020</t>
  </si>
  <si>
    <t>February 2020</t>
  </si>
  <si>
    <t>January 2020</t>
  </si>
  <si>
    <t>NARROW ACCESS</t>
  </si>
  <si>
    <t>DAMAGED ROAD</t>
  </si>
  <si>
    <t>SOFT DUMPING POINT</t>
  </si>
  <si>
    <t>FATIGUE CHECK</t>
  </si>
  <si>
    <t>CROWDED ROAD</t>
  </si>
  <si>
    <t>NARROW DUMPING POINT</t>
  </si>
  <si>
    <t>LIGHTING PROBLEM</t>
  </si>
  <si>
    <t>SOFT LOADING POINT</t>
  </si>
  <si>
    <t>PREPARE FRONT</t>
  </si>
  <si>
    <t>TOP LOADING</t>
  </si>
  <si>
    <t>WAITING SUPPORT FRONT</t>
  </si>
  <si>
    <t>WAITING SURVEY</t>
  </si>
  <si>
    <t>HARD DIGGING</t>
  </si>
  <si>
    <t>BOULDER</t>
  </si>
  <si>
    <t>HARD DIGGING BLASTED</t>
  </si>
  <si>
    <t>50121015-M.Erik Hidayatul Arifin</t>
  </si>
  <si>
    <t>50121016-Akhmad Rizaldi</t>
  </si>
  <si>
    <t>50121017-Erfiandi Bakhtiar</t>
  </si>
  <si>
    <t>50121018-Sowan Saputra</t>
  </si>
  <si>
    <t>50121019-Muhamad Zensupriayanto</t>
  </si>
  <si>
    <t>50121020-Fajar Cahyono</t>
  </si>
  <si>
    <t>50121021-Lukman</t>
  </si>
  <si>
    <t>50121022-Tri Wibowo</t>
  </si>
  <si>
    <t>50121023-Asliadi</t>
  </si>
  <si>
    <t>50121024-Tarmono</t>
  </si>
  <si>
    <t>50621039-Rangga Hario Kharisma</t>
  </si>
  <si>
    <t>50621040-Hasri</t>
  </si>
  <si>
    <t>50621041-Rinol Nurcahyo</t>
  </si>
  <si>
    <t>50621042-Saiful</t>
  </si>
  <si>
    <t>50621045-Jumri</t>
  </si>
  <si>
    <t>50621048-Arfawan</t>
  </si>
  <si>
    <t>50621049-Taufik Hidayat</t>
  </si>
  <si>
    <t>50721059-Hotman Sinaga</t>
  </si>
  <si>
    <t>50721060-Andi Amiluddin</t>
  </si>
  <si>
    <t>50721061-Jefrianus Yoseph Budu</t>
  </si>
  <si>
    <t>50721062-Aslan</t>
  </si>
  <si>
    <t>50721063-Murdani</t>
  </si>
  <si>
    <t>50721064-Sahroni</t>
  </si>
  <si>
    <t>50721065-Ali Usman</t>
  </si>
  <si>
    <t>50721066-Theopilus Yansen</t>
  </si>
  <si>
    <t>50721067-Musliadi</t>
  </si>
  <si>
    <t>50721068-M. Dariyus</t>
  </si>
  <si>
    <t>50721069-Suwoko</t>
  </si>
  <si>
    <t>50721070-Bayu Yuwono</t>
  </si>
  <si>
    <t>50721071-Ignasius Longginus</t>
  </si>
  <si>
    <t>50721072-Sali</t>
  </si>
  <si>
    <t>50721073-Matius Taruk Allo</t>
  </si>
  <si>
    <t>50721074-Imam Safi'i</t>
  </si>
  <si>
    <t>50721075-Mohammad Fendik</t>
  </si>
  <si>
    <t>50721076-Dhirar San</t>
  </si>
  <si>
    <t>50721077-Sande David Blt</t>
  </si>
  <si>
    <t>50721078-Ayub Ibrahim Dandan</t>
  </si>
  <si>
    <t>50721079-Harpan</t>
  </si>
  <si>
    <t>50721080-Lukman</t>
  </si>
  <si>
    <t>50721081-Adi Wardana</t>
  </si>
  <si>
    <t>50721082-Dwiki Darmawan Saputro</t>
  </si>
  <si>
    <t>50721083-Yohanis Vinsensius Pati</t>
  </si>
  <si>
    <t>50721084-M. Abdul Solik</t>
  </si>
  <si>
    <t>50721085-Mursyidin Nur</t>
  </si>
  <si>
    <t>50721086-Marselinus Rudi Pasangka</t>
  </si>
  <si>
    <t>50721087-Inra Sanjaya</t>
  </si>
  <si>
    <t>50721089-Ali Said</t>
  </si>
  <si>
    <t>50721090-Tri Wijaya Subekti</t>
  </si>
  <si>
    <t>50721091-Germanus Juprianto Dara</t>
  </si>
  <si>
    <t>50721093-Usman Kao</t>
  </si>
  <si>
    <t>50721095-Jumari</t>
  </si>
  <si>
    <t>DISPOSAL &gt; INPIT TEMPUDO 5</t>
  </si>
  <si>
    <t>06:00-18:00</t>
  </si>
  <si>
    <t>18:00-06:00</t>
  </si>
  <si>
    <t>50221026-Bambang Rudi Hartono</t>
  </si>
  <si>
    <t>50421030-Suwardi</t>
  </si>
  <si>
    <t>50421033-Asep Riswandi</t>
  </si>
  <si>
    <t>50621034-Wiliam</t>
  </si>
  <si>
    <t>50621037-Dawud Prionggodo</t>
  </si>
  <si>
    <t>50721058-Yohanes Taddu'P</t>
  </si>
  <si>
    <t>50721097-Herianto</t>
  </si>
  <si>
    <t>50721103-Christoriady Dudung</t>
  </si>
  <si>
    <t>50821118-Wahyu Supriyanto</t>
  </si>
  <si>
    <t>51020007-Aditya Septian Perdana</t>
  </si>
  <si>
    <t>1911820232-Muhammad Irfan</t>
  </si>
  <si>
    <t>10/22/2021</t>
  </si>
  <si>
    <t>6:00</t>
  </si>
  <si>
    <t>7:00</t>
  </si>
  <si>
    <t>8:00</t>
  </si>
  <si>
    <t>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</si>
  <si>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</si>
  <si>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</si>
  <si>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</si>
  <si>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</si>
  <si>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</si>
  <si>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</si>
  <si>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</si>
  <si>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</si>
  <si>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dd47da0afb1f412f8d704363ad3d52bf-15#ac5653018cab45dcb87f636e7e46bd72-60#1f92ee1855504964b77010df89f179a5-10#3c003f744ecb4ac5b6390e2c3b3e107d-10#c5f2156fdd53409db47881ebfd0a3b1c-15#485a21b16c6d47c5bc5df5a0c47e8735-10#62282c4c69e647b79d57dac5c377db60-600</t>
  </si>
  <si>
    <t>dd47da0afb1f412f8d704363ad3d52bf-15#ac5653018cab45dcb87f636e7e46bd72-60#1f92ee1855504964b77010df89f179a5-10#9e64b5a3901641078ce5926c41d4e05e-30#3c003f744ecb4ac5b6390e2c3b3e107d-10#c5f2156fdd53409db47881ebfd0a3b1c-15#485a21b16c6d47c5bc5df5a0c47e8735-10#62282c4c69e647b79d57dac5c377db60-570</t>
  </si>
  <si>
    <t>DOZER_REZEKI_BORNEO_SEBUKU, PT</t>
  </si>
  <si>
    <t>API_CNUnit_Cap</t>
  </si>
  <si>
    <t>UPPERCASE</t>
  </si>
  <si>
    <t>WATER TRUCK 20KL RENAULT K460 6X6</t>
  </si>
  <si>
    <t>SEAM 20</t>
  </si>
  <si>
    <t>SEAM 20A</t>
  </si>
  <si>
    <t>SEAM 20L</t>
  </si>
  <si>
    <t>SEAM 20U</t>
  </si>
  <si>
    <t>SEAM 27</t>
  </si>
  <si>
    <t>SEAM 27AL</t>
  </si>
  <si>
    <t>SEAM 27AU</t>
  </si>
  <si>
    <t>SEAM 27L</t>
  </si>
  <si>
    <t>SEAM 27U</t>
  </si>
  <si>
    <t>SEAM 28AL</t>
  </si>
  <si>
    <t>SEAM 28AU</t>
  </si>
  <si>
    <t>BLOCK A1</t>
  </si>
  <si>
    <t>BLOCK B1</t>
  </si>
  <si>
    <t>INDEXIM BEDDING COAL</t>
  </si>
  <si>
    <t>INDEXIM HIGH SULPHUR</t>
  </si>
  <si>
    <t>INDEXIM LOW SULPHUR</t>
  </si>
  <si>
    <t>INDEXIM MEDIUM SULPHUR</t>
  </si>
  <si>
    <t>INDEXIM PRODUCT COAL PLN</t>
  </si>
  <si>
    <t>INDEXIM RAW COAL</t>
  </si>
  <si>
    <t>OVERBURDEN BLASTING</t>
  </si>
  <si>
    <t>OVERBURDEN FREE DIG</t>
  </si>
  <si>
    <t>OVERBURDEN RIPPING</t>
  </si>
  <si>
    <t>TOP SOIL</t>
  </si>
  <si>
    <t>50121015-M.ERIK HIDAYATUL ARIFIN</t>
  </si>
  <si>
    <t>50121016-AKHMAD RIZALDI</t>
  </si>
  <si>
    <t>50121017-ERFIANDI BAKHTIAR</t>
  </si>
  <si>
    <t>50121018-SOWAN SAPUTRA</t>
  </si>
  <si>
    <t>50121019-MUHAMAD ZENSUPRIAYANTO</t>
  </si>
  <si>
    <t>50121020-FAJAR CAHYONO</t>
  </si>
  <si>
    <t>50121021-LUKMAN</t>
  </si>
  <si>
    <t>50121022-TRI WIBOWO</t>
  </si>
  <si>
    <t>50121023-ASLIADI</t>
  </si>
  <si>
    <t>50121024-TARMONO</t>
  </si>
  <si>
    <t>50621039-RANGGA HARIO KHARISMA</t>
  </si>
  <si>
    <t>50621040-HASRI</t>
  </si>
  <si>
    <t>50621041-RINOL NURCAHYO</t>
  </si>
  <si>
    <t>50621042-SAIFUL</t>
  </si>
  <si>
    <t>50621045-JUMRI</t>
  </si>
  <si>
    <t>50621048-ARFAWAN</t>
  </si>
  <si>
    <t>50621049-TAUFIK HIDAYAT</t>
  </si>
  <si>
    <t>50721059-HOTMAN SINAGA</t>
  </si>
  <si>
    <t>50721060-ANDI AMILUDDIN</t>
  </si>
  <si>
    <t>50721061-JEFRIANUS YOSEPH BUDU</t>
  </si>
  <si>
    <t>50721062-ASLAN</t>
  </si>
  <si>
    <t>50721063-MURDANI</t>
  </si>
  <si>
    <t>50721064-SAHRONI</t>
  </si>
  <si>
    <t>50721065-ALI USMAN</t>
  </si>
  <si>
    <t>50721066-THEOPILUS YANSEN</t>
  </si>
  <si>
    <t>50721067-MUSLIADI</t>
  </si>
  <si>
    <t>50721068-M. DARIYUS</t>
  </si>
  <si>
    <t>50721069-SUWOKO</t>
  </si>
  <si>
    <t>50721070-BAYU YUWONO</t>
  </si>
  <si>
    <t>50721071-IGNASIUS LONGGINUS</t>
  </si>
  <si>
    <t>50721072-SALI</t>
  </si>
  <si>
    <t>50721073-MATIUS TARUK ALLO</t>
  </si>
  <si>
    <t>50721074-IMAM SAFI'I</t>
  </si>
  <si>
    <t>50721075-MOHAMMAD FENDIK</t>
  </si>
  <si>
    <t>50721076-DHIRAR SAN</t>
  </si>
  <si>
    <t>50721077-SANDE DAVID BLT</t>
  </si>
  <si>
    <t>50721078-AYUB IBRAHIM DANDAN</t>
  </si>
  <si>
    <t>50721079-HARPAN</t>
  </si>
  <si>
    <t>50721080-LUKMAN</t>
  </si>
  <si>
    <t>50721081-ADI WARDANA</t>
  </si>
  <si>
    <t>50721082-DWIKI DARMAWAN SAPUTRO</t>
  </si>
  <si>
    <t>50721083-YOHANIS VINSENSIUS PATI</t>
  </si>
  <si>
    <t>50721084-M. ABDUL SOLIK</t>
  </si>
  <si>
    <t>50721085-MURSYIDIN NUR</t>
  </si>
  <si>
    <t>50721086-MARSELINUS RUDI PASANGKA</t>
  </si>
  <si>
    <t>50721087-INRA SANJAYA</t>
  </si>
  <si>
    <t>50721089-ALI SAID</t>
  </si>
  <si>
    <t>50721090-TRI WIJAYA SUBEKTI</t>
  </si>
  <si>
    <t>50721091-GERMANUS JUPRIANTO DARA</t>
  </si>
  <si>
    <t>50721093-USMAN KAO</t>
  </si>
  <si>
    <t>50721095-JUMARI</t>
  </si>
  <si>
    <t>50221026-BAMBANG RUDI HARTONO</t>
  </si>
  <si>
    <t>50421030-SUWARDI</t>
  </si>
  <si>
    <t>50421033-ASEP RISWANDI</t>
  </si>
  <si>
    <t>50621034-WILIAM</t>
  </si>
  <si>
    <t>50621037-DAWUD PRIONGGODO</t>
  </si>
  <si>
    <t>50721058-YOHANES TADDU'P</t>
  </si>
  <si>
    <t>50721097-HERIANTO</t>
  </si>
  <si>
    <t>50721103-CHRISTORIADY DUDUNG</t>
  </si>
  <si>
    <t>50821118-WAHYU SUPRIYANTO</t>
  </si>
  <si>
    <t>51020007-ADITYA SEPTIAN PERDANA</t>
  </si>
  <si>
    <t>1911820232-MUHAMMAD IRFAN</t>
  </si>
  <si>
    <t>CPP KM 33 &gt; CPP KM33 HOPPER</t>
  </si>
  <si>
    <t>CPP KM33 HOPPER-DELETE</t>
  </si>
  <si>
    <t>DISPOSAL-DELETE</t>
  </si>
  <si>
    <t>KALIORANG ANCHORAGE</t>
  </si>
  <si>
    <t>PORT &gt; KALIORANG ANCHORAGE</t>
  </si>
  <si>
    <t>TEMPUDO 4-DELETE</t>
  </si>
  <si>
    <t>DT_0888</t>
  </si>
  <si>
    <t>Dump_Truck_99</t>
  </si>
  <si>
    <t>DUMP_TRUCK_99</t>
  </si>
  <si>
    <t>GREDER_REZEKI_BORNEO_SEBUKU, PT</t>
  </si>
  <si>
    <t>DT_0888_DT_DT</t>
  </si>
  <si>
    <t>BDOZER_20T_INDEXIM COALINDO,PT D6R2 XL-1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</si>
</sst>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[$-409]d\-mmm\-yy;@"/>
    <numFmt numFmtId="167" formatCode="[$-13809]dd\ mmm\ yyyy;@"/>
    <numFmt numFmtId="168" formatCode="h:mm;@"/>
    <numFmt numFmtId="169" formatCode="[$-409]d\ mmm\ yy;@"/>
    <numFmt numFmtId="170" formatCode="&quot;Rp&quot;#,##0.00"/>
    <numFmt numFmtId="171" formatCode="[$-F400]h:mm:ss\ AM/PM"/>
    <numFmt numFmtId="172" formatCode="d\.hh:mm:ss"/>
    <numFmt numFmtId="173" formatCode="_(* #,##0.000_);_(* \(#,##0.000\);_(* &quot;-&quot;??_);_(@_)"/>
    <numFmt numFmtId="174" formatCode="yyyy\-mm\-dd\ hh:mm:ss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b/>
      <sz val="8"/>
      <color theme="1"/>
      <name val="Ebrima"/>
    </font>
    <font>
      <b/>
      <sz val="5"/>
      <color theme="1"/>
      <name val="Ebrima"/>
    </font>
    <font>
      <b/>
      <sz val="5"/>
      <color theme="2"/>
      <name val="Ebrima"/>
    </font>
    <font>
      <b/>
      <sz val="8"/>
      <color theme="2"/>
      <name val="Ebrima"/>
    </font>
    <font>
      <b/>
      <sz val="8"/>
      <color rgb="FFFFFFCC"/>
      <name val="Ebrima"/>
    </font>
    <font>
      <b/>
      <sz val="8"/>
      <color rgb="FFFFFFCC"/>
      <name val="Calibri"/>
      <family val="2"/>
      <scheme val="minor"/>
    </font>
    <font>
      <sz val="5"/>
      <color theme="1"/>
      <name val="Ebrima"/>
    </font>
    <font>
      <b/>
      <sz val="5"/>
      <color rgb="FF2DA8D8"/>
      <name val="Ebrima"/>
    </font>
    <font>
      <b/>
      <sz val="5"/>
      <color rgb="FF2A2B2D"/>
      <name val="Ebrima"/>
    </font>
    <font>
      <b/>
      <sz val="5"/>
      <color rgb="FFFBDE44"/>
      <name val="Ebrima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FF00"/>
      <name val="Arial"/>
      <family val="2"/>
    </font>
    <font>
      <b/>
      <sz val="8"/>
      <color theme="0"/>
      <name val="Arial"/>
      <family val="2"/>
    </font>
    <font>
      <b/>
      <sz val="9"/>
      <color theme="1"/>
      <name val="Ebrima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"/>
    </font>
    <font>
      <b/>
      <sz val="3"/>
      <color theme="1"/>
      <name val="Ebrima"/>
    </font>
    <font>
      <sz val="8"/>
      <name val="Calibri"/>
      <family val="2"/>
      <scheme val="minor"/>
    </font>
    <font>
      <b/>
      <sz val="5"/>
      <color theme="0"/>
      <name val="Ebrima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8"/>
      <name val="Ebrima"/>
    </font>
    <font>
      <b/>
      <sz val="11"/>
      <name val="Calibri"/>
      <family val="2"/>
      <scheme val="minor"/>
    </font>
    <font>
      <b/>
      <sz val="5"/>
      <color rgb="FF2DA8D8"/>
      <name val="Bahnschrift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A5E2A"/>
        <bgColor indexed="64"/>
      </patternFill>
    </fill>
    <fill>
      <patternFill patternType="solid">
        <fgColor rgb="FF6DAC4F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ABD1C9"/>
        <bgColor indexed="64"/>
      </patternFill>
    </fill>
    <fill>
      <patternFill patternType="solid">
        <fgColor rgb="FFDFDCE5"/>
        <bgColor indexed="64"/>
      </patternFill>
    </fill>
    <fill>
      <patternFill patternType="solid">
        <fgColor rgb="FFDFB04A"/>
        <bgColor indexed="64"/>
      </patternFill>
    </fill>
    <fill>
      <patternFill patternType="solid">
        <fgColor rgb="FF97B3D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2DA8D8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</fills>
  <borders count="67">
    <border>
      <left/>
      <right/>
      <top/>
      <bottom/>
      <diagonal/>
    </border>
    <border>
      <left style="thin">
        <color rgb="FF0A5E2A"/>
      </left>
      <right style="thin">
        <color rgb="FF0A5E2A"/>
      </right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rgb="FF0A5E2A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A5E2A"/>
      </left>
      <right/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94">
    <xf numFmtId="0" fontId="0" fillId="0" borderId="0" xfId="0"/>
    <xf numFmtId="0" fontId="5" fillId="18" borderId="2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  <xf numFmtId="165" fontId="9" fillId="15" borderId="0" xfId="1" applyNumberFormat="1" applyFont="1" applyFill="1" applyAlignment="1">
      <alignment horizontal="center"/>
    </xf>
    <xf numFmtId="165" fontId="9" fillId="12" borderId="0" xfId="1" applyNumberFormat="1" applyFont="1" applyFill="1" applyAlignment="1">
      <alignment horizontal="center"/>
    </xf>
    <xf numFmtId="165" fontId="9" fillId="0" borderId="0" xfId="1" applyNumberFormat="1" applyFont="1" applyFill="1" applyAlignment="1">
      <alignment horizontal="center"/>
    </xf>
    <xf numFmtId="165" fontId="9" fillId="7" borderId="0" xfId="1" applyNumberFormat="1" applyFont="1" applyFill="1" applyAlignment="1">
      <alignment horizontal="center"/>
    </xf>
    <xf numFmtId="165" fontId="9" fillId="0" borderId="0" xfId="1" applyNumberFormat="1" applyFont="1" applyAlignment="1">
      <alignment horizontal="center"/>
    </xf>
    <xf numFmtId="0" fontId="13" fillId="0" borderId="0" xfId="0" applyFont="1"/>
    <xf numFmtId="0" fontId="13" fillId="0" borderId="0" xfId="0" applyFont="1" applyBorder="1"/>
    <xf numFmtId="0" fontId="13" fillId="0" borderId="0" xfId="0" applyFont="1" applyAlignment="1">
      <alignment horizontal="center"/>
    </xf>
    <xf numFmtId="43" fontId="13" fillId="0" borderId="0" xfId="1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20" borderId="20" xfId="0" applyFont="1" applyFill="1" applyBorder="1" applyAlignment="1">
      <alignment horizontal="center"/>
    </xf>
    <xf numFmtId="0" fontId="13" fillId="20" borderId="21" xfId="0" applyFont="1" applyFill="1" applyBorder="1" applyAlignment="1">
      <alignment horizontal="center"/>
    </xf>
    <xf numFmtId="0" fontId="13" fillId="20" borderId="22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43" fontId="14" fillId="3" borderId="0" xfId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15" fillId="21" borderId="0" xfId="0" applyFont="1" applyFill="1"/>
    <xf numFmtId="0" fontId="14" fillId="19" borderId="0" xfId="0" applyFont="1" applyFill="1" applyBorder="1" applyAlignment="1">
      <alignment horizontal="center" vertical="center"/>
    </xf>
    <xf numFmtId="0" fontId="14" fillId="19" borderId="18" xfId="0" applyFont="1" applyFill="1" applyBorder="1" applyAlignment="1">
      <alignment horizontal="center" vertical="center"/>
    </xf>
    <xf numFmtId="0" fontId="14" fillId="19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3" fillId="20" borderId="25" xfId="0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29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43" fontId="13" fillId="0" borderId="0" xfId="1" applyFont="1" applyAlignment="1">
      <alignment horizontal="center" vertical="center" wrapText="1"/>
    </xf>
    <xf numFmtId="167" fontId="13" fillId="0" borderId="0" xfId="0" applyNumberFormat="1" applyFont="1" applyAlignment="1">
      <alignment horizontal="center" vertical="center"/>
    </xf>
    <xf numFmtId="167" fontId="13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8" fontId="13" fillId="0" borderId="0" xfId="1" applyNumberFormat="1" applyFont="1" applyAlignment="1">
      <alignment horizontal="center"/>
    </xf>
    <xf numFmtId="168" fontId="13" fillId="0" borderId="23" xfId="1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4" fillId="0" borderId="0" xfId="0" applyFont="1" applyAlignment="1">
      <alignment vertical="center"/>
    </xf>
    <xf numFmtId="166" fontId="13" fillId="0" borderId="15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167" fontId="13" fillId="0" borderId="16" xfId="0" applyNumberFormat="1" applyFont="1" applyBorder="1" applyAlignment="1">
      <alignment horizontal="center"/>
    </xf>
    <xf numFmtId="167" fontId="13" fillId="0" borderId="13" xfId="0" applyNumberFormat="1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167" fontId="13" fillId="0" borderId="0" xfId="0" applyNumberFormat="1" applyFont="1" applyBorder="1" applyAlignment="1">
      <alignment horizontal="center"/>
    </xf>
    <xf numFmtId="43" fontId="13" fillId="0" borderId="0" xfId="1" applyFont="1" applyAlignment="1">
      <alignment vertical="center"/>
    </xf>
    <xf numFmtId="166" fontId="13" fillId="0" borderId="0" xfId="0" applyNumberFormat="1" applyFont="1" applyAlignment="1">
      <alignment horizontal="center" vertical="center"/>
    </xf>
    <xf numFmtId="41" fontId="13" fillId="0" borderId="0" xfId="2" applyFont="1" applyAlignment="1">
      <alignment horizontal="center" vertical="center"/>
    </xf>
    <xf numFmtId="43" fontId="13" fillId="0" borderId="0" xfId="1" applyFont="1" applyAlignment="1">
      <alignment horizontal="center" vertical="center"/>
    </xf>
    <xf numFmtId="43" fontId="13" fillId="0" borderId="0" xfId="1" applyFont="1"/>
    <xf numFmtId="43" fontId="13" fillId="0" borderId="0" xfId="0" applyNumberFormat="1" applyFont="1"/>
    <xf numFmtId="0" fontId="13" fillId="0" borderId="0" xfId="0" applyFont="1" applyBorder="1" applyAlignment="1">
      <alignment horizontal="center" vertical="center"/>
    </xf>
    <xf numFmtId="169" fontId="13" fillId="0" borderId="0" xfId="0" applyNumberFormat="1" applyFont="1" applyBorder="1" applyAlignment="1">
      <alignment horizontal="center" vertical="center"/>
    </xf>
    <xf numFmtId="166" fontId="13" fillId="0" borderId="30" xfId="0" applyNumberFormat="1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167" fontId="13" fillId="0" borderId="31" xfId="0" applyNumberFormat="1" applyFont="1" applyBorder="1" applyAlignment="1">
      <alignment horizontal="center"/>
    </xf>
    <xf numFmtId="167" fontId="13" fillId="0" borderId="32" xfId="0" applyNumberFormat="1" applyFont="1" applyBorder="1" applyAlignment="1">
      <alignment horizontal="center"/>
    </xf>
    <xf numFmtId="0" fontId="18" fillId="0" borderId="0" xfId="0" applyFont="1"/>
    <xf numFmtId="0" fontId="3" fillId="5" borderId="37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9" fillId="3" borderId="30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9" fillId="3" borderId="33" xfId="0" applyFont="1" applyFill="1" applyBorder="1" applyAlignment="1"/>
    <xf numFmtId="0" fontId="7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43" fontId="9" fillId="0" borderId="0" xfId="1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43" fontId="9" fillId="15" borderId="0" xfId="1" applyFont="1" applyFill="1" applyBorder="1" applyAlignment="1">
      <alignment horizontal="center"/>
    </xf>
    <xf numFmtId="43" fontId="9" fillId="15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43" fontId="9" fillId="15" borderId="0" xfId="1" applyNumberFormat="1" applyFont="1" applyFill="1" applyAlignment="1">
      <alignment horizontal="center"/>
    </xf>
    <xf numFmtId="0" fontId="24" fillId="0" borderId="0" xfId="0" applyFont="1" applyAlignment="1">
      <alignment horizontal="center"/>
    </xf>
    <xf numFmtId="168" fontId="24" fillId="0" borderId="0" xfId="1" applyNumberFormat="1" applyFont="1" applyAlignment="1">
      <alignment horizontal="center"/>
    </xf>
    <xf numFmtId="43" fontId="24" fillId="0" borderId="0" xfId="0" applyNumberFormat="1" applyFont="1"/>
    <xf numFmtId="166" fontId="24" fillId="0" borderId="0" xfId="0" applyNumberFormat="1" applyFont="1" applyAlignment="1">
      <alignment horizontal="center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24" fillId="0" borderId="0" xfId="0" applyFont="1" applyAlignment="1">
      <alignment horizontal="center" vertical="center"/>
    </xf>
    <xf numFmtId="0" fontId="19" fillId="0" borderId="0" xfId="0" applyFont="1"/>
    <xf numFmtId="0" fontId="10" fillId="12" borderId="2" xfId="0" applyFont="1" applyFill="1" applyBorder="1" applyAlignment="1">
      <alignment horizontal="center" textRotation="90" wrapText="1"/>
    </xf>
    <xf numFmtId="0" fontId="10" fillId="12" borderId="2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textRotation="90" wrapText="1"/>
    </xf>
    <xf numFmtId="0" fontId="9" fillId="13" borderId="4" xfId="0" applyFont="1" applyFill="1" applyBorder="1" applyAlignment="1">
      <alignment horizontal="center" textRotation="90" wrapText="1"/>
    </xf>
    <xf numFmtId="0" fontId="4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1" fillId="23" borderId="0" xfId="0" applyFont="1" applyFill="1" applyAlignment="1">
      <alignment horizontal="center" vertical="center" wrapText="1"/>
    </xf>
    <xf numFmtId="0" fontId="21" fillId="23" borderId="0" xfId="0" applyFont="1" applyFill="1" applyBorder="1" applyAlignment="1">
      <alignment horizontal="center" vertical="center" wrapText="1"/>
    </xf>
    <xf numFmtId="0" fontId="0" fillId="23" borderId="0" xfId="0" applyFill="1"/>
    <xf numFmtId="0" fontId="4" fillId="24" borderId="0" xfId="0" applyFont="1" applyFill="1" applyAlignment="1">
      <alignment horizontal="center" vertical="center" wrapText="1"/>
    </xf>
    <xf numFmtId="0" fontId="4" fillId="24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textRotation="90"/>
    </xf>
    <xf numFmtId="0" fontId="9" fillId="15" borderId="52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textRotation="90" wrapText="1"/>
    </xf>
    <xf numFmtId="165" fontId="9" fillId="15" borderId="52" xfId="1" applyNumberFormat="1" applyFont="1" applyFill="1" applyBorder="1" applyAlignment="1">
      <alignment horizontal="center"/>
    </xf>
    <xf numFmtId="43" fontId="9" fillId="15" borderId="52" xfId="1" applyNumberFormat="1" applyFont="1" applyFill="1" applyBorder="1" applyAlignment="1">
      <alignment horizontal="center"/>
    </xf>
    <xf numFmtId="0" fontId="19" fillId="15" borderId="19" xfId="0" applyFont="1" applyFill="1" applyBorder="1" applyAlignment="1">
      <alignment horizontal="left" vertical="center"/>
    </xf>
    <xf numFmtId="0" fontId="9" fillId="0" borderId="52" xfId="0" applyFont="1" applyFill="1" applyBorder="1" applyAlignment="1">
      <alignment horizontal="center"/>
    </xf>
    <xf numFmtId="165" fontId="9" fillId="0" borderId="52" xfId="1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170" fontId="9" fillId="0" borderId="0" xfId="0" applyNumberFormat="1" applyFont="1" applyFill="1" applyBorder="1" applyAlignment="1">
      <alignment horizontal="center" textRotation="90"/>
    </xf>
    <xf numFmtId="43" fontId="9" fillId="15" borderId="52" xfId="0" applyNumberFormat="1" applyFont="1" applyFill="1" applyBorder="1" applyAlignment="1">
      <alignment horizontal="center"/>
    </xf>
    <xf numFmtId="166" fontId="9" fillId="0" borderId="0" xfId="0" applyNumberFormat="1" applyFont="1" applyFill="1" applyAlignment="1">
      <alignment horizontal="center"/>
    </xf>
    <xf numFmtId="0" fontId="9" fillId="0" borderId="52" xfId="0" applyFont="1" applyFill="1" applyBorder="1" applyAlignment="1">
      <alignment horizontal="left"/>
    </xf>
    <xf numFmtId="0" fontId="9" fillId="15" borderId="0" xfId="0" applyFont="1" applyFill="1" applyAlignment="1">
      <alignment horizontal="left"/>
    </xf>
    <xf numFmtId="0" fontId="18" fillId="0" borderId="0" xfId="0" applyFont="1" applyFill="1"/>
    <xf numFmtId="0" fontId="0" fillId="0" borderId="0" xfId="0" applyFill="1"/>
    <xf numFmtId="11" fontId="0" fillId="0" borderId="0" xfId="0" applyNumberFormat="1"/>
    <xf numFmtId="0" fontId="27" fillId="25" borderId="55" xfId="0" applyFont="1" applyFill="1" applyBorder="1" applyAlignment="1">
      <alignment horizontal="center" vertical="center" wrapText="1"/>
    </xf>
    <xf numFmtId="171" fontId="0" fillId="0" borderId="0" xfId="0" applyNumberFormat="1"/>
    <xf numFmtId="172" fontId="0" fillId="0" borderId="0" xfId="0" applyNumberFormat="1"/>
    <xf numFmtId="0" fontId="27" fillId="26" borderId="57" xfId="0" applyFont="1" applyFill="1" applyBorder="1"/>
    <xf numFmtId="0" fontId="27" fillId="26" borderId="58" xfId="0" applyFont="1" applyFill="1" applyBorder="1"/>
    <xf numFmtId="0" fontId="28" fillId="27" borderId="19" xfId="0" applyFont="1" applyFill="1" applyBorder="1" applyAlignment="1">
      <alignment vertical="center"/>
    </xf>
    <xf numFmtId="0" fontId="27" fillId="26" borderId="50" xfId="0" applyFont="1" applyFill="1" applyBorder="1"/>
    <xf numFmtId="0" fontId="27" fillId="26" borderId="49" xfId="0" applyFont="1" applyFill="1" applyBorder="1"/>
    <xf numFmtId="0" fontId="9" fillId="15" borderId="52" xfId="0" applyFont="1" applyFill="1" applyBorder="1" applyAlignment="1">
      <alignment horizontal="left"/>
    </xf>
    <xf numFmtId="165" fontId="9" fillId="0" borderId="52" xfId="1" applyNumberFormat="1" applyFont="1" applyFill="1" applyBorder="1" applyAlignment="1">
      <alignment horizontal="left"/>
    </xf>
    <xf numFmtId="0" fontId="4" fillId="3" borderId="2" xfId="0" applyFont="1" applyFill="1" applyBorder="1" applyAlignment="1">
      <alignment horizontal="center" vertical="center" wrapText="1"/>
    </xf>
    <xf numFmtId="165" fontId="9" fillId="0" borderId="0" xfId="1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9" fillId="0" borderId="0" xfId="0" applyFont="1"/>
    <xf numFmtId="0" fontId="28" fillId="27" borderId="56" xfId="0" applyFont="1" applyFill="1" applyBorder="1"/>
    <xf numFmtId="0" fontId="31" fillId="25" borderId="55" xfId="0" applyFont="1" applyFill="1" applyBorder="1" applyAlignment="1">
      <alignment horizontal="center" vertical="center" wrapText="1"/>
    </xf>
    <xf numFmtId="0" fontId="27" fillId="26" borderId="59" xfId="0" applyFont="1" applyFill="1" applyBorder="1" applyAlignment="1">
      <alignment horizontal="center" vertical="center"/>
    </xf>
    <xf numFmtId="165" fontId="9" fillId="23" borderId="52" xfId="1" applyNumberFormat="1" applyFont="1" applyFill="1" applyBorder="1" applyAlignment="1">
      <alignment horizontal="center"/>
    </xf>
    <xf numFmtId="173" fontId="9" fillId="15" borderId="0" xfId="1" applyNumberFormat="1" applyFont="1" applyFill="1" applyAlignment="1">
      <alignment horizontal="center"/>
    </xf>
    <xf numFmtId="0" fontId="26" fillId="0" borderId="55" xfId="0" applyFont="1" applyFill="1" applyBorder="1" applyAlignment="1">
      <alignment vertical="center" wrapText="1"/>
    </xf>
    <xf numFmtId="0" fontId="0" fillId="0" borderId="55" xfId="0" applyBorder="1" applyAlignment="1"/>
    <xf numFmtId="0" fontId="0" fillId="0" borderId="55" xfId="0" applyBorder="1"/>
    <xf numFmtId="0" fontId="0" fillId="0" borderId="55" xfId="0" applyBorder="1" applyAlignment="1">
      <alignment horizontal="center" vertical="center"/>
    </xf>
    <xf numFmtId="0" fontId="0" fillId="0" borderId="55" xfId="0" applyFont="1" applyBorder="1" applyAlignment="1"/>
    <xf numFmtId="0" fontId="0" fillId="0" borderId="55" xfId="0" applyNumberFormat="1" applyBorder="1" applyAlignment="1">
      <alignment horizontal="center" vertical="center"/>
    </xf>
    <xf numFmtId="0" fontId="0" fillId="28" borderId="61" xfId="0" applyFont="1" applyFill="1" applyBorder="1"/>
    <xf numFmtId="0" fontId="0" fillId="28" borderId="60" xfId="0" applyFont="1" applyFill="1" applyBorder="1"/>
    <xf numFmtId="0" fontId="16" fillId="26" borderId="62" xfId="0" applyFont="1" applyFill="1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10" fillId="12" borderId="2" xfId="0" applyFont="1" applyFill="1" applyBorder="1" applyAlignment="1">
      <alignment horizontal="center" textRotation="90" wrapText="1"/>
    </xf>
    <xf numFmtId="0" fontId="32" fillId="12" borderId="2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  <xf numFmtId="0" fontId="9" fillId="15" borderId="0" xfId="0" applyNumberFormat="1" applyFont="1" applyFill="1" applyAlignment="1">
      <alignment horizontal="center"/>
    </xf>
    <xf numFmtId="43" fontId="9" fillId="15" borderId="0" xfId="1" applyNumberFormat="1" applyFont="1" applyFill="1" applyBorder="1" applyAlignment="1">
      <alignment horizontal="center"/>
    </xf>
    <xf numFmtId="0" fontId="31" fillId="25" borderId="63" xfId="0" applyFont="1" applyFill="1" applyBorder="1" applyAlignment="1">
      <alignment horizontal="center" vertical="center" wrapText="1"/>
    </xf>
    <xf numFmtId="0" fontId="27" fillId="25" borderId="64" xfId="0" applyFont="1" applyFill="1" applyBorder="1" applyAlignment="1">
      <alignment horizontal="center" vertical="center" wrapText="1"/>
    </xf>
    <xf numFmtId="174" fontId="0" fillId="0" borderId="19" xfId="0" applyNumberFormat="1" applyBorder="1" applyAlignment="1">
      <alignment horizontal="center" vertical="center"/>
    </xf>
    <xf numFmtId="0" fontId="9" fillId="15" borderId="65" xfId="0" applyNumberFormat="1" applyFont="1" applyFill="1" applyBorder="1" applyAlignment="1">
      <alignment horizontal="center"/>
    </xf>
    <xf numFmtId="0" fontId="9" fillId="15" borderId="0" xfId="0" applyNumberFormat="1" applyFont="1" applyFill="1" applyAlignment="1">
      <alignment horizontal="left"/>
    </xf>
    <xf numFmtId="165" fontId="9" fillId="0" borderId="66" xfId="1" applyNumberFormat="1" applyFont="1" applyBorder="1" applyAlignment="1">
      <alignment horizontal="center"/>
    </xf>
    <xf numFmtId="165" fontId="9" fillId="0" borderId="65" xfId="1" applyNumberFormat="1" applyFont="1" applyFill="1" applyBorder="1" applyAlignment="1">
      <alignment horizontal="center"/>
    </xf>
    <xf numFmtId="21" fontId="0" fillId="0" borderId="0" xfId="0" applyNumberFormat="1"/>
    <xf numFmtId="165" fontId="9" fillId="0" borderId="0" xfId="1" applyNumberFormat="1" applyFont="1" applyFill="1" applyAlignment="1">
      <alignment horizontal="left"/>
    </xf>
    <xf numFmtId="0" fontId="14" fillId="19" borderId="18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17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/>
    </xf>
    <xf numFmtId="43" fontId="14" fillId="0" borderId="0" xfId="1" applyFont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textRotation="90" wrapText="1"/>
    </xf>
    <xf numFmtId="0" fontId="4" fillId="17" borderId="2" xfId="0" applyFont="1" applyFill="1" applyBorder="1" applyAlignment="1">
      <alignment horizontal="center" textRotation="90" wrapText="1"/>
    </xf>
    <xf numFmtId="0" fontId="4" fillId="16" borderId="2" xfId="0" applyFont="1" applyFill="1" applyBorder="1" applyAlignment="1">
      <alignment horizontal="center" textRotation="90" wrapText="1"/>
    </xf>
    <xf numFmtId="0" fontId="3" fillId="7" borderId="3" xfId="0" applyFont="1" applyFill="1" applyBorder="1" applyAlignment="1">
      <alignment horizontal="center" textRotation="90"/>
    </xf>
    <xf numFmtId="0" fontId="3" fillId="7" borderId="4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textRotation="90"/>
    </xf>
    <xf numFmtId="0" fontId="5" fillId="22" borderId="4" xfId="0" applyFont="1" applyFill="1" applyBorder="1" applyAlignment="1">
      <alignment horizontal="center" textRotation="90"/>
    </xf>
    <xf numFmtId="0" fontId="5" fillId="22" borderId="5" xfId="0" applyFont="1" applyFill="1" applyBorder="1" applyAlignment="1">
      <alignment horizontal="center" textRotation="90"/>
    </xf>
    <xf numFmtId="0" fontId="4" fillId="3" borderId="53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5" fillId="18" borderId="54" xfId="0" applyFont="1" applyFill="1" applyBorder="1" applyAlignment="1">
      <alignment horizontal="center" vertical="center"/>
    </xf>
    <xf numFmtId="0" fontId="5" fillId="18" borderId="7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textRotation="90" wrapText="1"/>
    </xf>
    <xf numFmtId="0" fontId="10" fillId="12" borderId="3" xfId="0" applyFont="1" applyFill="1" applyBorder="1" applyAlignment="1">
      <alignment horizontal="center" textRotation="90" wrapText="1"/>
    </xf>
    <xf numFmtId="0" fontId="10" fillId="12" borderId="4" xfId="0" applyFont="1" applyFill="1" applyBorder="1" applyAlignment="1">
      <alignment horizontal="center" textRotation="90" wrapText="1"/>
    </xf>
    <xf numFmtId="0" fontId="10" fillId="12" borderId="5" xfId="0" applyFont="1" applyFill="1" applyBorder="1" applyAlignment="1">
      <alignment horizontal="center" textRotation="90" wrapText="1"/>
    </xf>
    <xf numFmtId="0" fontId="4" fillId="6" borderId="2" xfId="0" applyFont="1" applyFill="1" applyBorder="1" applyAlignment="1">
      <alignment horizontal="center" textRotation="90" wrapText="1"/>
    </xf>
    <xf numFmtId="0" fontId="12" fillId="14" borderId="3" xfId="0" applyFont="1" applyFill="1" applyBorder="1" applyAlignment="1">
      <alignment horizontal="center" textRotation="90" wrapText="1"/>
    </xf>
    <xf numFmtId="0" fontId="12" fillId="14" borderId="4" xfId="0" applyFont="1" applyFill="1" applyBorder="1" applyAlignment="1">
      <alignment horizontal="center" textRotation="90" wrapText="1"/>
    </xf>
    <xf numFmtId="0" fontId="12" fillId="14" borderId="5" xfId="0" applyFont="1" applyFill="1" applyBorder="1" applyAlignment="1">
      <alignment horizontal="center" textRotation="90" wrapText="1"/>
    </xf>
    <xf numFmtId="0" fontId="12" fillId="14" borderId="11" xfId="0" applyFont="1" applyFill="1" applyBorder="1" applyAlignment="1">
      <alignment horizontal="center" vertical="center"/>
    </xf>
    <xf numFmtId="0" fontId="12" fillId="14" borderId="12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horizontal="center" textRotation="90" wrapText="1"/>
    </xf>
    <xf numFmtId="0" fontId="4" fillId="2" borderId="3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4" fillId="2" borderId="5" xfId="0" applyFont="1" applyFill="1" applyBorder="1" applyAlignment="1">
      <alignment horizontal="center" textRotation="90"/>
    </xf>
    <xf numFmtId="0" fontId="6" fillId="12" borderId="3" xfId="0" applyFont="1" applyFill="1" applyBorder="1" applyAlignment="1">
      <alignment horizontal="center" textRotation="90" wrapText="1"/>
    </xf>
    <xf numFmtId="0" fontId="6" fillId="12" borderId="4" xfId="0" applyFont="1" applyFill="1" applyBorder="1" applyAlignment="1">
      <alignment horizontal="center" textRotation="90" wrapText="1"/>
    </xf>
    <xf numFmtId="0" fontId="6" fillId="12" borderId="5" xfId="0" applyFont="1" applyFill="1" applyBorder="1" applyAlignment="1">
      <alignment horizontal="center" textRotation="90" wrapText="1"/>
    </xf>
    <xf numFmtId="0" fontId="4" fillId="8" borderId="2" xfId="0" applyFont="1" applyFill="1" applyBorder="1" applyAlignment="1">
      <alignment horizontal="center" textRotation="90" wrapText="1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4" fillId="0" borderId="5" xfId="0" applyFont="1" applyFill="1" applyBorder="1" applyAlignment="1">
      <alignment horizontal="center" textRotation="90"/>
    </xf>
    <xf numFmtId="0" fontId="11" fillId="13" borderId="2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textRotation="90" wrapText="1"/>
    </xf>
    <xf numFmtId="0" fontId="2" fillId="4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30" fillId="14" borderId="1" xfId="0" applyFont="1" applyFill="1" applyBorder="1" applyAlignment="1">
      <alignment horizontal="center" vertical="center"/>
    </xf>
    <xf numFmtId="0" fontId="17" fillId="11" borderId="34" xfId="0" applyFont="1" applyFill="1" applyBorder="1" applyAlignment="1">
      <alignment horizontal="center" textRotation="90" wrapText="1"/>
    </xf>
    <xf numFmtId="0" fontId="17" fillId="11" borderId="35" xfId="0" applyFont="1" applyFill="1" applyBorder="1" applyAlignment="1">
      <alignment horizontal="center" textRotation="90" wrapText="1"/>
    </xf>
    <xf numFmtId="0" fontId="17" fillId="11" borderId="0" xfId="0" applyFont="1" applyFill="1" applyBorder="1" applyAlignment="1">
      <alignment horizontal="center" textRotation="90" wrapText="1"/>
    </xf>
    <xf numFmtId="0" fontId="17" fillId="11" borderId="9" xfId="0" applyFont="1" applyFill="1" applyBorder="1" applyAlignment="1">
      <alignment horizontal="center" textRotation="90" wrapText="1"/>
    </xf>
    <xf numFmtId="0" fontId="17" fillId="11" borderId="7" xfId="0" applyFont="1" applyFill="1" applyBorder="1" applyAlignment="1">
      <alignment horizontal="center" textRotation="90" wrapText="1"/>
    </xf>
    <xf numFmtId="0" fontId="17" fillId="11" borderId="8" xfId="0" applyFont="1" applyFill="1" applyBorder="1" applyAlignment="1">
      <alignment horizontal="center" textRotation="90" wrapText="1"/>
    </xf>
    <xf numFmtId="0" fontId="4" fillId="11" borderId="36" xfId="0" applyNumberFormat="1" applyFont="1" applyFill="1" applyBorder="1" applyAlignment="1">
      <alignment horizontal="center" vertical="center"/>
    </xf>
    <xf numFmtId="0" fontId="4" fillId="11" borderId="1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textRotation="90"/>
    </xf>
    <xf numFmtId="0" fontId="8" fillId="14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0" fillId="14" borderId="37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/>
    </xf>
    <xf numFmtId="0" fontId="7" fillId="12" borderId="48" xfId="0" applyFont="1" applyFill="1" applyBorder="1" applyAlignment="1">
      <alignment horizontal="center" vertical="center" textRotation="30"/>
    </xf>
    <xf numFmtId="0" fontId="7" fillId="12" borderId="50" xfId="0" applyFont="1" applyFill="1" applyBorder="1" applyAlignment="1">
      <alignment horizontal="center" vertical="center" textRotation="30"/>
    </xf>
    <xf numFmtId="0" fontId="7" fillId="12" borderId="51" xfId="0" applyFont="1" applyFill="1" applyBorder="1" applyAlignment="1">
      <alignment horizontal="center" vertical="center" textRotation="30"/>
    </xf>
    <xf numFmtId="0" fontId="7" fillId="12" borderId="41" xfId="0" applyFont="1" applyFill="1" applyBorder="1" applyAlignment="1">
      <alignment horizontal="center" textRotation="45" wrapText="1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textRotation="45" wrapText="1"/>
    </xf>
    <xf numFmtId="0" fontId="7" fillId="12" borderId="46" xfId="0" applyFont="1" applyFill="1" applyBorder="1" applyAlignment="1">
      <alignment horizontal="center" textRotation="45" wrapText="1"/>
    </xf>
    <xf numFmtId="0" fontId="7" fillId="12" borderId="47" xfId="0" applyFont="1" applyFill="1" applyBorder="1" applyAlignment="1">
      <alignment horizontal="center" textRotation="45" wrapText="1"/>
    </xf>
    <xf numFmtId="0" fontId="11" fillId="13" borderId="38" xfId="0" applyFont="1" applyFill="1" applyBorder="1" applyAlignment="1">
      <alignment horizontal="center" textRotation="90" wrapText="1"/>
    </xf>
    <xf numFmtId="170" fontId="9" fillId="3" borderId="6" xfId="0" applyNumberFormat="1" applyFont="1" applyFill="1" applyBorder="1" applyAlignment="1">
      <alignment horizontal="center" textRotation="90"/>
    </xf>
    <xf numFmtId="0" fontId="10" fillId="12" borderId="10" xfId="0" applyFont="1" applyFill="1" applyBorder="1" applyAlignment="1">
      <alignment horizontal="center" vertical="center"/>
    </xf>
  </cellXfs>
  <cellStyles count="6">
    <cellStyle name="Comma" xfId="1" builtinId="3"/>
    <cellStyle name="Comma [0]" xfId="2" builtinId="6"/>
    <cellStyle name="Comma 2" xfId="5" xr:uid="{00000000-0005-0000-0000-000002000000}"/>
    <cellStyle name="Comma 3" xfId="4" xr:uid="{00000000-0005-0000-0000-000003000000}"/>
    <cellStyle name="Normal" xfId="0" builtinId="0"/>
    <cellStyle name="Normal 2" xfId="3" xr:uid="{00000000-0005-0000-0000-000007000000}"/>
  </cellStyles>
  <dxfs count="49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dd/mm/yyyy\ hh:mm"/>
    </dxf>
    <dxf>
      <numFmt numFmtId="176" formatCode="dd/mm/yyyy"/>
    </dxf>
    <dxf>
      <numFmt numFmtId="176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dd/mm/yyyy\ hh:mm"/>
    </dxf>
    <dxf>
      <numFmt numFmtId="176" formatCode="dd/mm/yyyy"/>
    </dxf>
    <dxf>
      <numFmt numFmtId="176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dd/mm/yyyy\ hh:mm"/>
    </dxf>
    <dxf>
      <numFmt numFmtId="0" formatCode="General"/>
    </dxf>
    <dxf>
      <numFmt numFmtId="176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dd/mm/yyyy"/>
    </dxf>
    <dxf>
      <numFmt numFmtId="0" formatCode="General"/>
    </dxf>
    <dxf>
      <numFmt numFmtId="0" formatCode="General"/>
    </dxf>
    <dxf>
      <numFmt numFmtId="176" formatCode="dd/mm/yyyy"/>
    </dxf>
    <dxf>
      <fill>
        <patternFill patternType="solid">
          <fgColor indexed="64"/>
          <bgColor rgb="FFFF0000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73" formatCode="_(* #,##0.000_);_(* \(#,##0.0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73" formatCode="_(* #,##0.000_);_(* \(#,##0.0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  <border outline="0">
        <left style="thin">
          <color theme="6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outline="0">
        <left style="medium">
          <color rgb="FFCCCCCC"/>
        </left>
        <top style="medium">
          <color rgb="FFCCCCCC"/>
        </top>
      </border>
    </dxf>
    <dxf>
      <border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CCCC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[$-F400]h:mm:ss\ AM/PM"/>
    </dxf>
    <dxf>
      <numFmt numFmtId="172" formatCode="d\.hh:mm:ss"/>
    </dxf>
    <dxf>
      <numFmt numFmtId="171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6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h:mm;@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6" formatCode="[$-409]d\-m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border outline="0">
        <top style="thin">
          <color theme="2" tint="-0.499984740745262"/>
        </top>
      </border>
    </dxf>
    <dxf>
      <border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</dxfs>
  <tableStyles count="0" defaultTableStyle="TableStyleMedium2" defaultPivotStyle="PivotStyleLight16"/>
  <colors>
    <mruColors>
      <color rgb="FFFFFFCC"/>
      <color rgb="FF2DA8D8"/>
      <color rgb="FFCC00CC"/>
      <color rgb="FFFBDE44"/>
      <color rgb="FFDFB04A"/>
      <color rgb="FFDFDCE5"/>
      <color rgb="FFEFEFE8"/>
      <color rgb="FF97B3D0"/>
      <color rgb="FF28334A"/>
      <color rgb="FF2A2B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AC3F20AB-D297-44CE-BC41-0D683F1E6403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shift_category_name" tableColumnId="2"/>
      <queryTableField id="3" name="shift_name" tableColumnId="3"/>
      <queryTableField id="4" name="start_time" tableColumnId="4"/>
      <queryTableField id="5" name="duration" tableColumnId="5"/>
      <queryTableField id="6" name="end_time" tableColumnId="6"/>
      <queryTableField id="7" name="organization_name" tableColumnId="7"/>
      <queryTableField id="8" name="Start-End" tableColumnId="8"/>
      <queryTableField id="9" name="UPPERCAS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E038F93C-6B47-4650-A013-C683A0A1C248}" autoFormatId="16" applyNumberFormats="0" applyBorderFormats="0" applyFontFormats="0" applyPatternFormats="0" applyAlignmentFormats="0" applyWidthHeightFormats="0">
  <queryTableRefresh nextId="5">
    <queryTableFields count="4">
      <queryTableField id="1" name="text" tableColumnId="1"/>
      <queryTableField id="2" name="value" tableColumnId="2"/>
      <queryTableField id="3" name="item_group" tableColumnId="3"/>
      <queryTableField id="4" name="UPPERCAS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7" xr16:uid="{66A8EE85-E01B-4226-B5F7-F63755797D87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  <queryTableField id="9" name="UPPERCAS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4" xr16:uid="{D8960E27-641A-4B56-B15F-E47BDE7716EE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  <queryTableField id="9" name="UPPERCASE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8" xr16:uid="{2C422251-0DFE-4C01-9B09-B8C7CF26FC32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entity_id" tableColumnId="2"/>
      <queryTableField id="3" name="business_area_code" tableColumnId="3"/>
      <queryTableField id="4" name="business_area_name" tableColumnId="4"/>
      <queryTableField id="5" name="parent_business_area_id" tableColumnId="5"/>
      <queryTableField id="6" name="parent_business_area_name" tableColumnId="6"/>
      <queryTableField id="7" name="organization_name" tableColumnId="7"/>
      <queryTableField id="8" name="text" tableColumnId="8"/>
      <queryTableField id="9" name="value" tableColumnId="9"/>
      <queryTableField id="10" name="Parent+BussName" tableColumnId="10"/>
      <queryTableField id="11" name="UPPERCASE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9" xr16:uid="{9D1270C8-7C5E-4151-9A35-05D2DB9B1AF6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is_active" tableColumnId="2"/>
      <queryTableField id="3" name="is_locked" tableColumnId="3"/>
      <queryTableField id="4" name="is_default" tableColumnId="4"/>
      <queryTableField id="5" name="entity_id" tableColumnId="5"/>
      <queryTableField id="6" name="equipment_type_name" tableColumnId="6"/>
      <queryTableField id="7" name="equipment_name" tableColumnId="7"/>
      <queryTableField id="8" name="capacity" tableColumnId="8"/>
      <queryTableField id="9" name="capacity_uom_name" tableColumnId="9"/>
      <queryTableField id="10" name="text" tableColumnId="10"/>
      <queryTableField id="11" name="value" tableColumnId="11"/>
      <queryTableField id="12" name="UPPERCASE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3" xr16:uid="{74E696BD-F714-4EDE-A036-E50A8F26CBD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is_active" tableColumnId="2"/>
      <queryTableField id="3" name="stock_location_name" tableColumnId="3"/>
      <queryTableField id="4" name="text" tableColumnId="4"/>
      <queryTableField id="5" name="value" tableColumnId="5"/>
      <queryTableField id="6" name="UPPERCASE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" xr16:uid="{C751CD35-7B7E-4D68-9436-B27090BFF711}" autoFormatId="16" applyNumberFormats="0" applyBorderFormats="0" applyFontFormats="0" applyPatternFormats="0" applyAlignmentFormats="0" applyWidthHeightFormats="0">
  <queryTableRefresh nextId="4">
    <queryTableFields count="3">
      <queryTableField id="1" name="value" tableColumnId="1"/>
      <queryTableField id="2" name="text" tableColumnId="2"/>
      <queryTableField id="3" name="UPPERCASE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4" xr16:uid="{73F7A0DB-CEA1-4C9E-8986-F1539D7BA3FB}" autoFormatId="16" applyNumberFormats="0" applyBorderFormats="0" applyFontFormats="0" applyPatternFormats="0" applyAlignmentFormats="0" applyWidthHeightFormats="0">
  <queryTableRefresh nextId="4">
    <queryTableFields count="3">
      <queryTableField id="1" name="value" tableColumnId="1"/>
      <queryTableField id="2" name="text" tableColumnId="2"/>
      <queryTableField id="3" name="UPPERCASE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8" xr16:uid="{C0726612-09E6-4E86-B107-A5BD80721526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is_active" tableColumnId="2"/>
      <queryTableField id="3" name="event_definition_category_name" tableColumnId="3"/>
      <queryTableField id="4" name="event_definition_category_code" tableColumnId="4"/>
      <queryTableField id="5" name="is_problem_productivity" tableColumnId="5"/>
      <queryTableField id="6" name="organization_" tableColumnId="6"/>
      <queryTableField id="7" name="timesheet_detail_event" tableColumnId="7"/>
      <queryTableField id="8" name="timesheet_detail_productivity_problem" tableColumnId="8"/>
      <queryTableField id="9" name="value" tableColumnId="9"/>
      <queryTableField id="10" name="text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7" xr16:uid="{63CA16A2-AF34-43B9-81ED-107876FE9192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event_category_name" tableColumnId="2"/>
      <queryTableField id="3" name="event_definition_category_name" tableColumnId="3"/>
      <queryTableField id="4" name="value" tableColumnId="4"/>
      <queryTableField id="5" name="text" tableColumnId="5"/>
      <queryTableField id="7" name="Column1" tableColumnId="7"/>
      <queryTableField id="6" name="EventCatNa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20" xr16:uid="{CD577975-DE10-4621-B914-F3992F880A5B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event_definition_category_name" tableColumnId="2"/>
      <queryTableField id="3" name="is_problem_productivity" tableColumnId="3"/>
      <queryTableField id="4" name="timesheet_detail_event" tableColumnId="4"/>
      <queryTableField id="5" name="timesheet_detail_productivity_problem" tableColumnId="5"/>
      <queryTableField id="6" name="value" tableColumnId="6"/>
      <queryTableField id="7" name="text" tableColumnId="7"/>
      <queryTableField id="8" name="Index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9" xr16:uid="{1EAF6789-ACBE-4A55-9275-35B7A4345569}" autoFormatId="16" applyNumberFormats="0" applyBorderFormats="0" applyFontFormats="0" applyPatternFormats="0" applyAlignmentFormats="0" applyWidthHeightFormats="0">
  <queryTableRefresh nextId="10">
    <queryTableFields count="8">
      <queryTableField id="1" name="id" tableColumnId="1"/>
      <queryTableField id="2" name="event_category_name" tableColumnId="2"/>
      <queryTableField id="3" name="event_definition_category_name" tableColumnId="3"/>
      <queryTableField id="4" name="organization_name" tableColumnId="4"/>
      <queryTableField id="5" name="value" tableColumnId="5"/>
      <queryTableField id="6" name="text" tableColumnId="6"/>
      <queryTableField id="8" name="Index" tableColumnId="8"/>
      <queryTableField id="7" name="EventCatName" tableColumnId="7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4" xr16:uid="{BD3D6260-BE6D-407C-AC64-B0EB2C09A7D6}" autoFormatId="16" applyNumberFormats="0" applyBorderFormats="0" applyFontFormats="0" applyPatternFormats="0" applyAlignmentFormats="0" applyWidthHeightFormats="0">
  <queryTableRefresh nextId="6">
    <queryTableFields count="5">
      <queryTableField id="1" name="text" tableColumnId="1"/>
      <queryTableField id="2" name="value" tableColumnId="2"/>
      <queryTableField id="3" name="type" tableColumnId="3"/>
      <queryTableField id="4" name="Capacity" tableColumnId="4"/>
      <queryTableField id="5" name="UPPERCASE" tableColumnId="5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" xr16:uid="{F49BF595-9DD6-4D13-92B3-039C00A42B58}" autoFormatId="16" applyNumberFormats="0" applyBorderFormats="0" applyFontFormats="0" applyPatternFormats="0" applyAlignmentFormats="0" applyWidthHeightFormats="0">
  <queryTableRefresh nextId="6">
    <queryTableFields count="4">
      <queryTableField id="1" name="value" tableColumnId="1"/>
      <queryTableField id="2" name="text" tableColumnId="2"/>
      <queryTableField id="4" name="Index" tableColumnId="4"/>
      <queryTableField id="3" name="Month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5" xr16:uid="{E543C0EB-FE68-4E81-93E6-15E487F8997D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Capacity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34" xr16:uid="{1B6DF2E0-609C-4326-884B-D7A37CF39679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Row Ke" tableColumnId="2"/>
      <queryTableField id="3" name="Sum Event Hourly" tableColumnId="3"/>
      <queryTableField id="5" name="More Than 720 minutes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1" xr16:uid="{06DDE1EA-E8FC-42DC-BE10-A8579C485A61}" autoFormatId="16" applyNumberFormats="0" applyBorderFormats="0" applyFontFormats="0" applyPatternFormats="0" applyAlignmentFormats="0" applyWidthHeightFormats="0">
  <queryTableRefresh nextId="7">
    <queryTableFields count="4">
      <queryTableField id="1" name="Date" tableColumnId="1"/>
      <queryTableField id="5" name="Row Ke" tableColumnId="5"/>
      <queryTableField id="3" name="Sum Event Hourly" tableColumnId="3"/>
      <queryTableField id="4" name="More Than 60 minutes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30" xr16:uid="{D8BD95D9-CFC9-4B0B-A40C-9C754C794E6B}" autoFormatId="16" applyNumberFormats="0" applyBorderFormats="0" applyFontFormats="0" applyPatternFormats="0" applyAlignmentFormats="0" applyWidthHeightFormats="0">
  <queryTableRefresh nextId="5">
    <queryTableFields count="4">
      <queryTableField id="1" name="Date+CodeNumber" tableColumnId="1"/>
      <queryTableField id="2" name="Data.1" tableColumnId="2"/>
      <queryTableField id="3" name="Data.2" tableColumnId="3"/>
      <queryTableField id="4" name="Need Revise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27" xr16:uid="{D23DF405-90D8-4B2C-A50E-20AB0F47D04D}" autoFormatId="16" applyNumberFormats="0" applyBorderFormats="0" applyFontFormats="0" applyPatternFormats="0" applyAlignmentFormats="0" applyWidthHeightFormats="0">
  <queryTableRefresh nextId="5">
    <queryTableFields count="4">
      <queryTableField id="1" name="DatenShift" tableColumnId="1"/>
      <queryTableField id="2" name="Count Shift per Date" tableColumnId="2"/>
      <queryTableField id="3" name="Date" tableColumnId="3"/>
      <queryTableField id="4" name="Shift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6" xr16:uid="{06497D2C-6F6F-4AFE-8FF0-C68B217451A7}" autoFormatId="16" applyNumberFormats="0" applyBorderFormats="0" applyFontFormats="0" applyPatternFormats="0" applyAlignmentFormats="0" applyWidthHeightFormats="0">
  <queryTableRefresh nextId="57">
    <queryTableFields count="26">
      <queryTableField id="1" name="timesheet_date" tableColumnId="1"/>
      <queryTableField id="2" name="shift_id" tableColumnId="2"/>
      <queryTableField id="3" name="activity_id" tableColumnId="3"/>
      <queryTableField id="4" name="cn_unit_id" tableColumnId="4"/>
      <queryTableField id="5" name="operator_id" tableColumnId="5"/>
      <queryTableField id="6" name="supervisor_id" tableColumnId="6"/>
      <queryTableField id="7" name="hour_start" tableColumnId="7"/>
      <queryTableField id="8" name="hour_end" tableColumnId="8"/>
      <queryTableField id="9" name="pit_id" tableColumnId="9"/>
      <queryTableField id="11" name="source_id" tableColumnId="11"/>
      <queryTableField id="12" name="destination_id" tableColumnId="12"/>
      <queryTableField id="10" name="loader_id" tableColumnId="10"/>
      <queryTableField id="13" name="material_id" tableColumnId="13"/>
      <queryTableField id="14" name="distance" tableColumnId="14"/>
      <queryTableField id="15" name="ritase" tableColumnId="15"/>
      <queryTableField id="16" name="volume" tableColumnId="16"/>
      <queryTableField id="45" name="rit_rehandling" tableColumnId="19"/>
      <queryTableField id="46" name="vol_rehandling" tableColumnId="22"/>
      <queryTableField id="34" name="Productivity" tableColumnId="24"/>
      <queryTableField id="47" name="vol_distance" tableColumnId="23"/>
      <queryTableField id="48" name="vol_density" tableColumnId="25"/>
      <queryTableField id="17" name="refuelling_quantity" tableColumnId="17"/>
      <queryTableField id="18" name="classification" tableColumnId="18"/>
      <queryTableField id="20" name="Event" tableColumnId="20"/>
      <queryTableField id="21" name="ProductivityProblem" tableColumnId="21"/>
      <queryTableField id="53" name="Web_AccountingPeriod.value" tableColumnId="2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BB3E5ACA-3677-4558-86CA-A1B6E9B6CA60}" autoFormatId="16" applyNumberFormats="0" applyBorderFormats="0" applyFontFormats="0" applyPatternFormats="0" applyAlignmentFormats="0" applyWidthHeightFormats="0">
  <queryTableRefresh nextId="19">
    <queryTableFields count="9">
      <queryTableField id="1" name="timesheet_date" tableColumnId="1"/>
      <queryTableField id="2" name="cn_unit_id" tableColumnId="2"/>
      <queryTableField id="14" name="shift_id" tableColumnId="10"/>
      <queryTableField id="4" name="pit_id" tableColumnId="4"/>
      <queryTableField id="6" name="volume" tableColumnId="6"/>
      <queryTableField id="7" name="distance" tableColumnId="7"/>
      <queryTableField id="9" name="Event" tableColumnId="9"/>
      <queryTableField id="16" name="Web_AccountingPeriod.value" tableColumnId="3"/>
      <queryTableField id="18" name="Activity_HardCode" tableColumnId="5"/>
    </queryTableFields>
  </queryTableRefresh>
</queryTable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Date" displayName="DB_Date" ref="B9:S375" totalsRowShown="0" headerRowDxfId="490" dataDxfId="488" headerRowBorderDxfId="489" tableBorderDxfId="487" totalsRowBorderDxfId="486">
  <autoFilter ref="B9:S375" xr:uid="{00000000-0009-0000-0100-000003000000}"/>
  <tableColumns count="18">
    <tableColumn id="1" xr3:uid="{00000000-0010-0000-0000-000001000000}" name="Full Date" dataDxfId="485">
      <calculatedColumnFormula>1+B9</calculatedColumnFormula>
    </tableColumn>
    <tableColumn id="2" xr3:uid="{00000000-0010-0000-0000-000002000000}" name="Date" dataDxfId="484">
      <calculatedColumnFormula>IF($B10="","",TEXT($B10,"dd"))</calculatedColumnFormula>
    </tableColumn>
    <tableColumn id="3" xr3:uid="{00000000-0010-0000-0000-000003000000}" name="Day" dataDxfId="483">
      <calculatedColumnFormula>IF($B10="","",TEXT($B10,"dddd"))</calculatedColumnFormula>
    </tableColumn>
    <tableColumn id="4" xr3:uid="{00000000-0010-0000-0000-000004000000}" name="Month" dataDxfId="482">
      <calculatedColumnFormula>IF($B10="","",TEXT($B10,"mmmm"))</calculatedColumnFormula>
    </tableColumn>
    <tableColumn id="5" xr3:uid="{00000000-0010-0000-0000-000005000000}" name="Year" dataDxfId="481">
      <calculatedColumnFormula>IF($B10="","",TEXT($B10,"yyyy"))</calculatedColumnFormula>
    </tableColumn>
    <tableColumn id="6" xr3:uid="{00000000-0010-0000-0000-000006000000}" name="Week Code" dataDxfId="480">
      <calculatedColumnFormula>+N10</calculatedColumnFormula>
    </tableColumn>
    <tableColumn id="7" xr3:uid="{00000000-0010-0000-0000-000007000000}" name="Monthly" dataDxfId="479">
      <calculatedColumnFormula>E10&amp;" "&amp;F10</calculatedColumnFormula>
    </tableColumn>
    <tableColumn id="8" xr3:uid="{00000000-0010-0000-0000-000008000000}" name="Vlookup Week" dataDxfId="478">
      <calculatedColumnFormula>+P10&amp;N10</calculatedColumnFormula>
    </tableColumn>
    <tableColumn id="9" xr3:uid="{00000000-0010-0000-0000-000009000000}" name="Date2" dataDxfId="477">
      <calculatedColumnFormula>+B10</calculatedColumnFormula>
    </tableColumn>
    <tableColumn id="10" xr3:uid="{00000000-0010-0000-0000-00000A000000}" name="Column1" dataDxfId="476">
      <calculatedColumnFormula>IF($D10=$C$3,K9+1,K9)</calculatedColumnFormula>
    </tableColumn>
    <tableColumn id="11" xr3:uid="{00000000-0010-0000-0000-00000B000000}" name="Column11" dataDxfId="475">
      <calculatedColumnFormula>IF(K10=1,"01",IF(K10=2,"02",IF(K10=3,"03",IF(K10=4,"04",IF(K10=5,"05",IF(K10=6,"06",IF(K10=7,"07",IF(K10=8,"08",IF(K10=9,"09",K10)))))))))</calculatedColumnFormula>
    </tableColumn>
    <tableColumn id="12" xr3:uid="{00000000-0010-0000-0000-00000C000000}" name="Column12" dataDxfId="474">
      <calculatedColumnFormula>IF(K10="","","Week_")</calculatedColumnFormula>
    </tableColumn>
    <tableColumn id="13" xr3:uid="{00000000-0010-0000-0000-00000D000000}" name="Week_to" dataDxfId="473">
      <calculatedColumnFormula>CONCATENATE(M10,L10)</calculatedColumnFormula>
    </tableColumn>
    <tableColumn id="14" xr3:uid="{00000000-0010-0000-0000-00000E000000}" name="Column14" dataDxfId="472">
      <calculatedColumnFormula>K10-K9</calculatedColumnFormula>
    </tableColumn>
    <tableColumn id="15" xr3:uid="{00000000-0010-0000-0000-00000F000000}" name="Column15" dataDxfId="471">
      <calculatedColumnFormula>IF(O10=1,"Start Week","")</calculatedColumnFormula>
    </tableColumn>
    <tableColumn id="16" xr3:uid="{00000000-0010-0000-0000-000010000000}" name="Column16" dataDxfId="470">
      <calculatedColumnFormula>IF(C10="01","Start Month","")</calculatedColumnFormula>
    </tableColumn>
    <tableColumn id="17" xr3:uid="{00000000-0010-0000-0000-000011000000}" name="Column17" dataDxfId="469">
      <calculatedColumnFormula>+Q10&amp;H10</calculatedColumnFormula>
    </tableColumn>
    <tableColumn id="18" xr3:uid="{00000000-0010-0000-0000-000012000000}" name="Date3" dataDxfId="468">
      <calculatedColumnFormula>+B10</calculatedColumnFormula>
    </tableColumn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hift" displayName="Shift" ref="G1:H3" totalsRowShown="0" headerRowDxfId="467" dataDxfId="466">
  <autoFilter ref="G1:H3" xr:uid="{00000000-0009-0000-0100-000004000000}"/>
  <tableColumns count="2">
    <tableColumn id="1" xr3:uid="{00000000-0010-0000-0100-000001000000}" name="Shift" dataDxfId="465"/>
    <tableColumn id="2" xr3:uid="{00000000-0010-0000-0100-000002000000}" name="0" dataDxfId="464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Weekly" displayName="Weekly" ref="U9:X63" totalsRowShown="0" headerRowDxfId="463" dataDxfId="462" tableBorderDxfId="461">
  <autoFilter ref="U9:X63" xr:uid="{00000000-0009-0000-0100-000005000000}"/>
  <tableColumns count="4">
    <tableColumn id="1" xr3:uid="{00000000-0010-0000-0200-000001000000}" name="Week" dataDxfId="460"/>
    <tableColumn id="2" xr3:uid="{00000000-0010-0000-0200-000002000000}" name="Periode Week" dataDxfId="459" dataCellStyle="Comma">
      <calculatedColumnFormula>COUNTIFS($N$9:$N$500,$U10)</calculatedColumnFormula>
    </tableColumn>
    <tableColumn id="3" xr3:uid="{00000000-0010-0000-0200-000003000000}" name="Start Week" dataDxfId="458"/>
    <tableColumn id="4" xr3:uid="{00000000-0010-0000-0200-000004000000}" name="Stop Week" dataDxfId="457"/>
  </tableColumns>
  <tableStyleInfo name="TableStyleDark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dbmonthly" displayName="dbmonthly" ref="AM9:AY21" totalsRowShown="0" headerRowDxfId="456" dataDxfId="454" headerRowBorderDxfId="455" tableBorderDxfId="453">
  <autoFilter ref="AM9:AY21" xr:uid="{00000000-0009-0000-0100-000006000000}"/>
  <tableColumns count="13">
    <tableColumn id="13" xr3:uid="{00000000-0010-0000-0300-00000D000000}" name="Column1" dataDxfId="452">
      <calculatedColumnFormula>1+AM9</calculatedColumnFormula>
    </tableColumn>
    <tableColumn id="1" xr3:uid="{00000000-0010-0000-0300-000001000000}" name="Kode" dataDxfId="451"/>
    <tableColumn id="2" xr3:uid="{00000000-0010-0000-0300-000002000000}" name="Monthy" dataDxfId="450">
      <calculatedColumnFormula>+AN10&amp;" "&amp;F10</calculatedColumnFormula>
    </tableColumn>
    <tableColumn id="3" xr3:uid="{00000000-0010-0000-0300-000003000000}" name="Duration" dataDxfId="449" dataCellStyle="Comma">
      <calculatedColumnFormula>COUNTIFS($H$10:$H$501,AO10)</calculatedColumnFormula>
    </tableColumn>
    <tableColumn id="4" xr3:uid="{00000000-0010-0000-0300-000004000000}" name="Duration2" dataDxfId="448" dataCellStyle="Comma">
      <calculatedColumnFormula>+AP10-1</calculatedColumnFormula>
    </tableColumn>
    <tableColumn id="5" xr3:uid="{00000000-0010-0000-0300-000005000000}" name="Start Month" dataDxfId="447">
      <calculatedColumnFormula>VLOOKUP($AR$9&amp;$AO10,$R$10:$S$501,2,0)</calculatedColumnFormula>
    </tableColumn>
    <tableColumn id="6" xr3:uid="{00000000-0010-0000-0300-000006000000}" name="Stop Month" dataDxfId="446">
      <calculatedColumnFormula>+AR10+AQ10</calculatedColumnFormula>
    </tableColumn>
    <tableColumn id="7" xr3:uid="{00000000-0010-0000-0300-000007000000}" name="2" dataDxfId="445"/>
    <tableColumn id="8" xr3:uid="{00000000-0010-0000-0300-000008000000}" name="3" dataDxfId="444"/>
    <tableColumn id="9" xr3:uid="{00000000-0010-0000-0300-000009000000}" name="4" dataDxfId="443"/>
    <tableColumn id="10" xr3:uid="{00000000-0010-0000-0300-00000A000000}" name="5" dataDxfId="442"/>
    <tableColumn id="11" xr3:uid="{00000000-0010-0000-0300-00000B000000}" name="6" dataDxfId="441"/>
    <tableColumn id="12" xr3:uid="{00000000-0010-0000-0300-00000C000000}" name="7" dataDxfId="440"/>
  </tableColumns>
  <tableStyleInfo name="TableStyleDark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lasshours" displayName="Classhours" ref="AF9:AK57" totalsRowShown="0" headerRowDxfId="439" dataDxfId="438">
  <autoFilter ref="AF9:AK57" xr:uid="{00000000-0009-0000-0100-000007000000}"/>
  <tableColumns count="6">
    <tableColumn id="1" xr3:uid="{00000000-0010-0000-0400-000001000000}" name="No" dataDxfId="437"/>
    <tableColumn id="5" xr3:uid="{00000000-0010-0000-0400-000005000000}" name="Column1" dataDxfId="436"/>
    <tableColumn id="2" xr3:uid="{00000000-0010-0000-0400-000002000000}" name="Code" dataDxfId="435"/>
    <tableColumn id="6" xr3:uid="{00000000-0010-0000-0400-000006000000}" name="Column2" dataDxfId="434"/>
    <tableColumn id="3" xr3:uid="{00000000-0010-0000-0400-000003000000}" name="Start" dataDxfId="433" dataCellStyle="Comma"/>
    <tableColumn id="4" xr3:uid="{00000000-0010-0000-0400-000004000000}" name="Stop" dataDxfId="432" dataCellStyle="Comma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Monthly_Filter_Date" displayName="Monthly_Filter_Date" ref="AC9:AD48" totalsRowShown="0" headerRowDxfId="431" dataDxfId="430">
  <autoFilter ref="AC9:AD48" xr:uid="{00000000-0009-0000-0100-000008000000}"/>
  <tableColumns count="2">
    <tableColumn id="1" xr3:uid="{00000000-0010-0000-0500-000001000000}" name="No" dataDxfId="429">
      <calculatedColumnFormula>+AC9+1</calculatedColumnFormula>
    </tableColumn>
    <tableColumn id="2" xr3:uid="{00000000-0010-0000-0500-000002000000}" name="Date" dataDxfId="428">
      <calculatedColumnFormula>VLOOKUP($AC$8,dbmonthly[[Monthy]:[Start Month]],4,0)+Monthly_Filter_Date[[#This Row],[No]]</calculatedColumnFormula>
    </tableColumn>
  </tableColumns>
  <tableStyleInfo name="TableStyleDark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unit" displayName="unit" ref="BA9:BD55" totalsRowShown="0" headerRowDxfId="427" dataDxfId="426">
  <autoFilter ref="BA9:BD55" xr:uid="{00000000-0009-0000-0100-000009000000}"/>
  <tableColumns count="4">
    <tableColumn id="1" xr3:uid="{00000000-0010-0000-0600-000001000000}" name="Code Unit" dataDxfId="425"/>
    <tableColumn id="2" xr3:uid="{00000000-0010-0000-0600-000002000000}" name="Type" dataDxfId="424"/>
    <tableColumn id="4" xr3:uid="{00000000-0010-0000-0600-000004000000}" name="Spesifikasi Unit" dataDxfId="423"/>
    <tableColumn id="3" xr3:uid="{00000000-0010-0000-0600-000003000000}" name="Ownership" dataDxfId="422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lassarea" displayName="Classarea" ref="BJ9:BM16" totalsRowShown="0" headerRowDxfId="421" dataDxfId="420">
  <autoFilter ref="BJ9:BM16" xr:uid="{00000000-0009-0000-0100-00000A000000}"/>
  <tableColumns count="4">
    <tableColumn id="1" xr3:uid="{00000000-0010-0000-0700-000001000000}" name="Lokasi Pit" dataDxfId="419"/>
    <tableColumn id="2" xr3:uid="{00000000-0010-0000-0700-000002000000}" name="Block Location" dataDxfId="418"/>
    <tableColumn id="3" xr3:uid="{00000000-0010-0000-0700-000003000000}" name="Dump Location" dataDxfId="417"/>
    <tableColumn id="4" xr3:uid="{00000000-0010-0000-0700-000004000000}" name="Coal Destinasi" dataDxfId="416"/>
  </tableColumns>
  <tableStyleInfo name="TableStyleDark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igger" displayName="Digger" ref="BF9:BF17" totalsRowShown="0" headerRowDxfId="415" dataDxfId="414">
  <autoFilter ref="BF9:BF17" xr:uid="{00000000-0009-0000-0100-00000B000000}"/>
  <tableColumns count="1">
    <tableColumn id="1" xr3:uid="{00000000-0010-0000-0800-000001000000}" name="Digger" dataDxfId="413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lasspayload" displayName="classpayload" ref="BO9:BQ14" totalsRowShown="0" headerRowDxfId="412">
  <autoFilter ref="BO9:BQ14" xr:uid="{00000000-0009-0000-0100-00000C000000}"/>
  <tableColumns count="3">
    <tableColumn id="1" xr3:uid="{00000000-0010-0000-0900-000001000000}" name="Material" dataDxfId="411"/>
    <tableColumn id="2" xr3:uid="{00000000-0010-0000-0900-000002000000}" name="Vol" dataDxfId="410" dataCellStyle="Comma"/>
    <tableColumn id="3" xr3:uid="{00000000-0010-0000-0900-000003000000}" name="Plan Prod'ty" dataDxfId="409" dataCellStyle="Comma"/>
  </tableColumns>
  <tableStyleInfo name="TableStyleDark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ctivity" displayName="activity" ref="BX9:BX21" totalsRowShown="0" headerRowDxfId="408" dataDxfId="407">
  <autoFilter ref="BX9:BX21" xr:uid="{00000000-0009-0000-0100-00000D000000}"/>
  <tableColumns count="1">
    <tableColumn id="1" xr3:uid="{00000000-0010-0000-0A00-000001000000}" name="Activity" dataDxfId="406"/>
  </tableColumns>
  <tableStyleInfo name="TableStyleDark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seamrd" displayName="seamrd" ref="BZ9:CA25" totalsRowShown="0" headerRowDxfId="405" dataDxfId="404">
  <autoFilter ref="BZ9:CA25" xr:uid="{00000000-0009-0000-0100-00000E000000}"/>
  <tableColumns count="2">
    <tableColumn id="1" xr3:uid="{00000000-0010-0000-0B00-000001000000}" name="Seam" dataDxfId="403"/>
    <tableColumn id="2" xr3:uid="{00000000-0010-0000-0B00-000002000000}" name="RD" dataDxfId="402"/>
  </tableColumns>
  <tableStyleInfo name="TableStyleDark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haulerpayload" displayName="haulerpayload" ref="BS9:BV39" totalsRowShown="0" headerRowDxfId="401" dataDxfId="400">
  <autoFilter ref="BS9:BV39" xr:uid="{00000000-0009-0000-0100-00000F000000}"/>
  <tableColumns count="4">
    <tableColumn id="1" xr3:uid="{00000000-0010-0000-0C00-000001000000}" name="Hauler/loader" dataDxfId="399"/>
    <tableColumn id="2" xr3:uid="{00000000-0010-0000-0C00-000002000000}" name="Materi" dataDxfId="398"/>
    <tableColumn id="4" xr3:uid="{00000000-0010-0000-0C00-000004000000}" name="H/mat" dataDxfId="397">
      <calculatedColumnFormula>+haulerpayload[[#This Row],[Hauler/loader]]&amp;haulerpayload[[#This Row],[Materi]]</calculatedColumnFormula>
    </tableColumn>
    <tableColumn id="3" xr3:uid="{00000000-0010-0000-0C00-000003000000}" name="Volume" dataDxfId="396">
      <calculatedColumnFormula>+BV5*2.9</calculatedColumnFormula>
    </tableColumn>
  </tableColumns>
  <tableStyleInfo name="TableStyleDark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Fueltruck" displayName="Fueltruck" ref="BH9:BH17" totalsRowShown="0" headerRowDxfId="395" dataDxfId="394">
  <autoFilter ref="BH9:BH17" xr:uid="{00000000-0009-0000-0100-000010000000}"/>
  <tableColumns count="1">
    <tableColumn id="1" xr3:uid="{00000000-0010-0000-0D00-000001000000}" name="Fuel truck" dataDxfId="393"/>
  </tableColumns>
  <tableStyleInfo name="TableStyleDark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ManPower" displayName="ManPower" ref="CC9:CF60" totalsRowShown="0" headerRowDxfId="392" dataDxfId="391">
  <autoFilter ref="CC9:CF60" xr:uid="{00000000-0009-0000-0100-000011000000}"/>
  <tableColumns count="4">
    <tableColumn id="1" xr3:uid="{00000000-0010-0000-0E00-000001000000}" name="NIK" dataDxfId="390"/>
    <tableColumn id="4" xr3:uid="{00000000-0010-0000-0E00-000004000000}" name="NICK" dataDxfId="389"/>
    <tableColumn id="3" xr3:uid="{00000000-0010-0000-0E00-000003000000}" name="CODE" dataDxfId="388">
      <calculatedColumnFormula>+CC10&amp;"-"&amp;CD10</calculatedColumnFormula>
    </tableColumn>
    <tableColumn id="2" xr3:uid="{00000000-0010-0000-0E00-000002000000}" name="NAMA LENGKAP" dataDxfId="387"/>
  </tableColumns>
  <tableStyleInfo name="TableStyleDark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Date_Full" displayName="Date_Full" ref="Z9:AA439" totalsRowShown="0" headerRowDxfId="386" dataDxfId="385" tableBorderDxfId="384">
  <autoFilter ref="Z9:AA439" xr:uid="{00000000-0009-0000-0100-000012000000}"/>
  <tableColumns count="2">
    <tableColumn id="1" xr3:uid="{00000000-0010-0000-0F00-000001000000}" name="Full Date" dataDxfId="383"/>
    <tableColumn id="2" xr3:uid="{00000000-0010-0000-0F00-000002000000}" name="Daily" dataDxfId="382"/>
  </tableColumns>
  <tableStyleInfo name="TableStyleDark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taff" displayName="Staff" ref="CH9:CI14" totalsRowShown="0" headerRowDxfId="381" dataDxfId="380">
  <autoFilter ref="CH9:CI14" xr:uid="{00000000-0009-0000-0100-000013000000}"/>
  <tableColumns count="2">
    <tableColumn id="2" xr3:uid="{00000000-0010-0000-1000-000002000000}" name="NIK" dataDxfId="379"/>
    <tableColumn id="1" xr3:uid="{00000000-0010-0000-1000-000001000000}" name="Pengawas Produksi" dataDxfId="378"/>
  </tableColumns>
  <tableStyleInfo name="TableStyleDark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Delay" displayName="Delay" ref="CK9:CL33" totalsRowShown="0" headerRowDxfId="377" dataDxfId="376">
  <autoFilter ref="CK9:CL33" xr:uid="{00000000-0009-0000-0100-000014000000}"/>
  <tableColumns count="2">
    <tableColumn id="1" xr3:uid="{00000000-0010-0000-1100-000001000000}" name="Code" dataDxfId="375"/>
    <tableColumn id="2" xr3:uid="{00000000-0010-0000-1100-000002000000}" name="Description" dataDxfId="374"/>
  </tableColumns>
  <tableStyleInfo name="TableStyleDark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Prob.Prodty" displayName="Prob.Prodty" ref="CN9:CP30" totalsRowShown="0" headerRowDxfId="373">
  <autoFilter ref="CN9:CP30" xr:uid="{00000000-0009-0000-0100-000015000000}"/>
  <tableColumns count="3">
    <tableColumn id="1" xr3:uid="{00000000-0010-0000-1200-000001000000}" name="CODE" dataDxfId="372"/>
    <tableColumn id="2" xr3:uid="{00000000-0010-0000-1200-000002000000}" name="Description" dataDxfId="371"/>
    <tableColumn id="3" xr3:uid="{00000000-0010-0000-1200-000003000000}" name="Segment Problem Prod'ty" dataDxfId="370"/>
  </tableColumns>
  <tableStyleInfo name="TableStyleDark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reakdown" displayName="Breakdown" ref="CR9:CS14" totalsRowShown="0" headerRowDxfId="369">
  <autoFilter ref="CR9:CS14" xr:uid="{00000000-0009-0000-0100-000016000000}"/>
  <tableColumns count="2">
    <tableColumn id="1" xr3:uid="{00000000-0010-0000-1300-000001000000}" name="Code" dataDxfId="368"/>
    <tableColumn id="2" xr3:uid="{00000000-0010-0000-1300-000002000000}" name="Description" dataDxfId="367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5867764-BECD-404D-8DDD-ED602BA9D06D}" name="lstKolomActual" displayName="lstKolomActual" ref="DA9:DB61" totalsRowShown="0">
  <autoFilter ref="DA9:DB61" xr:uid="{75867764-BECD-404D-8DDD-ED602BA9D06D}"/>
  <tableColumns count="2">
    <tableColumn id="1" xr3:uid="{088C59F7-4665-4BB5-B181-B938C4187F2C}" name="Column Name"/>
    <tableColumn id="2" xr3:uid="{0B4AEC69-7852-482D-AEC2-E4B8DC649113}" name="IsVisibleOnly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D9194B2-CD05-413E-942B-D45C1512608B}" name="lstKolomPlan" displayName="lstKolomPlan" ref="DE9:DF26" totalsRowShown="0">
  <autoFilter ref="DE9:DF26" xr:uid="{6D9194B2-CD05-413E-942B-D45C1512608B}"/>
  <tableColumns count="2">
    <tableColumn id="1" xr3:uid="{1B04299D-8FFC-4394-94DB-09C661398134}" name="Column Name"/>
    <tableColumn id="2" xr3:uid="{62266190-72D9-4D6D-ADBA-B3F0293104D0}" name="IsVisibleOnl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7AF7A55-9843-4DE4-942C-B1DE474173D8}" name="API_Q" displayName="API_Q" ref="B10:B11" totalsRowShown="0" headerRowDxfId="366" dataDxfId="365">
  <autoFilter ref="B10:B11" xr:uid="{B7AF7A55-9843-4DE4-942C-B1DE474173D8}"/>
  <tableColumns count="1">
    <tableColumn id="1" xr3:uid="{0EC12B4F-43E1-4A17-8568-7EAE651E1A95}" name="Api key" dataDxfId="36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33E8BFC-5F22-408E-BC4E-7A29470FE371}" name="API_Shift" displayName="API_Shift" ref="L10:T12" tableType="queryTable" totalsRowShown="0">
  <autoFilter ref="L10:T12" xr:uid="{533E8BFC-5F22-408E-BC4E-7A29470FE371}"/>
  <tableColumns count="9">
    <tableColumn id="1" xr3:uid="{A0B4E426-BC89-4CE4-9B52-9CD5B91821EA}" uniqueName="1" name="id" queryTableFieldId="1" dataDxfId="363"/>
    <tableColumn id="2" xr3:uid="{D77FB4D0-4DF4-4626-A189-2DB612E2245D}" uniqueName="2" name="shift_category_name" queryTableFieldId="2" dataDxfId="362"/>
    <tableColumn id="3" xr3:uid="{92BAE372-7016-418F-97E1-544E90462A2F}" uniqueName="3" name="shift_name" queryTableFieldId="3" dataDxfId="361"/>
    <tableColumn id="4" xr3:uid="{843CF2E3-A857-424E-A113-5F827A7E99DC}" uniqueName="4" name="start_time" queryTableFieldId="4" dataDxfId="360"/>
    <tableColumn id="5" xr3:uid="{114866EE-1078-4BB4-9A7D-044A2E3CE97A}" uniqueName="5" name="duration" queryTableFieldId="5" dataDxfId="359"/>
    <tableColumn id="6" xr3:uid="{F864E9CC-817E-46D7-919B-FD52390682D4}" uniqueName="6" name="end_time" queryTableFieldId="6" dataDxfId="358"/>
    <tableColumn id="7" xr3:uid="{B125CE70-AAE3-4141-96D1-52C68EEA0E6C}" uniqueName="7" name="organization_name" queryTableFieldId="7" dataDxfId="357"/>
    <tableColumn id="8" xr3:uid="{C1C04FEB-F899-4AA7-9408-9F40AD613057}" uniqueName="8" name="Start-End" queryTableFieldId="8" dataDxfId="356"/>
    <tableColumn id="9" xr3:uid="{D5BB3F46-6268-4BFC-9233-ED1EE701F63B}" uniqueName="9" name="UPPERCASE" queryTableFieldId="9" dataDxfId="355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60F3009-592E-421B-9D2B-F94E7FB54684}" name="API_Activity" displayName="API_Activity" ref="AE10:AH11" tableType="queryTable" insertRow="1" totalsRowShown="0">
  <autoFilter ref="AE10:AH11" xr:uid="{E60F3009-592E-421B-9D2B-F94E7FB54684}"/>
  <tableColumns count="4">
    <tableColumn id="1" xr3:uid="{D01DC6FC-D500-42CE-B9E9-24202D52AB76}" uniqueName="1" name="text" queryTableFieldId="1" dataDxfId="354"/>
    <tableColumn id="2" xr3:uid="{FD3A2B3E-F57E-4F06-A644-0352AC5BD154}" uniqueName="2" name="value" queryTableFieldId="2" dataDxfId="353"/>
    <tableColumn id="3" xr3:uid="{9ACE15B7-EBCE-4A3F-B3CF-CADD948C9C55}" uniqueName="3" name="item_group" queryTableFieldId="3" dataDxfId="352"/>
    <tableColumn id="4" xr3:uid="{DA13763F-B0D1-4B85-B145-1CF8DE292171}" uniqueName="4" name="UPPERCASE" queryTableFieldId="4" dataDxfId="351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35163EC-7A96-4037-8813-1B90362BA3B0}" name="API_OperatorNIK" displayName="API_OperatorNIK" ref="AK10:AS61" tableType="queryTable" totalsRowShown="0">
  <autoFilter ref="AK10:AS61" xr:uid="{135163EC-7A96-4037-8813-1B90362BA3B0}"/>
  <tableColumns count="9">
    <tableColumn id="1" xr3:uid="{94D554B7-9504-4730-878B-1EABFC473DFC}" uniqueName="1" name="Name" queryTableFieldId="1" dataDxfId="350"/>
    <tableColumn id="2" xr3:uid="{D580AB23-F803-4CFC-8952-9E11E724A112}" uniqueName="2" name="id" queryTableFieldId="2" dataDxfId="349"/>
    <tableColumn id="3" xr3:uid="{A56B4E96-148B-4453-8A2A-8E485C316A16}" uniqueName="3" name="employee_number" queryTableFieldId="3"/>
    <tableColumn id="4" xr3:uid="{0A040375-7406-453B-860A-9B8A6DF168E2}" uniqueName="4" name="employee_name" queryTableFieldId="4" dataDxfId="348"/>
    <tableColumn id="5" xr3:uid="{7F01206D-7116-4723-8377-F1B3ABE4B7ED}" uniqueName="5" name="gender" queryTableFieldId="5" dataDxfId="347"/>
    <tableColumn id="6" xr3:uid="{5058D606-4D46-46B0-BCC8-F19085D0CE80}" uniqueName="6" name="is_operator" queryTableFieldId="6" dataDxfId="346"/>
    <tableColumn id="7" xr3:uid="{5D50EC1A-43B1-470A-B482-BDB585D63FFE}" uniqueName="7" name="is_supervisor" queryTableFieldId="7" dataDxfId="345"/>
    <tableColumn id="8" xr3:uid="{39E45330-C0E4-4930-BE49-63FF0C73FEB1}" uniqueName="8" name="NIK+Name" queryTableFieldId="8"/>
    <tableColumn id="9" xr3:uid="{91BC40A2-EE54-41DE-A315-56D3707121D8}" uniqueName="9" name="UPPERCASE" queryTableFieldId="9" dataDxfId="34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012DCFE-CEF7-4F67-9594-5362DBD6A813}" name="API_SupervisorNIK" displayName="API_SupervisorNIK" ref="AW10:BE21" tableType="queryTable" totalsRowShown="0">
  <autoFilter ref="AW10:BE21" xr:uid="{F012DCFE-CEF7-4F67-9594-5362DBD6A813}"/>
  <tableColumns count="9">
    <tableColumn id="1" xr3:uid="{7A675932-A29D-48C1-9445-E2314DB95486}" uniqueName="1" name="Name" queryTableFieldId="1" dataDxfId="343"/>
    <tableColumn id="2" xr3:uid="{3DAC79CC-619A-4B18-9629-FFD021760EA8}" uniqueName="2" name="id" queryTableFieldId="2" dataDxfId="342"/>
    <tableColumn id="3" xr3:uid="{6ACF7054-6B1E-4ABD-B6B2-7402E2517FF5}" uniqueName="3" name="employee_number" queryTableFieldId="3"/>
    <tableColumn id="4" xr3:uid="{689CDE89-F967-455F-A2DA-AFF9449E3AF9}" uniqueName="4" name="employee_name" queryTableFieldId="4" dataDxfId="341"/>
    <tableColumn id="5" xr3:uid="{0504F220-FB9C-4BC0-B788-73628D6D94F6}" uniqueName="5" name="gender" queryTableFieldId="5" dataDxfId="340"/>
    <tableColumn id="6" xr3:uid="{118BE907-4F61-4DF7-B88E-3971EAD35358}" uniqueName="6" name="is_operator" queryTableFieldId="6" dataDxfId="339"/>
    <tableColumn id="7" xr3:uid="{0310AEB9-6709-4F2C-8E8E-77B535DBA852}" uniqueName="7" name="is_supervisor" queryTableFieldId="7" dataDxfId="338"/>
    <tableColumn id="8" xr3:uid="{47BBB283-02B8-48CB-8841-F10E3E1E6CA2}" uniqueName="8" name="NIK+Name" queryTableFieldId="8"/>
    <tableColumn id="9" xr3:uid="{6909253E-214A-49DD-BF52-9B53AD84B862}" uniqueName="9" name="UPPERCASE" queryTableFieldId="9" dataDxfId="337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3445ADA-9FC7-415A-A252-EEF118942FB7}" name="API_PITLocation" displayName="API_PITLocation" ref="BH10:BR43" tableType="queryTable" totalsRowShown="0">
  <autoFilter ref="BH10:BR43" xr:uid="{83445ADA-9FC7-415A-A252-EEF118942FB7}"/>
  <tableColumns count="11">
    <tableColumn id="1" xr3:uid="{D4545531-06EE-4C96-A912-50719B1317D3}" uniqueName="1" name="id" queryTableFieldId="1" dataDxfId="336"/>
    <tableColumn id="2" xr3:uid="{1C5FB653-6A39-4A9D-9D4B-54AE39EBB145}" uniqueName="2" name="entity_id" queryTableFieldId="2" dataDxfId="335"/>
    <tableColumn id="3" xr3:uid="{5AD8F9FD-8500-4333-BBA9-1508D5BB4FFD}" uniqueName="3" name="business_area_code" queryTableFieldId="3" dataDxfId="334"/>
    <tableColumn id="4" xr3:uid="{75AAD1E5-9CA8-4D74-93C3-B0F3A9C1A816}" uniqueName="4" name="business_area_name" queryTableFieldId="4" dataDxfId="333"/>
    <tableColumn id="5" xr3:uid="{C6D0F2E9-F70B-45FD-A352-EC75EF13C2EB}" uniqueName="5" name="parent_business_area_id" queryTableFieldId="5"/>
    <tableColumn id="6" xr3:uid="{8868E911-AA0D-4C45-81B3-1ECE4AEACB2E}" uniqueName="6" name="parent_business_area_name" queryTableFieldId="6" dataDxfId="332"/>
    <tableColumn id="7" xr3:uid="{3C1783B4-4F3F-46D0-90B7-46D749823858}" uniqueName="7" name="organization_name" queryTableFieldId="7" dataDxfId="331"/>
    <tableColumn id="8" xr3:uid="{63556EB5-8912-47DD-B543-349D53DAA863}" uniqueName="8" name="text" queryTableFieldId="8"/>
    <tableColumn id="9" xr3:uid="{127683AF-DAEA-4F29-9A11-EAA1131C93E4}" uniqueName="9" name="value" queryTableFieldId="9"/>
    <tableColumn id="10" xr3:uid="{E1D79CF5-5DED-4EC6-A322-1D57E51B6042}" uniqueName="10" name="Parent+BussName" queryTableFieldId="10"/>
    <tableColumn id="11" xr3:uid="{3BFC567F-5F48-4EDD-8565-68CAD5B2E776}" uniqueName="11" name="UPPERCASE" queryTableFieldId="11" dataDxfId="33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88A56CB-1A6A-44E2-A0BC-F85116A2C38F}" name="API_Loader" displayName="API_Loader" ref="BU10:CF21" tableType="queryTable" totalsRowShown="0">
  <autoFilter ref="BU10:CF21" xr:uid="{E88A56CB-1A6A-44E2-A0BC-F85116A2C38F}"/>
  <tableColumns count="12">
    <tableColumn id="1" xr3:uid="{B02642B6-DCD3-446F-AB49-83DF42E2DD4A}" uniqueName="1" name="id" queryTableFieldId="1" dataDxfId="329"/>
    <tableColumn id="2" xr3:uid="{5591CCB2-FF3F-4AA7-BE4F-CA445274C5C3}" uniqueName="2" name="is_active" queryTableFieldId="2" dataDxfId="328"/>
    <tableColumn id="3" xr3:uid="{A1869B73-5B13-463C-8FA1-36FB50769C6F}" uniqueName="3" name="is_locked" queryTableFieldId="3"/>
    <tableColumn id="4" xr3:uid="{50B2C138-0593-498C-9694-DB20DFCFB7C9}" uniqueName="4" name="is_default" queryTableFieldId="4"/>
    <tableColumn id="5" xr3:uid="{232D07F9-BA6F-43E2-B38E-4A5267D4439E}" uniqueName="5" name="entity_id" queryTableFieldId="5" dataDxfId="327"/>
    <tableColumn id="6" xr3:uid="{FC31E5A2-1767-4A06-9CC4-8A671CA16309}" uniqueName="6" name="equipment_type_name" queryTableFieldId="6" dataDxfId="326"/>
    <tableColumn id="7" xr3:uid="{4F9EE390-6DFF-40AA-8207-C3867747DD8C}" uniqueName="7" name="equipment_name" queryTableFieldId="7" dataDxfId="325"/>
    <tableColumn id="8" xr3:uid="{926319AF-F782-44E6-AC90-159AC1F5A167}" uniqueName="8" name="capacity" queryTableFieldId="8" dataDxfId="324"/>
    <tableColumn id="9" xr3:uid="{83EDA71A-B1E5-4C85-908C-898359BB6FD4}" uniqueName="9" name="capacity_uom_name" queryTableFieldId="9" dataDxfId="323"/>
    <tableColumn id="10" xr3:uid="{D92C70E4-6A5F-4E13-8B25-851F89BC3F79}" uniqueName="10" name="text" queryTableFieldId="10"/>
    <tableColumn id="11" xr3:uid="{085505D9-1533-4400-AAE8-6A1E887E7DD8}" uniqueName="11" name="value" queryTableFieldId="11"/>
    <tableColumn id="12" xr3:uid="{09F71F1E-76B2-4FBA-8774-6138F2056864}" uniqueName="12" name="UPPERCASE" queryTableFieldId="12" dataDxfId="32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19BA6F1-4904-4388-AAF7-4095EE02C5ED}" name="API_Source" displayName="API_Source" ref="CI10:CN26" tableType="queryTable" totalsRowShown="0">
  <autoFilter ref="CI10:CN26" xr:uid="{619BA6F1-4904-4388-AAF7-4095EE02C5ED}"/>
  <tableColumns count="6">
    <tableColumn id="1" xr3:uid="{2E294A8F-4616-4B12-9164-CD2B4B8C489A}" uniqueName="1" name="id" queryTableFieldId="1" dataDxfId="321"/>
    <tableColumn id="2" xr3:uid="{A6AF7579-32AC-481B-B7B4-A46F076F0CB6}" uniqueName="2" name="is_active" queryTableFieldId="2" dataDxfId="320"/>
    <tableColumn id="3" xr3:uid="{061A54DD-89D2-4BAA-BBEE-0F6A5F2487B4}" uniqueName="3" name="stock_location_name" queryTableFieldId="3" dataDxfId="319"/>
    <tableColumn id="4" xr3:uid="{1F981896-0374-4292-A48D-7C4C131FA6F0}" uniqueName="4" name="text" queryTableFieldId="4"/>
    <tableColumn id="5" xr3:uid="{01D0E31F-88EF-42B6-AAC4-F506DE7679C9}" uniqueName="5" name="value" queryTableFieldId="5"/>
    <tableColumn id="6" xr3:uid="{25E664D5-0D4D-43BD-88EC-2075858FF65E}" uniqueName="6" name="UPPERCASE" queryTableFieldId="6" dataDxfId="318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FB41B-039A-4618-B305-3DA90E55EB70}" name="API_Destination" displayName="API_Destination" ref="CQ10:CS20" tableType="queryTable" totalsRowShown="0">
  <autoFilter ref="CQ10:CS20" xr:uid="{491FB41B-039A-4618-B305-3DA90E55EB70}"/>
  <tableColumns count="3">
    <tableColumn id="1" xr3:uid="{DF3EB158-AA4F-4201-8D58-0A1374FEE7C3}" uniqueName="1" name="value" queryTableFieldId="1" dataDxfId="317"/>
    <tableColumn id="2" xr3:uid="{6625F2A1-3030-49E7-ACBE-0771D6F61AF3}" uniqueName="2" name="text" queryTableFieldId="2"/>
    <tableColumn id="3" xr3:uid="{9E17E0AE-CB20-4B2C-87A3-B8691F88F877}" uniqueName="3" name="UPPERCASE" queryTableFieldId="3" dataDxfId="316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A534427-00B1-49D1-9539-C59C242751B6}" name="API_Material" displayName="API_Material" ref="CV10:CX25" tableType="queryTable" totalsRowShown="0">
  <autoFilter ref="CV10:CX25" xr:uid="{2A534427-00B1-49D1-9539-C59C242751B6}"/>
  <tableColumns count="3">
    <tableColumn id="1" xr3:uid="{4BF06B64-A405-4B24-BC4B-B91B49A66234}" uniqueName="1" name="value" queryTableFieldId="1" dataDxfId="315"/>
    <tableColumn id="2" xr3:uid="{B44975E3-99D5-4440-AFAC-5E348DD229F2}" uniqueName="2" name="text" queryTableFieldId="2" dataDxfId="314"/>
    <tableColumn id="3" xr3:uid="{3FFE54E9-744E-4D02-B3F1-91A8FC7B7EC4}" uniqueName="3" name="UPPERCASE" queryTableFieldId="3" dataDxfId="313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DA6CC26-BE63-4C61-AC84-81178260D93D}" name="API_Event_Category" displayName="API_Event_Category" ref="DF10:DO19" tableType="queryTable" totalsRowShown="0">
  <autoFilter ref="DF10:DO19" xr:uid="{4DA6CC26-BE63-4C61-AC84-81178260D93D}"/>
  <tableColumns count="10">
    <tableColumn id="1" xr3:uid="{D3564CDC-1493-42F1-9278-9234B41D75F2}" uniqueName="1" name="id" queryTableFieldId="1" dataDxfId="312"/>
    <tableColumn id="2" xr3:uid="{BFBC533C-3A84-4802-8ECE-8C9A8C24B6FC}" uniqueName="2" name="is_active" queryTableFieldId="2" dataDxfId="311"/>
    <tableColumn id="3" xr3:uid="{864EF024-F746-4BAD-B31B-A7C3C612DE1E}" uniqueName="3" name="event_definition_category_name" queryTableFieldId="3" dataDxfId="310"/>
    <tableColumn id="4" xr3:uid="{D192F766-596C-4C1B-BE28-387C743223A3}" uniqueName="4" name="event_definition_category_code" queryTableFieldId="4" dataDxfId="309"/>
    <tableColumn id="5" xr3:uid="{3C4DE94D-D3BB-42F4-AB74-E520E037180C}" uniqueName="5" name="is_problem_productivity" queryTableFieldId="5" dataDxfId="308"/>
    <tableColumn id="6" xr3:uid="{4CF2B415-3213-4450-83FE-D023D792FDE4}" uniqueName="6" name="organization_" queryTableFieldId="6"/>
    <tableColumn id="7" xr3:uid="{AA0361AB-9140-4DA9-BAC9-A80354E05BA9}" uniqueName="7" name="timesheet_detail_event" queryTableFieldId="7"/>
    <tableColumn id="8" xr3:uid="{CBBC001B-119C-4325-BFE0-0D4732929225}" uniqueName="8" name="timesheet_detail_productivity_problem" queryTableFieldId="8" dataDxfId="307"/>
    <tableColumn id="9" xr3:uid="{BD9FFF98-1DDC-4C26-8E2D-C1B5E00B21F4}" uniqueName="9" name="value" queryTableFieldId="9"/>
    <tableColumn id="10" xr3:uid="{B128665E-35F8-4DC5-997D-10F049462C0C}" uniqueName="10" name="text" queryTableFieldId="10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8AAD902-E3EB-4F0D-9BC1-DA7123F15A46}" name="API_Event_Activity" displayName="API_Event_Activity" ref="DR10:DX89" tableType="queryTable" totalsRowShown="0">
  <autoFilter ref="DR10:DX89" xr:uid="{C8AAD902-E3EB-4F0D-9BC1-DA7123F15A46}"/>
  <tableColumns count="7">
    <tableColumn id="1" xr3:uid="{A056D995-DAAB-42B7-A80A-6756CC93D98C}" uniqueName="1" name="id" queryTableFieldId="1" dataDxfId="306"/>
    <tableColumn id="2" xr3:uid="{416E5030-BB01-4F54-9ED3-B9ECB8F085FC}" uniqueName="2" name="event_category_name" queryTableFieldId="2" dataDxfId="305"/>
    <tableColumn id="3" xr3:uid="{C5302B7E-457E-420A-893E-B7A1207B0FBE}" uniqueName="3" name="event_definition_category_name" queryTableFieldId="3" dataDxfId="304"/>
    <tableColumn id="4" xr3:uid="{3AAD7036-ACFA-41D4-8D52-919437D95568}" uniqueName="4" name="value" queryTableFieldId="4"/>
    <tableColumn id="5" xr3:uid="{D3E810B7-9197-40CF-9AF1-3CF5F0C56863}" uniqueName="5" name="text" queryTableFieldId="5"/>
    <tableColumn id="7" xr3:uid="{40EB7416-9CA4-47A1-9F26-934E2F441416}" uniqueName="7" name="Column1" queryTableFieldId="7"/>
    <tableColumn id="6" xr3:uid="{F21ABF70-7160-4EE3-85F2-3EC1C20F22E6}" uniqueName="6" name="EventCatNam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8256A-2807-407D-B931-1B0FBC3394A2}" name="API_Problem_Category" displayName="API_Problem_Category" ref="EB10:EI19" tableType="queryTable" totalsRowShown="0">
  <autoFilter ref="EB10:EI19" xr:uid="{1838256A-2807-407D-B931-1B0FBC3394A2}"/>
  <tableColumns count="8">
    <tableColumn id="1" xr3:uid="{1DEFBD32-6CEB-4861-9AFD-69DC9543ED9C}" uniqueName="1" name="id" queryTableFieldId="1" dataDxfId="303"/>
    <tableColumn id="2" xr3:uid="{350037C8-B184-4640-A97D-10B7C10E536F}" uniqueName="2" name="event_definition_category_name" queryTableFieldId="2" dataDxfId="302"/>
    <tableColumn id="3" xr3:uid="{A2DA865B-92B1-4293-B1DE-17678A4B94EC}" uniqueName="3" name="is_problem_productivity" queryTableFieldId="3" dataDxfId="301"/>
    <tableColumn id="4" xr3:uid="{32473DC3-B0D3-4B97-8703-9E28AD0FCF98}" uniqueName="4" name="timesheet_detail_event" queryTableFieldId="4"/>
    <tableColumn id="5" xr3:uid="{93747BFF-6CF1-487C-B3FC-FFAF034D96D9}" uniqueName="5" name="timesheet_detail_productivity_problem" queryTableFieldId="5"/>
    <tableColumn id="6" xr3:uid="{BE39DF84-5C57-4D5F-8FDD-3E7AE87E3E37}" uniqueName="6" name="value" queryTableFieldId="6"/>
    <tableColumn id="7" xr3:uid="{2C102847-5A7F-47F8-B203-6F8CD4766287}" uniqueName="7" name="text" queryTableFieldId="7"/>
    <tableColumn id="8" xr3:uid="{5B933DB2-7F53-405D-BE13-AE7C48B40BF6}" uniqueName="8" name="Index" queryTableFieldId="8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904017C-C1F7-48CE-BD19-8D44F48513DD}" name="API_Problem_Activity" displayName="API_Problem_Activity" ref="EM10:ET89" tableType="queryTable" totalsRowShown="0">
  <autoFilter ref="EM10:ET89" xr:uid="{9904017C-C1F7-48CE-BD19-8D44F48513DD}"/>
  <tableColumns count="8">
    <tableColumn id="1" xr3:uid="{101282D3-0F07-4802-9977-C52D844104EF}" uniqueName="1" name="id" queryTableFieldId="1" dataDxfId="300"/>
    <tableColumn id="2" xr3:uid="{E8304CB9-4E89-4F12-94CE-643698B320AE}" uniqueName="2" name="event_category_name" queryTableFieldId="2" dataDxfId="299"/>
    <tableColumn id="3" xr3:uid="{A1BA3397-FF1B-442E-94BA-6D3A68AAE737}" uniqueName="3" name="event_definition_category_name" queryTableFieldId="3" dataDxfId="298"/>
    <tableColumn id="4" xr3:uid="{D9356811-BDE6-4D2C-BEC7-716B2F293B14}" uniqueName="4" name="organization_name" queryTableFieldId="4" dataDxfId="297"/>
    <tableColumn id="5" xr3:uid="{7E5A83DD-BF82-492D-A575-D9E6227823A2}" uniqueName="5" name="value" queryTableFieldId="5"/>
    <tableColumn id="6" xr3:uid="{EA086228-368B-492F-914A-14FC99189C8D}" uniqueName="6" name="text" queryTableFieldId="6"/>
    <tableColumn id="8" xr3:uid="{55F06335-C5BF-4787-BD7B-C97584210A07}" uniqueName="8" name="Index" queryTableFieldId="8"/>
    <tableColumn id="7" xr3:uid="{4AAA8A91-2B20-454B-AE17-1C00DF626EA1}" uniqueName="7" name="EventCatName" queryTableFieldId="7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EEE1479-51DD-418D-A152-6B919B2B7043}" name="LinkConnection" displayName="LinkConnection" ref="B63:C70" totalsRowShown="0">
  <autoFilter ref="B63:C70" xr:uid="{4EEE1479-51DD-418D-A152-6B919B2B7043}"/>
  <tableColumns count="2">
    <tableColumn id="1" xr3:uid="{D1656ACB-ED53-44F1-BEE2-122C2D2DC7D0}" name="URL Link"/>
    <tableColumn id="2" xr3:uid="{29B845C8-DB26-4081-BC3E-E7982290CACA}" name="Purpose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FD938-638C-4AE5-8D22-DC37195D81F7}" name="ListAPILink" displayName="ListAPILink" ref="B29:J45" totalsRowShown="0" headerRowDxfId="296" headerRowBorderDxfId="295" tableBorderDxfId="294">
  <autoFilter ref="B29:J45" xr:uid="{9E7FD938-638C-4AE5-8D22-DC37195D81F7}"/>
  <tableColumns count="9">
    <tableColumn id="1" xr3:uid="{8EA04D2F-D095-485D-A45B-4B3F3BEF969D}" name="Column header" dataDxfId="293"/>
    <tableColumn id="2" xr3:uid="{466CDC9F-04B0-471F-9967-DC7E4549DEC9}" name="API URL" dataDxfId="292"/>
    <tableColumn id="3" xr3:uid="{66AA326C-B1AC-4727-B231-EBEC0DA31F77}" name="Table Name" dataDxfId="291">
      <calculatedColumnFormula>"Web_"&amp;ListAPILink[[#This Row],[Column header]]</calculatedColumnFormula>
    </tableColumn>
    <tableColumn id="4" xr3:uid="{C9EEFECF-2890-49CC-A831-CE15D975B3E2}" name="Jumlah Kolom" dataDxfId="290"/>
    <tableColumn id="5" xr3:uid="{25DFC411-AAFC-4331-B28B-7E051ED6B465}" name="List Kolom" dataDxfId="289"/>
    <tableColumn id="6" xr3:uid="{DA11A798-47D4-4F25-8102-274016C9C2FB}" name="Response"/>
    <tableColumn id="7" xr3:uid="{CEED594A-3B0F-4B2D-90F2-23EE7AB6003A}" name="RowAwal" dataDxfId="288"/>
    <tableColumn id="8" xr3:uid="{9D471B1F-15E4-4FFE-BCA7-0E8933F53E50}" name="RowAkhir" dataDxfId="287"/>
    <tableColumn id="9" xr3:uid="{2493F952-16C9-4AC3-A6BA-B477303234D0}" name="RunPartial" dataDxfId="286">
      <calculatedColumnFormula>ListAPILink[[#This Row],[RowAkhir]]-ListAPILink[[#This Row],[RowAwal]]</calculatedColumnFormula>
    </tableColumn>
  </tableColumns>
  <tableStyleInfo name="TableStyleMedium4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676514-35A7-40A6-A970-FEB97313C43A}" name="API_CNUnit" displayName="API_CNUnit" ref="W10:AA48" tableType="queryTable" totalsRowShown="0">
  <autoFilter ref="W10:AA48" xr:uid="{73676514-35A7-40A6-A970-FEB97313C43A}"/>
  <tableColumns count="5">
    <tableColumn id="1" xr3:uid="{4EA94221-7FD6-44F0-AB59-205CD92B261C}" uniqueName="1" name="text" queryTableFieldId="1"/>
    <tableColumn id="2" xr3:uid="{286D791E-24E0-4051-9EE2-57005573DFA7}" uniqueName="2" name="value" queryTableFieldId="2"/>
    <tableColumn id="3" xr3:uid="{13BE0954-9DFE-441C-8325-01E33A1C93CB}" uniqueName="3" name="type" queryTableFieldId="3"/>
    <tableColumn id="4" xr3:uid="{2BB9A714-9FD2-4B46-BB97-2F51CCCDA71F}" uniqueName="4" name="Capacity" queryTableFieldId="4"/>
    <tableColumn id="5" xr3:uid="{5FFD3CD7-F7A8-4D52-96AB-5D00DE7CF74C}" uniqueName="5" name="UPPERCASE" queryTableFieldId="5" dataDxfId="285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528BDBC-0E39-418D-A9EE-A198FDE9EBD5}" name="API_AccountingPeriod" displayName="API_AccountingPeriod" ref="EW10:EZ38" tableType="queryTable" totalsRowShown="0" dataDxfId="284">
  <autoFilter ref="EW10:EZ38" xr:uid="{7528BDBC-0E39-418D-A9EE-A198FDE9EBD5}"/>
  <tableColumns count="4">
    <tableColumn id="1" xr3:uid="{DBF6EBAC-6018-4E6F-A6A9-23F85E5A1952}" uniqueName="1" name="value" queryTableFieldId="1" dataDxfId="283"/>
    <tableColumn id="2" xr3:uid="{F32C1BE3-787E-482C-9855-84EBFC8F0B93}" uniqueName="2" name="text" queryTableFieldId="2" dataDxfId="282"/>
    <tableColumn id="4" xr3:uid="{FA084418-B8B1-411F-BA8E-8025979347BB}" uniqueName="4" name="Index" queryTableFieldId="4"/>
    <tableColumn id="3" xr3:uid="{F09F0424-3C75-44A8-A719-8D9B7F2EA538}" uniqueName="3" name="Month" queryTableFieldId="3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02736D7-41DF-474E-9AAC-5F0488AF20A2}" name="AlllowedRole" displayName="AlllowedRole" ref="B15:B17" totalsRowShown="0">
  <autoFilter ref="B15:B17" xr:uid="{E02736D7-41DF-474E-9AAC-5F0488AF20A2}"/>
  <tableColumns count="1">
    <tableColumn id="1" xr3:uid="{785F35A9-3D9D-4F21-A221-63AAF76824AB}" name="Allowed Rol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FDC29E9-4549-4C51-BB7A-5344A55578A2}" name="API_CNUnit_Cap" displayName="API_CNUnit_Cap" ref="FE10:FF48" tableType="queryTable" totalsRowShown="0">
  <autoFilter ref="FE10:FF48" xr:uid="{7FDC29E9-4549-4C51-BB7A-5344A55578A2}"/>
  <tableColumns count="2">
    <tableColumn id="1" xr3:uid="{CB5C1579-1BA1-4D25-B0DD-483E539EF5A0}" uniqueName="1" name="id" queryTableFieldId="1" dataDxfId="281"/>
    <tableColumn id="2" xr3:uid="{C95F229B-F725-464B-895D-F218DF3D9348}" uniqueName="2" name="Capacity" queryTableFieldId="2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2056BCF-128A-43A0-8C94-64D4026CE11D}" name="Web_Shift" displayName="Web_Shift" ref="B2:H4" totalsRowShown="0">
  <tableColumns count="7">
    <tableColumn id="1" xr3:uid="{4A6AEDD0-E9EE-44F8-97FE-AC91310DBC8A}" name="id"/>
    <tableColumn id="2" xr3:uid="{9E3FB974-AD2E-4C5C-AE43-BA6E24D7AD21}" name="shift_category_name"/>
    <tableColumn id="3" xr3:uid="{FFFC636C-5E03-4D0C-9BEE-B556FED269E3}" name="shift_name"/>
    <tableColumn id="4" xr3:uid="{BB24835D-CD62-439E-B8AC-A8CAA5FB1EE1}" name="start_time"/>
    <tableColumn id="5" xr3:uid="{CAFB360D-D6D9-4495-96FD-756A4E7CBFB0}" name="duration"/>
    <tableColumn id="6" xr3:uid="{D6D6E8A9-0C81-415F-B4B8-D5C5CBA5328F}" name="end_time"/>
    <tableColumn id="7" xr3:uid="{32A5C6B1-231E-4713-84F9-46CEF9BA24A9}" name="organization_name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016A06-7D53-4514-8325-162DC056884D}" name="Web_CNUnit" displayName="Web_CNUnit" ref="K2:M43" totalsRowShown="0">
  <tableColumns count="3">
    <tableColumn id="1" xr3:uid="{143FE6B9-0EFB-4E5D-96BA-420C56B1DD63}" name="text"/>
    <tableColumn id="2" xr3:uid="{12BE0E6F-3C66-4D5E-BF60-B8A41548C82F}" name="value"/>
    <tableColumn id="4" xr3:uid="{A00BFE3D-69FC-4D00-A24C-3C9CE0AC5FF8}" name="type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D233BA6-7635-4FE7-8FDD-137F40EA8240}" name="Web_Activity" displayName="Web_Activity" ref="P2:R9" totalsRowShown="0">
  <autoFilter ref="P2:R9" xr:uid="{AD233BA6-7635-4FE7-8FDD-137F40EA8240}"/>
  <tableColumns count="3">
    <tableColumn id="1" xr3:uid="{AF6AA4C0-24D5-489E-BECA-7B2425AB1075}" name="text"/>
    <tableColumn id="2" xr3:uid="{AF778A7D-5507-4AF7-80C8-BC32271BF798}" name="value"/>
    <tableColumn id="3" xr3:uid="{B0F182D6-7B7E-4F6C-BAE1-B81D65D5790D}" name="item_group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40A9454-9448-409F-8D2E-871C4A41CA94}" name="Web_OperatorNIK" displayName="Web_OperatorNIK" ref="U2:AA119" totalsRowShown="0">
  <autoFilter ref="U2:AA119" xr:uid="{840A9454-9448-409F-8D2E-871C4A41CA94}"/>
  <tableColumns count="7">
    <tableColumn id="1" xr3:uid="{F2DDF578-7518-4531-9476-59F93703D975}" name="Name" dataDxfId="280"/>
    <tableColumn id="2" xr3:uid="{2C62E5BF-F877-4061-BA3F-B8E30C678BA5}" name="id"/>
    <tableColumn id="3" xr3:uid="{12734AC1-D447-4209-8A97-F7D7AC9B05A5}" name="employee_number"/>
    <tableColumn id="4" xr3:uid="{8510FA21-65C4-4647-9B14-2396983DB83E}" name="employee_name"/>
    <tableColumn id="5" xr3:uid="{B05C6997-121B-453E-AC3D-AB9F5E437A74}" name="gender"/>
    <tableColumn id="6" xr3:uid="{30E1DA36-2CE8-4F73-B3E8-8B02E00C0998}" name="is_operator"/>
    <tableColumn id="7" xr3:uid="{DDC0D42E-8D68-4F0E-BB6D-6AD1A76CFA9B}" name="is_supervisor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B6DF48-5256-410D-8597-6FD104BEB3DE}" name="Web_SupervisorNIK" displayName="Web_SupervisorNIK" ref="AE2:AK119" totalsRowShown="0">
  <autoFilter ref="AE2:AK119" xr:uid="{5FB6DF48-5256-410D-8597-6FD104BEB3DE}"/>
  <tableColumns count="7">
    <tableColumn id="1" xr3:uid="{E440189A-E0AC-4CB6-8218-31CD50E3CEAE}" name="Name" dataDxfId="279"/>
    <tableColumn id="2" xr3:uid="{1D73BE27-0FEB-4955-8351-CA6D9ED6D5A7}" name="id"/>
    <tableColumn id="3" xr3:uid="{36A540A6-55A3-48A3-A9B4-147A3DCF5A7A}" name="employee_number"/>
    <tableColumn id="4" xr3:uid="{D4978C86-8880-454A-8B1B-574EB34B507E}" name="employee_name"/>
    <tableColumn id="5" xr3:uid="{766774CA-0976-4835-93C8-F60271FF6EC2}" name="gender"/>
    <tableColumn id="6" xr3:uid="{C218F8B6-B713-4FDA-A657-B8FC5462E77C}" name="is_operator"/>
    <tableColumn id="7" xr3:uid="{3E39A931-50DA-4ECC-8E8A-B075C676C1CE}" name="is_supervisor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B2B1FE5-4962-4955-A079-B6E0A78A888C}" name="Web_PITLocation" displayName="Web_PITLocation" ref="AN2:AV38" totalsRowShown="0">
  <tableColumns count="9">
    <tableColumn id="1" xr3:uid="{254FDB2E-E351-43E8-8B8E-7AD69533791D}" name="id"/>
    <tableColumn id="2" xr3:uid="{0CF1C85C-BF40-4EB0-8EF8-7C61CC8FB512}" name="entity_id"/>
    <tableColumn id="3" xr3:uid="{9301452B-79E3-4D79-A81B-BF3476D83FE0}" name="business_area_code"/>
    <tableColumn id="4" xr3:uid="{E47C98B9-09BE-470F-ACCD-451993FD545C}" name="business_area_name"/>
    <tableColumn id="5" xr3:uid="{E16D59FE-AC07-4403-BAA4-B9A81DA8AC0C}" name="parent_business_area_id"/>
    <tableColumn id="6" xr3:uid="{6DB114D0-44B1-4E99-A9A7-C986C5A875BF}" name="parent_business_area_name"/>
    <tableColumn id="7" xr3:uid="{ECD5B57E-B7CB-4610-8969-35F73D8F7390}" name="organization_name"/>
    <tableColumn id="8" xr3:uid="{EFB8E211-25D0-4CF2-98CD-67B87664A225}" name="text"/>
    <tableColumn id="9" xr3:uid="{CDD48CB0-AA9F-4EF3-BE8D-6CE60D736D2E}" name="value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23C61B-8006-45B5-B389-82E91BE4CCF4}" name="Web_Loader" displayName="Web_Loader" ref="AY2:BI17" totalsRowShown="0">
  <tableColumns count="11">
    <tableColumn id="1" xr3:uid="{FDC1CFD7-65FA-4529-83FE-8824119B24C8}" name="id"/>
    <tableColumn id="2" xr3:uid="{F30ED34A-832E-4239-84F0-785B21A131BE}" name="is_active"/>
    <tableColumn id="3" xr3:uid="{8C19EF38-202E-44DC-9965-DF8BE8A79568}" name="is_locked"/>
    <tableColumn id="4" xr3:uid="{C81C3CDB-CB5D-4048-9F1B-E0BC8EA752F5}" name="is_default"/>
    <tableColumn id="5" xr3:uid="{86B16402-45E0-4A46-B13D-8DC95B07B6EB}" name="entity_id"/>
    <tableColumn id="6" xr3:uid="{A297A10C-1543-4202-A8AE-CE37FF5A8605}" name="equipment_type_name"/>
    <tableColumn id="7" xr3:uid="{6E690781-94A2-4B8C-B533-7192EF67721B}" name="equipment_name"/>
    <tableColumn id="8" xr3:uid="{57814F9E-60A7-49AA-9111-B7AFDF30D846}" name="capacity"/>
    <tableColumn id="9" xr3:uid="{2FBDCBB4-A9E6-492B-9637-6A7078F57D61}" name="capacity_uom_name"/>
    <tableColumn id="10" xr3:uid="{FDA79FA4-07E4-40E6-B72F-B9E4470805E4}" name="text"/>
    <tableColumn id="11" xr3:uid="{1CC958BC-627A-4F84-809F-ED41FCA72C0A}" name="value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7B79223-EF63-4BF9-975A-2A1039830042}" name="Web_Source" displayName="Web_Source" ref="BL2:BP18" totalsRowShown="0">
  <autoFilter ref="BL2:BP18" xr:uid="{E7B79223-EF63-4BF9-975A-2A1039830042}"/>
  <tableColumns count="5">
    <tableColumn id="1" xr3:uid="{ED0755C1-3E7A-47C4-834E-3030EF1C126E}" name="id"/>
    <tableColumn id="2" xr3:uid="{2A4C5342-FC28-4704-AE36-05967780F419}" name="is_active"/>
    <tableColumn id="3" xr3:uid="{CBA536C9-A26E-49E0-8D38-04565C24F113}" name="stock_location_name"/>
    <tableColumn id="4" xr3:uid="{E319135D-DF8D-4990-890F-3EADBE6B7584}" name="text"/>
    <tableColumn id="5" xr3:uid="{9018A566-0092-4C08-A7DA-EFA1DE38EFFF}" name="value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C3088E-3B9D-44F0-9781-4395094F74EA}" name="Web_Destination" displayName="Web_Destination" ref="BS2:BT12" totalsRowShown="0">
  <autoFilter ref="BS2:BT12" xr:uid="{2CC3088E-3B9D-44F0-9781-4395094F74EA}"/>
  <tableColumns count="2">
    <tableColumn id="1" xr3:uid="{A20A281C-CF58-4507-A1E7-A2B369C7C844}" name="value"/>
    <tableColumn id="2" xr3:uid="{8C157FE5-C2D7-44A9-90D4-47B4A2FEA36B}" name="text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2789392-3BE5-44C9-AA9D-08E2E5FE013E}" name="Web_Material" displayName="Web_Material" ref="BW2:BX18" totalsRowShown="0">
  <autoFilter ref="BW2:BX18" xr:uid="{02789392-3BE5-44C9-AA9D-08E2E5FE013E}"/>
  <tableColumns count="2">
    <tableColumn id="1" xr3:uid="{9959A7AD-8EEE-48C9-AC4A-8D376CFDC9F6}" name="value"/>
    <tableColumn id="2" xr3:uid="{98F16EF1-D101-4686-9CDB-00575F230F42}" name="text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BA87551-16E2-43D3-BED5-65A840B62868}" name="Web_Event_Category" displayName="Web_Event_Category" ref="CF2:CO11" totalsRowShown="0">
  <tableColumns count="10">
    <tableColumn id="1" xr3:uid="{407C2E1F-4087-4AA4-904F-C45F7F84F340}" name="id"/>
    <tableColumn id="2" xr3:uid="{3DD34CF6-3B93-4E8B-A513-3021A5563018}" name="is_active"/>
    <tableColumn id="3" xr3:uid="{359307F8-C27E-417C-9687-13DA57F663BF}" name="event_definition_category_name"/>
    <tableColumn id="4" xr3:uid="{4519B699-4FFF-457A-84E4-D72ACC93F1AE}" name="event_definition_category_code"/>
    <tableColumn id="5" xr3:uid="{F9D3E468-07BC-43B1-8240-3033CE8C70E7}" name="is_problem_productivity"/>
    <tableColumn id="6" xr3:uid="{427AD216-FC7C-423D-A28F-D2376FC92DE1}" name="organization_"/>
    <tableColumn id="7" xr3:uid="{4C64F8B6-6094-4816-93D6-D12890ABFD81}" name="timesheet_detail_event"/>
    <tableColumn id="8" xr3:uid="{C1E32D55-A45A-46EB-9CAB-95857B038728}" name="timesheet_detail_productivity_problem" dataDxfId="278"/>
    <tableColumn id="9" xr3:uid="{11B44BD7-932E-4F41-A1A6-F90AB977D1E6}" name="value"/>
    <tableColumn id="10" xr3:uid="{95917BC7-A75A-4531-9F5A-F8CF0BE77AED}" name="text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AA63F29-D376-4D41-88CB-FC7713BE1551}" name="Web_Event_Activity" displayName="Web_Event_Activity" ref="CR2:CW81" totalsRowShown="0">
  <autoFilter ref="CR2:CW81" xr:uid="{EAA63F29-D376-4D41-88CB-FC7713BE1551}"/>
  <tableColumns count="6">
    <tableColumn id="1" xr3:uid="{673D1944-A9B2-4262-914E-6F698F791171}" name="id"/>
    <tableColumn id="2" xr3:uid="{FDDDF973-DA70-43E4-B0EA-A307D33C97C3}" name="event_category_name"/>
    <tableColumn id="3" xr3:uid="{C9C750D0-BEF6-4627-A789-C4BBC0121E27}" name="event_definition_category_name"/>
    <tableColumn id="4" xr3:uid="{F4D5A7EB-FBA5-488D-A25F-02A1C5434E90}" name="value"/>
    <tableColumn id="5" xr3:uid="{1B4D364A-6A45-4B9A-B3D4-9F3249EF1D85}" name="text"/>
    <tableColumn id="6" xr3:uid="{3B45EDEA-BBC9-4768-B633-C9726CBAB1CE}" name="Column1" dataDxfId="277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32AA0C1-44DF-494B-8325-18400042C082}" name="Web_Problem_Category" displayName="Web_Problem_Category" ref="CZ2:DF11" totalsRowShown="0">
  <tableColumns count="7">
    <tableColumn id="1" xr3:uid="{8CAC2BCD-3928-4D15-87B0-A3326484BFA2}" name="id"/>
    <tableColumn id="2" xr3:uid="{A5FFDC87-6E91-450A-9B20-A6E6B27CBD77}" name="event_definition_category_name"/>
    <tableColumn id="3" xr3:uid="{F3FF240B-C1FE-45A0-B405-BC70D50CB95C}" name="is_problem_productivity"/>
    <tableColumn id="4" xr3:uid="{1DCE7FDE-024B-452D-A116-4A188D6A6E55}" name="timesheet_detail_event"/>
    <tableColumn id="5" xr3:uid="{C9A0BB97-BD20-4C4C-B845-3F7B589FE440}" name="timesheet_detail_productivity_problem"/>
    <tableColumn id="6" xr3:uid="{DC451707-DD48-432C-B1CA-E3DC6FC2BCA0}" name="value"/>
    <tableColumn id="7" xr3:uid="{788A97E7-6ED6-420F-9A99-C13D8F215284}" name="text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F5CC594-83B2-4BF6-9CA2-26C92D38F9FF}" name="Web_Problem_Activity" displayName="Web_Problem_Activity" ref="DJ2:DO81" totalsRowShown="0">
  <tableColumns count="6">
    <tableColumn id="1" xr3:uid="{795D125E-C114-41E7-9583-8C3871DA71C6}" name="id"/>
    <tableColumn id="2" xr3:uid="{4A0D1B80-6626-4FA1-9258-105D7736A1E9}" name="event_category_name"/>
    <tableColumn id="3" xr3:uid="{18415629-A245-47B7-8E08-26CF2F6533F1}" name="event_definition_category_name"/>
    <tableColumn id="4" xr3:uid="{7ED6831D-6D40-4339-BAC2-0D089DA1444F}" name="organization_name"/>
    <tableColumn id="5" xr3:uid="{95F71108-EF7D-4D66-AE20-3D5FE665452E}" name="value"/>
    <tableColumn id="6" xr3:uid="{A7C1535B-2F11-4819-8B20-F9EEC1A7B0D8}" name="text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21A1E0-433C-4CFA-8323-FDC555CC6CD5}" name="Web_CNUnitCap" displayName="Web_CNUnitCap" ref="DT2:DU43" totalsRowShown="0" headerRowDxfId="276" headerRowBorderDxfId="275" tableBorderDxfId="274" totalsRowBorderDxfId="273">
  <tableColumns count="2">
    <tableColumn id="1" xr3:uid="{A52EECD6-E524-4855-8A79-A47C2E0A1C18}" name="id"/>
    <tableColumn id="2" xr3:uid="{CF5CD16E-D65A-4209-A049-6FFC3216F770}" name="Capacity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BED24BD-D074-4C66-A0C4-871DB3162684}" name="Web_AccountingPeriod" displayName="Web_AccountingPeriod" ref="DY2:DZ30" totalsRowShown="0">
  <autoFilter ref="DY2:DZ30" xr:uid="{BBED24BD-D074-4C66-A0C4-871DB3162684}"/>
  <sortState xmlns:xlrd2="http://schemas.microsoft.com/office/spreadsheetml/2017/richdata2" ref="DY3:DZ3">
    <sortCondition ref="DZ2:DZ3"/>
  </sortState>
  <tableColumns count="2">
    <tableColumn id="1" xr3:uid="{FEFCAFCD-8B7D-4C8B-8FDE-465E7A53E7D4}" name="value" dataDxfId="272"/>
    <tableColumn id="2" xr3:uid="{298B4663-77CF-475C-8698-EAE9F05CB120}" name="text" dataDxfId="271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CBF6BB8-A632-4365-AEEB-9ED065DDC129}" name="Web_ApplicationUser" displayName="Web_ApplicationUser" ref="EC2:EO17" totalsRowShown="0" headerRowDxfId="270">
  <tableColumns count="13">
    <tableColumn id="1" xr3:uid="{54784C5D-C491-43DA-9E48-EC861E3CD557}" name="id" dataDxfId="269"/>
    <tableColumn id="2" xr3:uid="{413A9489-124D-4339-8C02-47C2A19A1A43}" name="is_active"/>
    <tableColumn id="3" xr3:uid="{A86E20D9-E6B1-42A2-B005-6823951B511C}" name="is_locked"/>
    <tableColumn id="4" xr3:uid="{F727E4E4-E57B-4823-B585-5A5CC6452690}" name="application_username" dataDxfId="268"/>
    <tableColumn id="5" xr3:uid="{7DCB0C64-C428-4454-82CD-54435F2ED29B}" name="fullname" dataDxfId="267"/>
    <tableColumn id="6" xr3:uid="{8C3E378B-6657-4B95-8862-9388F81ADFEE}" name="email"/>
    <tableColumn id="7" xr3:uid="{AAFAEA6B-B00D-4075-83E0-A925565B53B4}" name="is_sysadmin"/>
    <tableColumn id="8" xr3:uid="{845C49F4-BD95-44A9-B929-986052AF2AA6}" name="api_key"/>
    <tableColumn id="9" xr3:uid="{555DE75D-895B-475F-A491-9C167A15ADEB}" name="expired_date"/>
    <tableColumn id="10" xr3:uid="{60BDEEB0-EADF-40BD-8FBA-0C783A765177}" name="organization_name"/>
    <tableColumn id="11" xr3:uid="{F4F45A68-D941-4408-A3DE-330BE7B67E16}" name="primary_team_name"/>
    <tableColumn id="12" xr3:uid="{873BE06F-CC50-47E3-BA69-2D5973D968C6}" name="business_unit_id"/>
    <tableColumn id="13" xr3:uid="{B0060C18-16C3-4C8D-B0FE-7637AE59D996}" name="business_unit_name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D427ABE-3C0A-485C-BE82-920F9EAD531C}" name="Web_ApplicationRole" displayName="Web_ApplicationRole" ref="ER2:ES17" totalsRowShown="0" headerRowDxfId="266" headerRowBorderDxfId="265" tableBorderDxfId="264" totalsRowBorderDxfId="263">
  <autoFilter ref="ER2:ES17" xr:uid="{67888B86-8C59-42A7-891D-643F0FA347A0}"/>
  <tableColumns count="2">
    <tableColumn id="1" xr3:uid="{99C6E013-6C03-4EB3-8D26-1DD98BD1C157}" name="id"/>
    <tableColumn id="2" xr3:uid="{9A285891-A501-4F82-B9C6-8B7085A86C22}" name="role_name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4000000}" name="InputData" displayName="InputData" ref="C13:EM25" totalsRowShown="0" headerRowDxfId="258" dataDxfId="257">
  <autoFilter ref="C13:EM25" xr:uid="{00000000-0009-0000-0100-000002000000}"/>
  <tableColumns count="141">
    <tableColumn id="1" xr3:uid="{00000000-0010-0000-1400-000001000000}" name="Accounting Period" dataDxfId="256">
      <calculatedColumnFormula>IFERROR(VLOOKUP(TEXT(InputData[[#This Row],[Date]],"yyyy-mm"),API_AccountingPeriod[text]:API_AccountingPeriod[Month],2,0),"Please Input Accounting Period")</calculatedColumnFormula>
    </tableColumn>
    <tableColumn id="2" xr3:uid="{00000000-0010-0000-1400-000002000000}" name="Weekly" dataDxfId="255">
      <calculatedColumnFormula>"Week_" &amp;WEEKNUM(InputData[[#This Row],[Date]])</calculatedColumnFormula>
    </tableColumn>
    <tableColumn id="3" xr3:uid="{00000000-0010-0000-1400-000003000000}" name="Date" dataDxfId="254"/>
    <tableColumn id="4" xr3:uid="{00000000-0010-0000-1400-000004000000}" name="Code Number" dataDxfId="253"/>
    <tableColumn id="5" xr3:uid="{00000000-0010-0000-1400-000005000000}" name="Type Unit" dataDxfId="252">
      <calculatedColumnFormula>IFERROR(VLOOKUP(InputData[[#This Row],[Code Number]],API_CNUnit[text]:API_CNUnit[type],3,0),0)</calculatedColumnFormula>
    </tableColumn>
    <tableColumn id="6" xr3:uid="{00000000-0010-0000-1400-000006000000}" name="Shift" dataDxfId="251"/>
    <tableColumn id="7" xr3:uid="{00000000-0010-0000-1400-000007000000}" name="Code" dataDxfId="250"/>
    <tableColumn id="136" xr3:uid="{00000000-0010-0000-1400-000088000000}" name="Hour" dataDxfId="249">
      <calculatedColumnFormula>IFERROR(VLOOKUP(InputData[[#This Row],[Code]],Classhours[[Column1]:[Code]],2,0),"")</calculatedColumnFormula>
    </tableColumn>
    <tableColumn id="33" xr3:uid="{00000000-0010-0000-1400-000021000000}" name="OB" dataDxfId="248" dataCellStyle="Comma">
      <calculatedColumnFormula>+InputData[[#This Row],[OB Activity]]</calculatedColumnFormula>
    </tableColumn>
    <tableColumn id="37" xr3:uid="{00000000-0010-0000-1400-000025000000}" name="WCO" dataDxfId="247" dataCellStyle="Comma">
      <calculatedColumnFormula>+InputData[[#This Row],[Coal Activity]]</calculatedColumnFormula>
    </tableColumn>
    <tableColumn id="38" xr3:uid="{00000000-0010-0000-1400-000026000000}" name="WNP" dataDxfId="246" dataCellStyle="Comma">
      <calculatedColumnFormula>SUM(InputData[[#This Row],[Travel Unit (Exca)]:[General Support]])</calculatedColumnFormula>
    </tableColumn>
    <tableColumn id="34" xr3:uid="{00000000-0010-0000-1400-000022000000}" name="SD" dataDxfId="245" dataCellStyle="Comma">
      <calculatedColumnFormula>SUM(InputData[[#This Row],[P2H]:[GANTI SHIFT]])</calculatedColumnFormula>
    </tableColumn>
    <tableColumn id="36" xr3:uid="{00000000-0010-0000-1400-000024000000}" name="SI" dataDxfId="244" dataCellStyle="Comma">
      <calculatedColumnFormula>SUM(InputData[[#This Row],[HUJAN]:[PROBLEM COSTUMER]])</calculatedColumnFormula>
    </tableColumn>
    <tableColumn id="35" xr3:uid="{00000000-0010-0000-1400-000023000000}" name="BD" dataDxfId="243" dataCellStyle="Comma">
      <calculatedColumnFormula>SUM(InputData[[#This Row],[SCHEDULE SERVICE]:[ACCIDENT BREAKDOWN]])</calculatedColumnFormula>
    </tableColumn>
    <tableColumn id="132" xr3:uid="{00000000-0010-0000-1400-000084000000}" name="Column5" dataDxfId="242" dataCellStyle="Comma">
      <calculatedColumnFormula>IF(InputData[[#This Row],[Code]]="",720-SUM(InputData[[#This Row],[OB]:[BD]]),60-SUM(InputData[[#This Row],[OB]:[BD]]))</calculatedColumnFormula>
    </tableColumn>
    <tableColumn id="108" xr3:uid="{00000000-0010-0000-1400-00006C000000}" name="DWH" dataDxfId="241" dataCellStyle="Comma"/>
    <tableColumn id="104" xr3:uid="{00000000-0010-0000-1400-000068000000}" name="Column2" dataDxfId="240" dataCellStyle="Comma">
      <calculatedColumnFormula>+InputData[[#This Row],[Vol OB]]</calculatedColumnFormula>
    </tableColumn>
    <tableColumn id="121" xr3:uid="{00000000-0010-0000-1400-000079000000}" name="Column22" dataDxfId="239" dataCellStyle="Comma">
      <calculatedColumnFormula>+InputData[[#This Row],[Distance]]</calculatedColumnFormula>
    </tableColumn>
    <tableColumn id="122" xr3:uid="{00000000-0010-0000-1400-00007A000000}" name="DPOB" dataDxfId="238" dataCellStyle="Comma"/>
    <tableColumn id="105" xr3:uid="{00000000-0010-0000-1400-000069000000}" name="Column3" dataDxfId="237" dataCellStyle="Comma">
      <calculatedColumnFormula>+InputData[[#This Row],[Ton.Co.V]]</calculatedColumnFormula>
    </tableColumn>
    <tableColumn id="106" xr3:uid="{00000000-0010-0000-1400-00006A000000}" name="Column4" dataDxfId="236" dataCellStyle="Comma">
      <calculatedColumnFormula>+InputData[[#This Row],[Distance]]</calculatedColumnFormula>
    </tableColumn>
    <tableColumn id="109" xr3:uid="{00000000-0010-0000-1400-00006D000000}" name="DPCO" dataDxfId="235" dataCellStyle="Comma"/>
    <tableColumn id="110" xr3:uid="{00000000-0010-0000-1400-00006E000000}" name="Column53" dataDxfId="234" dataCellStyle="Comma">
      <calculatedColumnFormula>+SUM(InputData[[#This Row],[HARD DIGGING ]:[DOUBLE BENCH ]])</calculatedColumnFormula>
    </tableColumn>
    <tableColumn id="111" xr3:uid="{00000000-0010-0000-1400-00006F000000}" name="Column54" dataDxfId="233" dataCellStyle="Comma">
      <calculatedColumnFormula>SUM(InputData[[#This Row],[FATIGUE CHECK ]:[DAMAGED ROAD ]])</calculatedColumnFormula>
    </tableColumn>
    <tableColumn id="112" xr3:uid="{00000000-0010-0000-1400-000070000000}" name="Column55" dataDxfId="232" dataCellStyle="Comma">
      <calculatedColumnFormula>SUM(InputData[[#This Row],[NARROW ACCESS ]:[WAITING SUPPORT DISPOSAL ]])</calculatedColumnFormula>
    </tableColumn>
    <tableColumn id="113" xr3:uid="{00000000-0010-0000-1400-000071000000}" name="DPPP" dataDxfId="231" dataCellStyle="Comma"/>
    <tableColumn id="123" xr3:uid="{00000000-0010-0000-1400-00007B000000}" name="NIK" dataDxfId="230" dataCellStyle="Comma"/>
    <tableColumn id="124" xr3:uid="{00000000-0010-0000-1400-00007C000000}" name="EN" dataDxfId="229" dataCellStyle="Comma">
      <calculatedColumnFormula>IFERROR(INDEX(API_OperatorNIK[employee_name],MATCH(InputData[[#This Row],[NIK]],API_OperatorNIK[NIK+Name],0)),"")</calculatedColumnFormula>
    </tableColumn>
    <tableColumn id="125" xr3:uid="{00000000-0010-0000-1400-00007D000000}" name="HMST" dataDxfId="228" dataCellStyle="Comma"/>
    <tableColumn id="126" xr3:uid="{00000000-0010-0000-1400-00007E000000}" name="HMSP" dataDxfId="227" dataCellStyle="Comma"/>
    <tableColumn id="127" xr3:uid="{00000000-0010-0000-1400-00007F000000}" name="D.HM" dataDxfId="226" dataCellStyle="Comma">
      <calculatedColumnFormula>+InputData[[#This Row],[HMSP]]-InputData[[#This Row],[HMST]]</calculatedColumnFormula>
    </tableColumn>
    <tableColumn id="10" xr3:uid="{00000000-0010-0000-1400-00000A000000}" name="Column1" dataDxfId="225" dataCellStyle="Comma">
      <calculatedColumnFormula>+InputData[[#This Row],[D.HM]]*60</calculatedColumnFormula>
    </tableColumn>
    <tableColumn id="131" xr3:uid="{00000000-0010-0000-1400-000083000000}" name="nikpengawas" dataDxfId="224" dataCellStyle="Comma"/>
    <tableColumn id="129" xr3:uid="{00000000-0010-0000-1400-000081000000}" name="NamaPengawas" dataDxfId="223" dataCellStyle="Comma">
      <calculatedColumnFormula>IFERROR(_xlfn.XLOOKUP(InputData[[#This Row],[nikpengawas]],API_SupervisorNIK[NIK+Name],API_SupervisorNIK[employee_name]),"")</calculatedColumnFormula>
    </tableColumn>
    <tableColumn id="130" xr3:uid="{00000000-0010-0000-1400-000082000000}" name="HM Karyawan" dataDxfId="222" dataCellStyle="Comma"/>
    <tableColumn id="8" xr3:uid="{00000000-0010-0000-1400-000008000000}" name="OB Activity" dataDxfId="221" dataCellStyle="Comma"/>
    <tableColumn id="9" xr3:uid="{00000000-0010-0000-1400-000009000000}" name="Coal Activity" dataDxfId="220" dataCellStyle="Comma"/>
    <tableColumn id="12" xr3:uid="{00000000-0010-0000-1400-00000C000000}" name="Travel Unit (Exca)" dataDxfId="219" dataCellStyle="Comma"/>
    <tableColumn id="13" xr3:uid="{00000000-0010-0000-1400-00000D000000}" name="Travel Unit Exc Exca" dataDxfId="218" dataCellStyle="Comma"/>
    <tableColumn id="14" xr3:uid="{00000000-0010-0000-1400-00000E000000}" name="Preparing Front" dataDxfId="217" dataCellStyle="Comma"/>
    <tableColumn id="15" xr3:uid="{00000000-0010-0000-1400-00000F000000}" name="Preparing Disposal" dataDxfId="216" dataCellStyle="Comma"/>
    <tableColumn id="16" xr3:uid="{00000000-0010-0000-1400-000010000000}" name="Road Maintenance" dataDxfId="215" dataCellStyle="Comma"/>
    <tableColumn id="17" xr3:uid="{00000000-0010-0000-1400-000011000000}" name="Dozing" dataDxfId="214" dataCellStyle="Comma"/>
    <tableColumn id="18" xr3:uid="{00000000-0010-0000-1400-000012000000}" name="Spreading" dataDxfId="213" dataCellStyle="Comma"/>
    <tableColumn id="19" xr3:uid="{00000000-0010-0000-1400-000013000000}" name="Land Clearing dan Grubbing" dataDxfId="212" dataCellStyle="Comma"/>
    <tableColumn id="20" xr3:uid="{00000000-0010-0000-1400-000014000000}" name="Instalasi Pump" dataDxfId="211" dataCellStyle="Comma"/>
    <tableColumn id="21" xr3:uid="{00000000-0010-0000-1400-000015000000}" name="Pemindahan Lighting Plant" dataDxfId="210" dataCellStyle="Comma"/>
    <tableColumn id="22" xr3:uid="{00000000-0010-0000-1400-000016000000}" name="Pembuatan Parit" dataDxfId="209" dataCellStyle="Comma"/>
    <tableColumn id="23" xr3:uid="{00000000-0010-0000-1400-000017000000}" name="Pembuatan Tanggul" dataDxfId="208" dataCellStyle="Comma"/>
    <tableColumn id="24" xr3:uid="{00000000-0010-0000-1400-000018000000}" name="Scrab Setelah Hujan" dataDxfId="207" dataCellStyle="Comma"/>
    <tableColumn id="25" xr3:uid="{00000000-0010-0000-1400-000019000000}" name="General Expose" dataDxfId="206" dataCellStyle="Comma"/>
    <tableColumn id="26" xr3:uid="{00000000-0010-0000-1400-00001A000000}" name="Cleaning Coal" dataDxfId="205" dataCellStyle="Comma"/>
    <tableColumn id="28" xr3:uid="{00000000-0010-0000-1400-00001C000000}" name="General Support" dataDxfId="204" dataCellStyle="Comma"/>
    <tableColumn id="32" xr3:uid="{00000000-0010-0000-1400-000020000000}" name="P2H" dataDxfId="203" dataCellStyle="Comma"/>
    <tableColumn id="39" xr3:uid="{00000000-0010-0000-1400-000027000000}" name="CEK EXCA HARIAN" dataDxfId="202" dataCellStyle="Comma"/>
    <tableColumn id="40" xr3:uid="{00000000-0010-0000-1400-000028000000}" name="DAILY CHECK DT" dataDxfId="201" dataCellStyle="Comma"/>
    <tableColumn id="41" xr3:uid="{00000000-0010-0000-1400-000029000000}" name="PEMBERSIHAN UNIT" dataDxfId="200" dataCellStyle="Comma"/>
    <tableColumn id="42" xr3:uid="{00000000-0010-0000-1400-00002A000000}" name="P5M" dataDxfId="199" dataCellStyle="Comma"/>
    <tableColumn id="43" xr3:uid="{00000000-0010-0000-1400-00002B000000}" name="SAFETY TALK" dataDxfId="198" dataCellStyle="Comma"/>
    <tableColumn id="44" xr3:uid="{00000000-0010-0000-1400-00002C000000}" name="CEK SAFETY" dataDxfId="197" dataCellStyle="Comma"/>
    <tableColumn id="45" xr3:uid="{00000000-0010-0000-1400-00002D000000}" name="TUNGGU ENGINEERING" dataDxfId="196" dataCellStyle="Comma"/>
    <tableColumn id="46" xr3:uid="{00000000-0010-0000-1400-00002E000000}" name="TUNGGU BLASTING" dataDxfId="195" dataCellStyle="Comma"/>
    <tableColumn id="47" xr3:uid="{00000000-0010-0000-1400-00002F000000}" name="TUNGGU SURVEY" dataDxfId="194" dataCellStyle="Comma"/>
    <tableColumn id="48" xr3:uid="{00000000-0010-0000-1400-000030000000}" name="REFUELLING" dataDxfId="193" dataCellStyle="Comma"/>
    <tableColumn id="49" xr3:uid="{00000000-0010-0000-1400-000031000000}" name="TUNGGU REFUELLING" dataDxfId="192" dataCellStyle="Comma"/>
    <tableColumn id="50" xr3:uid="{00000000-0010-0000-1400-000032000000}" name="DEBU" dataDxfId="191" dataCellStyle="Comma"/>
    <tableColumn id="51" xr3:uid="{00000000-0010-0000-1400-000033000000}" name="SLIPPERY" dataDxfId="190" dataCellStyle="Comma"/>
    <tableColumn id="52" xr3:uid="{00000000-0010-0000-1400-000034000000}" name="FRIDAY PRAY" dataDxfId="189" dataCellStyle="Comma"/>
    <tableColumn id="53" xr3:uid="{00000000-0010-0000-1400-000035000000}" name="SHOLAT" dataDxfId="188" dataCellStyle="Comma"/>
    <tableColumn id="31" xr3:uid="{00000000-0010-0000-1400-00001F000000}" name="ISTIRAHAT" dataDxfId="187" dataCellStyle="Comma"/>
    <tableColumn id="55" xr3:uid="{00000000-0010-0000-1400-000037000000}" name="REQUEST STANDBY" dataDxfId="186" dataCellStyle="Comma"/>
    <tableColumn id="56" xr3:uid="{00000000-0010-0000-1400-000038000000}" name="TUNGGU OPERATOR" dataDxfId="185" dataCellStyle="Comma"/>
    <tableColumn id="54" xr3:uid="{00000000-0010-0000-1400-000036000000}" name="GANTI SHIFT" dataDxfId="184" dataCellStyle="Comma"/>
    <tableColumn id="138" xr3:uid="{1CA6BD75-06F5-4187-8CCD-B15A45BDF048}" name="OPERASI 1 SHIFT" dataDxfId="183" dataCellStyle="Comma"/>
    <tableColumn id="135" xr3:uid="{09443907-E30F-4EEB-9AB6-5A0509D0A7F6}" name="TRAVEL UNIT" dataDxfId="182" dataCellStyle="Comma"/>
    <tableColumn id="128" xr3:uid="{ECFF22C2-98A3-4421-A480-FBF8CAAEEA61}" name="TUNGGU UNIT" dataDxfId="181" dataCellStyle="Comma"/>
    <tableColumn id="140" xr3:uid="{2AA04502-0AC1-4D7B-8718-AA41907983A0}" name="PROBLEM TRANSPORTASI" dataDxfId="180" dataCellStyle="Comma"/>
    <tableColumn id="139" xr3:uid="{6EE86914-94B1-445C-A44A-0D74845A2B8F}" name="LAINNYA" dataDxfId="179" dataCellStyle="Comma"/>
    <tableColumn id="141" xr3:uid="{6A3E22FA-A218-44B3-8F41-A90B352399A0}" name="LACK OF HAULER" dataDxfId="178" dataCellStyle="Comma"/>
    <tableColumn id="115" xr3:uid="{2077F041-22B0-4A4D-8EE7-CFB90946CEB3}" name="LACK OFF SUPPORT" dataDxfId="177" dataCellStyle="Comma"/>
    <tableColumn id="58" xr3:uid="{00000000-0010-0000-1400-00003A000000}" name="HUJAN" dataDxfId="176" dataCellStyle="Comma"/>
    <tableColumn id="59" xr3:uid="{00000000-0010-0000-1400-00003B000000}" name="KABUT" dataDxfId="175" dataCellStyle="Comma"/>
    <tableColumn id="60" xr3:uid="{00000000-0010-0000-1400-00003C000000}" name="KEADAAN KAHAR" dataDxfId="174" dataCellStyle="Comma"/>
    <tableColumn id="61" xr3:uid="{00000000-0010-0000-1400-00003D000000}" name="PROBLEM KOMUNITAS" dataDxfId="173" dataCellStyle="Comma"/>
    <tableColumn id="62" xr3:uid="{00000000-0010-0000-1400-00003E000000}" name="PROBLEM COSTUMER" dataDxfId="172" dataCellStyle="Comma"/>
    <tableColumn id="63" xr3:uid="{00000000-0010-0000-1400-00003F000000}" name="SCHEDULE SERVICE" dataDxfId="171" dataCellStyle="Comma"/>
    <tableColumn id="64" xr3:uid="{00000000-0010-0000-1400-000040000000}" name="UNSCHEDULE BREAKDOWN" dataDxfId="170" dataCellStyle="Comma"/>
    <tableColumn id="65" xr3:uid="{00000000-0010-0000-1400-000041000000}" name="TYRE BREAKDOWN" dataDxfId="169" dataCellStyle="Comma"/>
    <tableColumn id="66" xr3:uid="{00000000-0010-0000-1400-000042000000}" name="INSTRUMEN BREAKDOWN" dataDxfId="168" dataCellStyle="Comma"/>
    <tableColumn id="67" xr3:uid="{00000000-0010-0000-1400-000043000000}" name="ACCIDENT BREAKDOWN" dataDxfId="167" dataCellStyle="Comma"/>
    <tableColumn id="116" xr3:uid="{00000000-0010-0000-1400-000074000000}" name="Working Hours" dataDxfId="166" dataCellStyle="Comma"/>
    <tableColumn id="69" xr3:uid="{00000000-0010-0000-1400-000045000000}" name="SP" dataDxfId="165" dataCellStyle="Comma"/>
    <tableColumn id="70" xr3:uid="{00000000-0010-0000-1400-000046000000}" name="DS" dataDxfId="164" dataCellStyle="Comma"/>
    <tableColumn id="71" xr3:uid="{00000000-0010-0000-1400-000047000000}" name="DOB" dataDxfId="163" dataCellStyle="Comma"/>
    <tableColumn id="72" xr3:uid="{00000000-0010-0000-1400-000048000000}" name="Mat.OB" dataDxfId="162" dataCellStyle="Comma"/>
    <tableColumn id="73" xr3:uid="{00000000-0010-0000-1400-000049000000}" name="Rit OB" dataDxfId="161" dataCellStyle="Comma"/>
    <tableColumn id="30" xr3:uid="{00000000-0010-0000-1400-00001E000000}" name="Rit Rehandling" dataDxfId="160" dataCellStyle="Comma"/>
    <tableColumn id="74" xr3:uid="{00000000-0010-0000-1400-00004A000000}" name="Vol OB" dataDxfId="159" dataCellStyle="Comma">
      <calculatedColumnFormula>SUMIF(API_CNUnit[text],InputData[[#This Row],[Code Number]],API_CNUnit[Capacity])*InputData[[#This Row],[Rit OB]]</calculatedColumnFormula>
    </tableColumn>
    <tableColumn id="107" xr3:uid="{00000000-0010-0000-1400-00006B000000}" name="Vol Rehandling" dataDxfId="158" dataCellStyle="Comma">
      <calculatedColumnFormula>SUMIF(API_CNUnit[text],InputData[[#This Row],[Code Number]],API_CNUnit[Capacity])*InputData[[#This Row],[Rit Rehandling]]</calculatedColumnFormula>
    </tableColumn>
    <tableColumn id="75" xr3:uid="{00000000-0010-0000-1400-00004B000000}" name="Distance" dataDxfId="157" dataCellStyle="Comma"/>
    <tableColumn id="76" xr3:uid="{00000000-0010-0000-1400-00004C000000}" name="Prod'ty OB" dataDxfId="156" dataCellStyle="Comma">
      <calculatedColumnFormula>IFERROR(InputData[[#This Row],[Vol OB]]/(InputData[[#This Row],[OB]]/60),0)</calculatedColumnFormula>
    </tableColumn>
    <tableColumn id="77" xr3:uid="{00000000-0010-0000-1400-00004D000000}" name="Vol*Dist OB" dataDxfId="155" dataCellStyle="Comma">
      <calculatedColumnFormula>InputData[[#This Row],[Vol OB]]*InputData[[#This Row],[Distance]]</calculatedColumnFormula>
    </tableColumn>
    <tableColumn id="120" xr3:uid="{00000000-0010-0000-1400-000078000000}" name="Production OB" dataDxfId="154" dataCellStyle="Comma"/>
    <tableColumn id="118" xr3:uid="{00000000-0010-0000-1400-000076000000}" name="SP2" dataDxfId="153" dataCellStyle="Comma"/>
    <tableColumn id="119" xr3:uid="{00000000-0010-0000-1400-000077000000}" name="DS3" dataDxfId="152" dataCellStyle="Comma"/>
    <tableColumn id="137" xr3:uid="{00000000-0010-0000-1400-000089000000}" name="DiggerCoal" dataDxfId="151" dataCellStyle="Comma"/>
    <tableColumn id="114" xr3:uid="{34A49723-1E75-4720-9911-3E70A532D029}" name="Mat.Coal" dataDxfId="150" dataCellStyle="Comma"/>
    <tableColumn id="78" xr3:uid="{00000000-0010-0000-1400-00004E000000}" name="Rit.Co.V" dataDxfId="149" dataCellStyle="Comma"/>
    <tableColumn id="79" xr3:uid="{00000000-0010-0000-1400-00004F000000}" name="Seam" dataDxfId="148" dataCellStyle="Comma"/>
    <tableColumn id="80" xr3:uid="{00000000-0010-0000-1400-000050000000}" name="Ton.Co.V" dataDxfId="147" dataCellStyle="Comma">
      <calculatedColumnFormula>IFERROR(SUMIF(API_CNUnit[text],InputData[[#This Row],[Code Number]],API_CNUnit[Capacity])*InputData[[#This Row],[Rit.Co.V]],0)</calculatedColumnFormula>
    </tableColumn>
    <tableColumn id="81" xr3:uid="{00000000-0010-0000-1400-000051000000}" name="Dist.Co.V" dataDxfId="146" dataCellStyle="Comma"/>
    <tableColumn id="82" xr3:uid="{00000000-0010-0000-1400-000052000000}" name="Prod.ty.V" dataDxfId="145" dataCellStyle="Comma">
      <calculatedColumnFormula>+IFERROR((60/InputData[[#This Row],[Coal Activity]])*(InputData[[#This Row],[Ton.Co.V]]),0)</calculatedColumnFormula>
    </tableColumn>
    <tableColumn id="83" xr3:uid="{00000000-0010-0000-1400-000053000000}" name="Ton.Dist.Co.V." dataDxfId="144" dataCellStyle="Comma">
      <calculatedColumnFormula>+InputData[[#This Row],[Ton.Co.V]]*InputData[[#This Row],[Dist.Co.V]]</calculatedColumnFormula>
    </tableColumn>
    <tableColumn id="29" xr3:uid="{00000000-0010-0000-1400-00001D000000}" name="Volume Coal" dataDxfId="143" dataCellStyle="Comma">
      <calculatedColumnFormula>IFERROR(InputData[[#This Row],[Ton.Co.V]]/1.3,0)</calculatedColumnFormula>
    </tableColumn>
    <tableColumn id="117" xr3:uid="{00000000-0010-0000-1400-000075000000}" name="Production Coal" dataDxfId="142" dataCellStyle="Comma"/>
    <tableColumn id="84" xr3:uid="{00000000-0010-0000-1400-000054000000}" name="HARD DIGGING " dataDxfId="141" dataCellStyle="Comma"/>
    <tableColumn id="85" xr3:uid="{00000000-0010-0000-1400-000055000000}" name="HARD DIGGING BLASTED " dataDxfId="140" dataCellStyle="Comma"/>
    <tableColumn id="86" xr3:uid="{00000000-0010-0000-1400-000056000000}" name="BOULDER " dataDxfId="139" dataCellStyle="Comma"/>
    <tableColumn id="87" xr3:uid="{00000000-0010-0000-1400-000057000000}" name="WAITING SURVEY " dataDxfId="138" dataCellStyle="Comma"/>
    <tableColumn id="88" xr3:uid="{00000000-0010-0000-1400-000058000000}" name="PREPARE FRONT " dataDxfId="137" dataCellStyle="Comma"/>
    <tableColumn id="89" xr3:uid="{00000000-0010-0000-1400-000059000000}" name="SOFT LOADING POINT " dataDxfId="136" dataCellStyle="Comma"/>
    <tableColumn id="90" xr3:uid="{00000000-0010-0000-1400-00005A000000}" name="WAITING SUPPORT FRONT " dataDxfId="135" dataCellStyle="Comma"/>
    <tableColumn id="91" xr3:uid="{00000000-0010-0000-1400-00005B000000}" name="TOP LOADING " dataDxfId="134" dataCellStyle="Comma"/>
    <tableColumn id="92" xr3:uid="{00000000-0010-0000-1400-00005C000000}" name="BACKLOADING" dataDxfId="133" dataCellStyle="Comma"/>
    <tableColumn id="93" xr3:uid="{00000000-0010-0000-1400-00005D000000}" name="DOUBLE BENCH " dataDxfId="132" dataCellStyle="Comma"/>
    <tableColumn id="94" xr3:uid="{00000000-0010-0000-1400-00005E000000}" name="FATIGUE CHECK " dataDxfId="131" dataCellStyle="Comma"/>
    <tableColumn id="95" xr3:uid="{00000000-0010-0000-1400-00005F000000}" name="NARROW  LOADING POINT" dataDxfId="130" dataCellStyle="Comma"/>
    <tableColumn id="96" xr3:uid="{00000000-0010-0000-1400-000060000000}" name="CROWDED ROAD " dataDxfId="129" dataCellStyle="Comma"/>
    <tableColumn id="97" xr3:uid="{00000000-0010-0000-1400-000061000000}" name="OVERGRADE ROAD" dataDxfId="128" dataCellStyle="Comma"/>
    <tableColumn id="98" xr3:uid="{00000000-0010-0000-1400-000062000000}" name="DAMAGED ROAD " dataDxfId="127" dataCellStyle="Comma"/>
    <tableColumn id="99" xr3:uid="{00000000-0010-0000-1400-000063000000}" name="NARROW ACCESS " dataDxfId="126" dataCellStyle="Comma"/>
    <tableColumn id="100" xr3:uid="{00000000-0010-0000-1400-000064000000}" name="DUSTY ROAD" dataDxfId="125" dataCellStyle="Comma"/>
    <tableColumn id="101" xr3:uid="{00000000-0010-0000-1400-000065000000}" name="SOFT DUMPING POINT " dataDxfId="124" dataCellStyle="Comma"/>
    <tableColumn id="102" xr3:uid="{00000000-0010-0000-1400-000066000000}" name="WAITING SUPPORT DISPOSAL " dataDxfId="123" dataCellStyle="Comma"/>
    <tableColumn id="134" xr3:uid="{00000000-0010-0000-1400-000086000000}" name="LIGHTING PROBLEM " dataDxfId="122" dataCellStyle="Comma"/>
    <tableColumn id="133" xr3:uid="{00000000-0010-0000-1400-000085000000}" name="NARROW DUMPING POINT " dataDxfId="121" dataCellStyle="Comma"/>
    <tableColumn id="68" xr3:uid="{00000000-0010-0000-1400-000044000000}" name="LESS HAULER" dataDxfId="120" dataCellStyle="Comma"/>
    <tableColumn id="57" xr3:uid="{00000000-0010-0000-1400-000039000000}" name="LESS SUPPORT" dataDxfId="119" dataCellStyle="Comma"/>
    <tableColumn id="103" xr3:uid="{00000000-0010-0000-1400-000067000000}" name="Problem Prod'ty" dataDxfId="118" dataCellStyle="Comma"/>
    <tableColumn id="11" xr3:uid="{00000000-0010-0000-1400-00000B000000}" name="Jumlah Pengisian" dataDxfId="117" dataCellStyle="Comma"/>
    <tableColumn id="27" xr3:uid="{00000000-0010-0000-1400-00001B000000}" name="Fuel" dataDxfId="116" dataCellStyle="Comma"/>
  </tableColumns>
  <tableStyleInfo name="TableStyleMedium2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nputplan" displayName="Inputplan" ref="A13:BE25" totalsRowShown="0" headerRowDxfId="115" dataDxfId="114">
  <autoFilter ref="A13:BE25" xr:uid="{00000000-0009-0000-0100-000017000000}"/>
  <tableColumns count="57">
    <tableColumn id="1" xr3:uid="{00000000-0010-0000-1500-000001000000}" name="Accounting Period" dataDxfId="113">
      <calculatedColumnFormula>IFERROR(VLOOKUP(TEXT(Inputplan[[#This Row],[Date]],"yyyy-mm"),API_AccountingPeriod[text]:API_AccountingPeriod[Month],2,0),"Please Input Accounting Period")</calculatedColumnFormula>
    </tableColumn>
    <tableColumn id="2" xr3:uid="{00000000-0010-0000-1500-000002000000}" name="Weekly" dataDxfId="112">
      <calculatedColumnFormula>"Week_" &amp;WEEKNUM(Inputplan[[#This Row],[Date]])</calculatedColumnFormula>
    </tableColumn>
    <tableColumn id="3" xr3:uid="{00000000-0010-0000-1500-000003000000}" name="Date" dataDxfId="111"/>
    <tableColumn id="4" xr3:uid="{00000000-0010-0000-1500-000004000000}" name="Code Number" dataDxfId="110"/>
    <tableColumn id="5" xr3:uid="{00000000-0010-0000-1500-000005000000}" name="Type Unit" dataDxfId="109">
      <calculatedColumnFormula>IFERROR(VLOOKUP(Inputplan[[#This Row],[Code Number]],API_CNUnit[text]:API_CNUnit[type],3,0),0)</calculatedColumnFormula>
    </tableColumn>
    <tableColumn id="6" xr3:uid="{00000000-0010-0000-1500-000006000000}" name="Shift" dataDxfId="108"/>
    <tableColumn id="12" xr3:uid="{00000000-0010-0000-1500-00000C000000}" name="Hour" dataDxfId="107">
      <calculatedColumnFormula>IFERROR(VLOOKUP(Inputplan[[#This Row],[Shift]],API_Shift[shift_name]:API_Shift[Start-End],6,0),"")</calculatedColumnFormula>
    </tableColumn>
    <tableColumn id="185" xr3:uid="{00000000-0010-0000-1500-0000B9000000}" name="Location Pit" dataDxfId="106" dataCellStyle="Comma"/>
    <tableColumn id="177" xr3:uid="{00000000-0010-0000-1500-0000B1000000}" name="Overburden" dataDxfId="105"/>
    <tableColumn id="174" xr3:uid="{00000000-0010-0000-1500-0000AE000000}" name="Coal" dataDxfId="104"/>
    <tableColumn id="7" xr3:uid="{00000000-0010-0000-1500-000007000000}" name="Distance OB" dataDxfId="103"/>
    <tableColumn id="8" xr3:uid="{00000000-0010-0000-1500-000008000000}" name="Distance Coal" dataDxfId="102"/>
    <tableColumn id="184" xr3:uid="{00000000-0010-0000-1500-0000B8000000}" name="Prod'ty OB" dataDxfId="101">
      <calculatedColumnFormula>IFERROR(Inputplan[[#This Row],[Overburden]]/(Inputplan[[#This Row],[WH]]),0)</calculatedColumnFormula>
    </tableColumn>
    <tableColumn id="178" xr3:uid="{00000000-0010-0000-1500-0000B2000000}" name="Prod'ty Coal" dataDxfId="100" dataCellStyle="Comma">
      <calculatedColumnFormula>IFERROR(Inputplan[[#This Row],[Coal]]/(Inputplan[[#This Row],[WH]]/60),0)</calculatedColumnFormula>
    </tableColumn>
    <tableColumn id="138" xr3:uid="{00000000-0010-0000-1500-00008A000000}" name="MOHH" dataDxfId="99" dataCellStyle="Comma">
      <calculatedColumnFormula>+IF(Inputplan[[#This Row],[Code Number]]="","",12)</calculatedColumnFormula>
    </tableColumn>
    <tableColumn id="168" xr3:uid="{00000000-0010-0000-1500-0000A8000000}" name="Delay" dataDxfId="98" dataCellStyle="Comma">
      <calculatedColumnFormula>SUM(Inputplan[[#This Row],[P2H]:[LACK OFF SUPPORT]])/60</calculatedColumnFormula>
    </tableColumn>
    <tableColumn id="169" xr3:uid="{00000000-0010-0000-1500-0000A9000000}" name="Idle" dataDxfId="97" dataCellStyle="Comma">
      <calculatedColumnFormula>SUM(Inputplan[[#This Row],[HUJAN]:[PROBLEM COSTUMER]])/60</calculatedColumnFormula>
    </tableColumn>
    <tableColumn id="170" xr3:uid="{00000000-0010-0000-1500-0000AA000000}" name="B/D" dataDxfId="96" dataCellStyle="Comma">
      <calculatedColumnFormula>SUM(Inputplan[[#This Row],[SCHEDULE SERVICE]:[ACCIDENT BREAKDOWN]])/60</calculatedColumnFormula>
    </tableColumn>
    <tableColumn id="171" xr3:uid="{00000000-0010-0000-1500-0000AB000000}" name="WH" dataDxfId="95" dataCellStyle="Comma">
      <calculatedColumnFormula>IFERROR(Inputplan[[#This Row],[MOHH]]-Inputplan[[#This Row],[Delay]]-Inputplan[[#This Row],[Idle]]-Inputplan[[#This Row],[B/D]],0)</calculatedColumnFormula>
    </tableColumn>
    <tableColumn id="140" xr3:uid="{00000000-0010-0000-1500-00008C000000}" name="P2H" dataDxfId="94"/>
    <tableColumn id="141" xr3:uid="{00000000-0010-0000-1500-00008D000000}" name="CEK EXCA HARIAN" dataDxfId="93"/>
    <tableColumn id="142" xr3:uid="{00000000-0010-0000-1500-00008E000000}" name="DAILY CHECK DT" dataDxfId="92"/>
    <tableColumn id="143" xr3:uid="{00000000-0010-0000-1500-00008F000000}" name="PEMBERSIHAN UNIT" dataDxfId="91"/>
    <tableColumn id="144" xr3:uid="{00000000-0010-0000-1500-000090000000}" name="P5M" dataDxfId="90"/>
    <tableColumn id="145" xr3:uid="{00000000-0010-0000-1500-000091000000}" name="SAFETY TALK" dataDxfId="89"/>
    <tableColumn id="146" xr3:uid="{00000000-0010-0000-1500-000092000000}" name="CEK SAFETY" dataDxfId="88"/>
    <tableColumn id="147" xr3:uid="{00000000-0010-0000-1500-000093000000}" name="TUNGGU ENGINEERING" dataDxfId="87"/>
    <tableColumn id="148" xr3:uid="{00000000-0010-0000-1500-000094000000}" name="TUNGGU BLASTING" dataDxfId="86"/>
    <tableColumn id="149" xr3:uid="{00000000-0010-0000-1500-000095000000}" name="TUNGGU SURVEY" dataDxfId="85"/>
    <tableColumn id="150" xr3:uid="{00000000-0010-0000-1500-000096000000}" name="REFUELLING" dataDxfId="84"/>
    <tableColumn id="151" xr3:uid="{00000000-0010-0000-1500-000097000000}" name="TUNGGU REFUELLING" dataDxfId="83"/>
    <tableColumn id="152" xr3:uid="{00000000-0010-0000-1500-000098000000}" name="DEBU" dataDxfId="82"/>
    <tableColumn id="153" xr3:uid="{00000000-0010-0000-1500-000099000000}" name="SLIPPERY" dataDxfId="81"/>
    <tableColumn id="154" xr3:uid="{00000000-0010-0000-1500-00009A000000}" name="FRIDAY PRAY" dataDxfId="80"/>
    <tableColumn id="155" xr3:uid="{00000000-0010-0000-1500-00009B000000}" name="SHOLAT" dataDxfId="79"/>
    <tableColumn id="13" xr3:uid="{00000000-0010-0000-1500-00000D000000}" name="ISTIRAHAT" dataDxfId="78"/>
    <tableColumn id="14" xr3:uid="{00000000-0010-0000-1500-00000E000000}" name="REQUEST STANDBY" dataDxfId="77"/>
    <tableColumn id="16" xr3:uid="{00000000-0010-0000-1500-000010000000}" name="TUNGGU OPERATOR" dataDxfId="76"/>
    <tableColumn id="20" xr3:uid="{952D563B-8E4D-424F-A54A-728AA5E7D4F7}" name="GANTI SHIFT" dataDxfId="75"/>
    <tableColumn id="21" xr3:uid="{025EE6EB-EAAD-48EF-A5AB-9C1656E2B164}" name="OPERASI 1 SHIFT" dataDxfId="74"/>
    <tableColumn id="22" xr3:uid="{1DE57F11-B953-4948-893B-083A93B85145}" name="TRAVEL UNIT" dataDxfId="73"/>
    <tableColumn id="23" xr3:uid="{27CDB702-E842-4168-9874-7DCB52B114AA}" name="TUNGGU UNIT" dataDxfId="72"/>
    <tableColumn id="19" xr3:uid="{6D13A83F-98BA-4392-A4B6-DC943500972D}" name="PROBLEM TRANSPORTASI" dataDxfId="71"/>
    <tableColumn id="18" xr3:uid="{491DE78D-45D9-4674-BC13-0F9B917F883F}" name="LAINNYA" dataDxfId="70"/>
    <tableColumn id="17" xr3:uid="{99500A85-129B-44C7-B401-341067C1E94F}" name="LACK OF HAULER" dataDxfId="69"/>
    <tableColumn id="15" xr3:uid="{00000000-0010-0000-1500-00000F000000}" name="LACK OFF SUPPORT" dataDxfId="68"/>
    <tableColumn id="156" xr3:uid="{00000000-0010-0000-1500-00009C000000}" name="HUJAN" dataDxfId="67"/>
    <tableColumn id="157" xr3:uid="{00000000-0010-0000-1500-00009D000000}" name="KABUT" dataDxfId="66"/>
    <tableColumn id="158" xr3:uid="{00000000-0010-0000-1500-00009E000000}" name="KEADAAN KAHAR" dataDxfId="65"/>
    <tableColumn id="159" xr3:uid="{00000000-0010-0000-1500-00009F000000}" name="PROBLEM KOMUNITAS" dataDxfId="64"/>
    <tableColumn id="160" xr3:uid="{00000000-0010-0000-1500-0000A0000000}" name="PROBLEM COSTUMER" dataDxfId="63"/>
    <tableColumn id="179" xr3:uid="{00000000-0010-0000-1500-0000B3000000}" name="SCHEDULE SERVICE" dataDxfId="62"/>
    <tableColumn id="180" xr3:uid="{00000000-0010-0000-1500-0000B4000000}" name="UNSCHEDULE BREAKDOWN" dataDxfId="61"/>
    <tableColumn id="181" xr3:uid="{00000000-0010-0000-1500-0000B5000000}" name="TYRE BREAKDOWN" dataDxfId="60"/>
    <tableColumn id="182" xr3:uid="{00000000-0010-0000-1500-0000B6000000}" name="INSTRUMEN BREAKDOWN" dataDxfId="59"/>
    <tableColumn id="183" xr3:uid="{00000000-0010-0000-1500-0000B7000000}" name="ACCIDENT BREAKDOWN" dataDxfId="58"/>
    <tableColumn id="9" xr3:uid="{00000000-0010-0000-1500-000009000000}" name="R06" dataDxfId="57"/>
  </tableColumns>
  <tableStyleInfo name="TableStyleMedium2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E62BE87-9E2E-4DE4-856B-E8C5AC5E3F72}" name="PlanValidation" displayName="PlanValidation" ref="A1:D2" tableType="queryTable" insertRow="1" totalsRowShown="0">
  <autoFilter ref="A1:D2" xr:uid="{DE62BE87-9E2E-4DE4-856B-E8C5AC5E3F72}"/>
  <tableColumns count="4">
    <tableColumn id="1" xr3:uid="{02CCA683-A22A-4518-AE60-19593A05D49F}" uniqueName="1" name="DATE" queryTableFieldId="1" dataDxfId="56"/>
    <tableColumn id="2" xr3:uid="{5727FD7F-67CE-4799-BD22-24A035F9AFF0}" uniqueName="2" name="Row Ke" queryTableFieldId="2"/>
    <tableColumn id="3" xr3:uid="{0226F81E-4464-4639-A299-8B125C365730}" uniqueName="3" name="Sum Event Hourly" queryTableFieldId="3"/>
    <tableColumn id="4" xr3:uid="{C00F64C2-C1FB-4807-A143-262ADB30B944}" uniqueName="4" name="More Than 720 minutes" queryTableFieldId="5"/>
  </tableColumns>
  <tableStyleInfo name="TableStyleDark3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0DE56FE-7F12-49D9-8504-2888E907E8B0}" name="InputValidationActualProgress" displayName="InputValidationActualProgress" ref="A1:D2" tableType="queryTable" insertRow="1" totalsRowShown="0" headerRowDxfId="55">
  <autoFilter ref="A1:D2" xr:uid="{D0DE56FE-7F12-49D9-8504-2888E907E8B0}"/>
  <tableColumns count="4">
    <tableColumn id="1" xr3:uid="{2A750D7A-6515-4F27-8EC2-44DD7DF76693}" uniqueName="1" name="DATE" queryTableFieldId="1" dataDxfId="54"/>
    <tableColumn id="5" xr3:uid="{969DCC85-4F20-472E-88B7-8E493D561B78}" uniqueName="5" name="Row Ke" queryTableFieldId="5"/>
    <tableColumn id="3" xr3:uid="{B1C41BE9-9125-4C0E-9119-D10793827476}" uniqueName="3" name="Sum Event Hourly" queryTableFieldId="3"/>
    <tableColumn id="4" xr3:uid="{64C60773-8FD9-44B8-88C9-BE40748B4830}" uniqueName="4" name="More Than 60 minutes" queryTableFieldId="4"/>
  </tableColumns>
  <tableStyleInfo name="TableStyleLight10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04D315A-BD26-47D3-B19E-A073146A8A98}" name="InputValidationActivity" displayName="InputValidationActivity" ref="G1:J2" tableType="queryTable" insertRow="1" totalsRowShown="0">
  <autoFilter ref="G1:J2" xr:uid="{204D315A-BD26-47D3-B19E-A073146A8A98}"/>
  <tableColumns count="4">
    <tableColumn id="1" xr3:uid="{9D4C664E-9198-4811-A700-D8C138CF6D9B}" uniqueName="1" name="Date+CodeNumber" queryTableFieldId="1"/>
    <tableColumn id="2" xr3:uid="{955271CD-8EC8-4BDB-B2CD-8731A84A7146}" uniqueName="2" name="Data.1" queryTableFieldId="2" dataDxfId="53"/>
    <tableColumn id="3" xr3:uid="{3B0EA1E2-63C3-4B15-B46E-B90E46F1097B}" uniqueName="3" name="Data.2" queryTableFieldId="3" dataDxfId="52"/>
    <tableColumn id="4" xr3:uid="{7AC7E9D2-7731-4136-AA18-5D119C49006A}" uniqueName="4" name="Need Revise" queryTableFieldId="4"/>
  </tableColumns>
  <tableStyleInfo name="TableStyleLight10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D831E4F1-14AB-4428-B1D1-73286DE76A45}" name="InputDatenShiftless12Row" displayName="InputDatenShiftless12Row" ref="O1:R2" tableType="queryTable" insertRow="1" totalsRowShown="0">
  <autoFilter ref="O1:R2" xr:uid="{D831E4F1-14AB-4428-B1D1-73286DE76A45}"/>
  <tableColumns count="4">
    <tableColumn id="1" xr3:uid="{92927646-9D8E-4CB9-BE12-33126C2D95AB}" uniqueName="1" name="DatenShift" queryTableFieldId="1"/>
    <tableColumn id="2" xr3:uid="{14AF12F8-4EC6-4371-AAE2-EEB6D25A8B90}" uniqueName="2" name="Count Shift per Date" queryTableFieldId="2"/>
    <tableColumn id="3" xr3:uid="{5FCFD0FD-47A4-4201-9B30-779ADEDFCB74}" uniqueName="3" name="Date" queryTableFieldId="3" dataDxfId="51"/>
    <tableColumn id="4" xr3:uid="{9441F4A3-335F-4EC4-86EA-FBEC699C2631}" uniqueName="4" name="Shift" queryTableFieldId="4" dataDxfId="50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CC1D291-F55B-4387-BB98-B526982ED734}" name="InputData2Web" displayName="InputData2Web" ref="A1:Z13" tableType="queryTable" totalsRowShown="0">
  <autoFilter ref="A1:Z13" xr:uid="{CCC1D291-F55B-4387-BB98-B526982ED734}"/>
  <tableColumns count="26">
    <tableColumn id="1" xr3:uid="{B5336365-EDF4-47CA-B39F-0E73E369F9D6}" uniqueName="1" name="timesheet_date" queryTableFieldId="1" dataDxfId="49"/>
    <tableColumn id="2" xr3:uid="{6B540490-6825-49A2-A9B8-427EB2D1CEC8}" uniqueName="2" name="shift_id" queryTableFieldId="2" dataDxfId="48"/>
    <tableColumn id="3" xr3:uid="{BAD3E190-5262-4FCD-BB5E-12E42841369C}" uniqueName="3" name="activity_id" queryTableFieldId="3" dataDxfId="47"/>
    <tableColumn id="4" xr3:uid="{4D61FD24-58E1-4770-B7A0-81A1CB8F969B}" uniqueName="4" name="cn_unit_id" queryTableFieldId="4"/>
    <tableColumn id="5" xr3:uid="{B3C38600-CF72-4E82-913E-89C32AB44629}" uniqueName="5" name="operator_id" queryTableFieldId="5" dataDxfId="46"/>
    <tableColumn id="6" xr3:uid="{422C15B3-4B40-490A-A5CA-5D0811923FD0}" uniqueName="6" name="supervisor_id" queryTableFieldId="6" dataDxfId="45"/>
    <tableColumn id="7" xr3:uid="{9CB8956D-B8FC-415C-B9A8-F46C5D033293}" uniqueName="7" name="hour_start" queryTableFieldId="7"/>
    <tableColumn id="8" xr3:uid="{77B477E6-28D5-4501-9938-B095895B7267}" uniqueName="8" name="hour_end" queryTableFieldId="8"/>
    <tableColumn id="9" xr3:uid="{A7D2DB4F-E9CE-4975-99E3-B7CB14B750BB}" uniqueName="9" name="pit_id" queryTableFieldId="9" dataDxfId="44"/>
    <tableColumn id="11" xr3:uid="{6496BB77-F6EC-464B-BE74-FD5B3224C989}" uniqueName="11" name="source_id" queryTableFieldId="11" dataDxfId="43"/>
    <tableColumn id="12" xr3:uid="{9F95EA9D-6318-40E4-8503-ED1BAEC56C3B}" uniqueName="12" name="destination_id" queryTableFieldId="12" dataDxfId="42"/>
    <tableColumn id="10" xr3:uid="{D6B4B9D8-38EC-4902-A0B0-73C7691754A1}" uniqueName="10" name="loader_id" queryTableFieldId="10"/>
    <tableColumn id="13" xr3:uid="{0BF35221-4BD2-4511-A47E-0AE496F23A89}" uniqueName="13" name="material_id" queryTableFieldId="13" dataDxfId="41"/>
    <tableColumn id="14" xr3:uid="{4059B39C-1C9D-44EC-9C0E-9A9EB8A54057}" uniqueName="14" name="distance" queryTableFieldId="14" dataDxfId="40"/>
    <tableColumn id="15" xr3:uid="{8F5EBAFD-6851-49C7-879D-FF2C72DCB564}" uniqueName="15" name="ritase" queryTableFieldId="15" dataDxfId="39"/>
    <tableColumn id="16" xr3:uid="{C5A723D3-BF6E-435B-AF30-4DBCA36E0B1D}" uniqueName="16" name="volume" queryTableFieldId="16" dataDxfId="38"/>
    <tableColumn id="19" xr3:uid="{61F7FCB5-5AE9-48FA-A2F9-596EE6B5B5D9}" uniqueName="19" name="rit_rehandling" queryTableFieldId="45"/>
    <tableColumn id="22" xr3:uid="{BE978D68-762E-4B23-A562-3E218B92F4E9}" uniqueName="22" name="vol_rehandling" queryTableFieldId="46"/>
    <tableColumn id="24" xr3:uid="{C4A91DBD-2F69-4CB1-B270-D900AAB893EA}" uniqueName="24" name="productivity" queryTableFieldId="34" dataDxfId="37"/>
    <tableColumn id="23" xr3:uid="{CFECD579-E6C8-4498-AB6F-17638A06745E}" uniqueName="23" name="vol_distance" queryTableFieldId="47"/>
    <tableColumn id="25" xr3:uid="{4BD98D96-E62C-4D12-B199-24C6948D9EF2}" uniqueName="25" name="vol_density" queryTableFieldId="48"/>
    <tableColumn id="17" xr3:uid="{B251F418-19BD-49D4-8AC6-FD517F74AD7D}" uniqueName="17" name="refuelling_quantity" queryTableFieldId="17"/>
    <tableColumn id="18" xr3:uid="{6A0CE4BD-7A09-4D22-8F22-A832834E0151}" uniqueName="18" name="classification" queryTableFieldId="18" dataDxfId="36"/>
    <tableColumn id="20" xr3:uid="{81BE4AA3-99D4-451C-BBF4-4FFC26E8A623}" uniqueName="20" name="Event" queryTableFieldId="20" dataDxfId="35"/>
    <tableColumn id="21" xr3:uid="{B1E6BBBB-3E93-4835-80FB-6D5B284F9787}" uniqueName="21" name="ProductivityProblem" queryTableFieldId="21" dataDxfId="34"/>
    <tableColumn id="26" xr3:uid="{821806F7-8309-4199-A277-9CC3C7811D38}" uniqueName="26" name="Web_AccountingPeriod.value" queryTableFieldId="53"/>
  </tableColumns>
  <tableStyleInfo name="TableStyleMedium6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BE45C07-AB34-411F-8486-9C501AB0847D}" name="PlanProductivity" displayName="PlanProductivity" ref="A1:I13" tableType="queryTable" totalsRowShown="0">
  <autoFilter ref="A1:I13" xr:uid="{4BE45C07-AB34-411F-8486-9C501AB0847D}"/>
  <tableColumns count="9">
    <tableColumn id="1" xr3:uid="{20576C84-4211-4327-9D52-C5FE47FF734B}" uniqueName="1" name="timesheet_date" queryTableFieldId="1"/>
    <tableColumn id="2" xr3:uid="{173C647A-7A05-45F2-ADBA-D111B76262D5}" uniqueName="2" name="cn_unit_id" queryTableFieldId="2"/>
    <tableColumn id="10" xr3:uid="{CE1246C8-C009-4EEF-8149-F56059EECA34}" uniqueName="10" name="shift_id" queryTableFieldId="14" dataDxfId="33"/>
    <tableColumn id="4" xr3:uid="{4A20C046-4470-4F64-B0FC-FEA9F140396E}" uniqueName="4" name="pit_id" queryTableFieldId="4" dataDxfId="32"/>
    <tableColumn id="6" xr3:uid="{5399BC05-0BB3-4D72-9257-22084688F21B}" uniqueName="6" name="volume" queryTableFieldId="6"/>
    <tableColumn id="7" xr3:uid="{ED1233E0-C37E-43FA-AB1B-5584E34081EB}" uniqueName="7" name="distance" queryTableFieldId="7"/>
    <tableColumn id="9" xr3:uid="{62214B42-B930-4578-9701-E63DFBF1E084}" uniqueName="9" name="Event" queryTableFieldId="9" dataDxfId="31"/>
    <tableColumn id="3" xr3:uid="{0DDE5EEB-C2C8-41B5-B87A-867A85AB3BD6}" uniqueName="3" name="Web_AccountingPeriod.value" queryTableFieldId="16"/>
    <tableColumn id="5" xr3:uid="{FA19D61D-FE43-449E-8E1B-4C3466953480}" uniqueName="5" name="Activity_HardCode" queryTableFieldId="18"/>
  </tableColumns>
  <tableStyleInfo name="TableStyleLight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Analyst_Input_2" displayName="Analyst_Input_2" ref="A1:KC121" totalsRowShown="0">
  <autoFilter ref="A1:KC121" xr:uid="{00000000-0009-0000-0100-000020000000}"/>
  <tableColumns count="289">
    <tableColumn id="1" xr3:uid="{00000000-0010-0000-2100-000001000000}" name="Month" dataDxfId="30"/>
    <tableColumn id="2" xr3:uid="{00000000-0010-0000-2100-000002000000}" name="Weekly" dataDxfId="29"/>
    <tableColumn id="3" xr3:uid="{00000000-0010-0000-2100-000003000000}" name="Date" dataDxfId="28"/>
    <tableColumn id="4" xr3:uid="{00000000-0010-0000-2100-000004000000}" name="Code Number" dataDxfId="27"/>
    <tableColumn id="5" xr3:uid="{00000000-0010-0000-2100-000005000000}" name="Type Unit" dataDxfId="26"/>
    <tableColumn id="6" xr3:uid="{00000000-0010-0000-2100-000006000000}" name="Spek Unit" dataDxfId="25"/>
    <tableColumn id="7" xr3:uid="{00000000-0010-0000-2100-000007000000}" name="Shift" dataDxfId="24"/>
    <tableColumn id="8" xr3:uid="{00000000-0010-0000-2100-000008000000}" name="Plan PA"/>
    <tableColumn id="9" xr3:uid="{00000000-0010-0000-2100-000009000000}" name="Plan UA"/>
    <tableColumn id="10" xr3:uid="{00000000-0010-0000-2100-00000A000000}" name="MOHH"/>
    <tableColumn id="11" xr3:uid="{00000000-0010-0000-2100-00000B000000}" name="Plan OB Activity"/>
    <tableColumn id="12" xr3:uid="{00000000-0010-0000-2100-00000C000000}" name="Plan Coal Activity"/>
    <tableColumn id="13" xr3:uid="{00000000-0010-0000-2100-00000D000000}" name="Plan Supporting Activities"/>
    <tableColumn id="14" xr3:uid="{00000000-0010-0000-2100-00000E000000}" name="Plan Delay"/>
    <tableColumn id="15" xr3:uid="{00000000-0010-0000-2100-00000F000000}" name="Plan Idle"/>
    <tableColumn id="16" xr3:uid="{00000000-0010-0000-2100-000010000000}" name="Plan Breakdown"/>
    <tableColumn id="17" xr3:uid="{00000000-0010-0000-2100-000011000000}" name="Gain And Loss Calculation ?" dataDxfId="23"/>
    <tableColumn id="18" xr3:uid="{00000000-0010-0000-2100-000012000000}" name="Plan Produksi OB"/>
    <tableColumn id="19" xr3:uid="{00000000-0010-0000-2100-000013000000}" name="Plan Produksi Coal"/>
    <tableColumn id="20" xr3:uid="{00000000-0010-0000-2100-000014000000}" name="Plan Distance OB"/>
    <tableColumn id="21" xr3:uid="{00000000-0010-0000-2100-000015000000}" name="Plan distance Coal"/>
    <tableColumn id="22" xr3:uid="{00000000-0010-0000-2100-000016000000}" name="Plan Prod'ty OB"/>
    <tableColumn id="23" xr3:uid="{00000000-0010-0000-2100-000017000000}" name="Plan Prod'ty Coal"/>
    <tableColumn id="24" xr3:uid="{00000000-0010-0000-2100-000018000000}" name="Calculated Plan Summary"/>
    <tableColumn id="25" xr3:uid="{00000000-0010-0000-2100-000019000000}" name="Plan OB PIT TEMPUDO 4"/>
    <tableColumn id="26" xr3:uid="{00000000-0010-0000-2100-00001A000000}" name="Plan OB PIT TEMPUDO 5"/>
    <tableColumn id="27" xr3:uid="{00000000-0010-0000-2100-00001B000000}" name="Plan OB PIT TEMPUDO 6"/>
    <tableColumn id="28" xr3:uid="{00000000-0010-0000-2100-00001C000000}" name="Plan OB PIT TEMPUDO 7"/>
    <tableColumn id="29" xr3:uid="{00000000-0010-0000-2100-00001D000000}" name="Plan OB PIT TEMPUDO 8"/>
    <tableColumn id="30" xr3:uid="{00000000-0010-0000-2100-00001E000000}" name="Plan OB PIT TEMPUDO 9"/>
    <tableColumn id="31" xr3:uid="{00000000-0010-0000-2100-00001F000000}" name="Plan OB PIT TEMPUDO 10"/>
    <tableColumn id="32" xr3:uid="{00000000-0010-0000-2100-000020000000}" name="Plan Coal PIT TEMPUDO 4"/>
    <tableColumn id="33" xr3:uid="{00000000-0010-0000-2100-000021000000}" name="Plan Coal PIT TEMPUDO 5"/>
    <tableColumn id="34" xr3:uid="{00000000-0010-0000-2100-000022000000}" name="Plan Coal PIT TEMPUDO 6"/>
    <tableColumn id="35" xr3:uid="{00000000-0010-0000-2100-000023000000}" name="Plan Coal PIT TEMPUDO 7"/>
    <tableColumn id="36" xr3:uid="{00000000-0010-0000-2100-000024000000}" name="Plan Coal PIT TEMPUDO 8"/>
    <tableColumn id="37" xr3:uid="{00000000-0010-0000-2100-000025000000}" name="Plan Coal PIT TEMPUDO 9"/>
    <tableColumn id="38" xr3:uid="{00000000-0010-0000-2100-000026000000}" name="Plan Coal PIT TEMPUDO 10"/>
    <tableColumn id="39" xr3:uid="{00000000-0010-0000-2100-000027000000}" name="Plan Dist OB PIT TEMPUDO 4"/>
    <tableColumn id="40" xr3:uid="{00000000-0010-0000-2100-000028000000}" name="Plan Dist OB PIT TEMPUDO 5"/>
    <tableColumn id="41" xr3:uid="{00000000-0010-0000-2100-000029000000}" name="Plan Dist OB PIT TEMPUDO 6"/>
    <tableColumn id="42" xr3:uid="{00000000-0010-0000-2100-00002A000000}" name="Plan Dist OB PIT TEMPUDO 7"/>
    <tableColumn id="43" xr3:uid="{00000000-0010-0000-2100-00002B000000}" name="Plan Dist OB PIT TEMPUDO 8"/>
    <tableColumn id="44" xr3:uid="{00000000-0010-0000-2100-00002C000000}" name="Plan Dist OB PIT TEMPUDO 9"/>
    <tableColumn id="45" xr3:uid="{00000000-0010-0000-2100-00002D000000}" name="Plan Dist OB PIT TEMPUDO 10"/>
    <tableColumn id="46" xr3:uid="{00000000-0010-0000-2100-00002E000000}" name="Plan Dist Coal PIT TEMPUDO 4"/>
    <tableColumn id="47" xr3:uid="{00000000-0010-0000-2100-00002F000000}" name="Plan Dist Coal PIT TEMPUDO 5"/>
    <tableColumn id="48" xr3:uid="{00000000-0010-0000-2100-000030000000}" name="Plan Dist Coal PIT TEMPUDO 6"/>
    <tableColumn id="49" xr3:uid="{00000000-0010-0000-2100-000031000000}" name="Plan Dist Coal PIT TEMPUDO 7"/>
    <tableColumn id="50" xr3:uid="{00000000-0010-0000-2100-000032000000}" name="Plan Dist Coal PIT TEMPUDO 8"/>
    <tableColumn id="51" xr3:uid="{00000000-0010-0000-2100-000033000000}" name="Plan Dist Coal PIT TEMPUDO 9"/>
    <tableColumn id="52" xr3:uid="{00000000-0010-0000-2100-000034000000}" name="Plan Dist Coal PIT TEMPUDO 10"/>
    <tableColumn id="53" xr3:uid="{00000000-0010-0000-2100-000035000000}" name="Calculated Plan By Pit"/>
    <tableColumn id="54" xr3:uid="{00000000-0010-0000-2100-000036000000}" name="Plan All WH"/>
    <tableColumn id="55" xr3:uid="{00000000-0010-0000-2100-000037000000}" name="Plan OB Activity2"/>
    <tableColumn id="56" xr3:uid="{00000000-0010-0000-2100-000038000000}" name="Plan Coal Activity3"/>
    <tableColumn id="57" xr3:uid="{00000000-0010-0000-2100-000039000000}" name="Plan Travel Unit (Exca)"/>
    <tableColumn id="58" xr3:uid="{00000000-0010-0000-2100-00003A000000}" name="Plan Travel Unit Exc Exca"/>
    <tableColumn id="59" xr3:uid="{00000000-0010-0000-2100-00003B000000}" name="Plan Preparing Front"/>
    <tableColumn id="60" xr3:uid="{00000000-0010-0000-2100-00003C000000}" name="Plan Preparing Disposal"/>
    <tableColumn id="61" xr3:uid="{00000000-0010-0000-2100-00003D000000}" name="Plan Road Maintenance"/>
    <tableColumn id="62" xr3:uid="{00000000-0010-0000-2100-00003E000000}" name="Plan Dozing"/>
    <tableColumn id="63" xr3:uid="{00000000-0010-0000-2100-00003F000000}" name="Plan Spreading"/>
    <tableColumn id="64" xr3:uid="{00000000-0010-0000-2100-000040000000}" name="Plan Land Clearing dan Grubbing"/>
    <tableColumn id="65" xr3:uid="{00000000-0010-0000-2100-000041000000}" name="Plan Instalasi Pump"/>
    <tableColumn id="66" xr3:uid="{00000000-0010-0000-2100-000042000000}" name="Plan Pemindahan Lighting Plant"/>
    <tableColumn id="67" xr3:uid="{00000000-0010-0000-2100-000043000000}" name="Plan Pembuatan Parit"/>
    <tableColumn id="68" xr3:uid="{00000000-0010-0000-2100-000044000000}" name="Plan Pembuatan Tanggul"/>
    <tableColumn id="69" xr3:uid="{00000000-0010-0000-2100-000045000000}" name="Plan Scrab Setelah Hujan"/>
    <tableColumn id="70" xr3:uid="{00000000-0010-0000-2100-000046000000}" name="Plan General Expose"/>
    <tableColumn id="71" xr3:uid="{00000000-0010-0000-2100-000047000000}" name="Plan Cleaning Coal"/>
    <tableColumn id="72" xr3:uid="{00000000-0010-0000-2100-000048000000}" name="Plan General Support"/>
    <tableColumn id="73" xr3:uid="{00000000-0010-0000-2100-000049000000}" name="Plan P2H"/>
    <tableColumn id="74" xr3:uid="{00000000-0010-0000-2100-00004A000000}" name="Plan REFUELLING DAN DAILY CHECK DT"/>
    <tableColumn id="75" xr3:uid="{00000000-0010-0000-2100-00004B000000}" name="Plan TRAVEL UNIT"/>
    <tableColumn id="76" xr3:uid="{00000000-0010-0000-2100-00004C000000}" name="Plan TUNGGU UNIT"/>
    <tableColumn id="77" xr3:uid="{00000000-0010-0000-2100-00004D000000}" name="Plan TUNGGU ENGINEERING"/>
    <tableColumn id="78" xr3:uid="{00000000-0010-0000-2100-00004E000000}" name="Plan TUNGGU BLASTING"/>
    <tableColumn id="79" xr3:uid="{00000000-0010-0000-2100-00004F000000}" name="Plan PEMBERSIHAN UNIT"/>
    <tableColumn id="80" xr3:uid="{00000000-0010-0000-2100-000050000000}" name="Plan ISTIRAHAT"/>
    <tableColumn id="81" xr3:uid="{00000000-0010-0000-2100-000051000000}" name="Plan CEK SAFETY"/>
    <tableColumn id="82" xr3:uid="{00000000-0010-0000-2100-000052000000}" name="Plan REQUEST STANDBY"/>
    <tableColumn id="83" xr3:uid="{00000000-0010-0000-2100-000053000000}" name="Plan TUNGGU OPERATOR"/>
    <tableColumn id="84" xr3:uid="{00000000-0010-0000-2100-000054000000}" name="Plan GANTI SHIFT"/>
    <tableColumn id="85" xr3:uid="{00000000-0010-0000-2100-000055000000}" name="Plan DEBU"/>
    <tableColumn id="86" xr3:uid="{00000000-0010-0000-2100-000056000000}" name="Plan SHOLAT"/>
    <tableColumn id="87" xr3:uid="{00000000-0010-0000-2100-000057000000}" name="Plan CEK EXCA HARIAN"/>
    <tableColumn id="88" xr3:uid="{00000000-0010-0000-2100-000058000000}" name="Plan SLIPPERY"/>
    <tableColumn id="89" xr3:uid="{00000000-0010-0000-2100-000059000000}" name="Plan HUJAN"/>
    <tableColumn id="90" xr3:uid="{00000000-0010-0000-2100-00005A000000}" name="Plan KABUT"/>
    <tableColumn id="91" xr3:uid="{00000000-0010-0000-2100-00005B000000}" name="Plan KEADAAN KAHAR"/>
    <tableColumn id="92" xr3:uid="{00000000-0010-0000-2100-00005C000000}" name="Plan PROBLEM KOMUNITAS"/>
    <tableColumn id="93" xr3:uid="{00000000-0010-0000-2100-00005D000000}" name="Plan PROBLEM COSTUMER"/>
    <tableColumn id="94" xr3:uid="{00000000-0010-0000-2100-00005E000000}" name="Plan SCHEDULE SERVICE"/>
    <tableColumn id="95" xr3:uid="{00000000-0010-0000-2100-00005F000000}" name="Plan UNSCHEDULE BREAKDOWN"/>
    <tableColumn id="96" xr3:uid="{00000000-0010-0000-2100-000060000000}" name="Plan TYRE BREAKDOWN"/>
    <tableColumn id="97" xr3:uid="{00000000-0010-0000-2100-000061000000}" name="Plan INSTRUMEN BREAKDOWN"/>
    <tableColumn id="98" xr3:uid="{00000000-0010-0000-2100-000062000000}" name="Plan ACCIDENT BREAKDOWN"/>
    <tableColumn id="99" xr3:uid="{00000000-0010-0000-2100-000063000000}" name="Actual PA"/>
    <tableColumn id="100" xr3:uid="{00000000-0010-0000-2100-000064000000}" name="Actual UA"/>
    <tableColumn id="101" xr3:uid="{00000000-0010-0000-2100-000065000000}" name="Actual UA For OB Activity"/>
    <tableColumn id="102" xr3:uid="{00000000-0010-0000-2100-000066000000}" name="Actual UA For Coal Activity"/>
    <tableColumn id="103" xr3:uid="{00000000-0010-0000-2100-000067000000}" name="Actual UA For Supporting Activity"/>
    <tableColumn id="104" xr3:uid="{00000000-0010-0000-2100-000068000000}" name="Actual OB Activity"/>
    <tableColumn id="105" xr3:uid="{00000000-0010-0000-2100-000069000000}" name="Actual Coal Activity"/>
    <tableColumn id="106" xr3:uid="{00000000-0010-0000-2100-00006A000000}" name="Actual Supporting Activities"/>
    <tableColumn id="107" xr3:uid="{00000000-0010-0000-2100-00006B000000}" name="Actual Delay"/>
    <tableColumn id="108" xr3:uid="{00000000-0010-0000-2100-00006C000000}" name="Actual Idle"/>
    <tableColumn id="109" xr3:uid="{00000000-0010-0000-2100-00006D000000}" name="Actual Breakdown"/>
    <tableColumn id="110" xr3:uid="{00000000-0010-0000-2100-00006E000000}" name="Actual OB Activity2"/>
    <tableColumn id="111" xr3:uid="{00000000-0010-0000-2100-00006F000000}" name="Actual Coal Activity3"/>
    <tableColumn id="112" xr3:uid="{00000000-0010-0000-2100-000070000000}" name="Actual Travel Unit (Exca)"/>
    <tableColumn id="113" xr3:uid="{00000000-0010-0000-2100-000071000000}" name="Actual Travel Unit Exc Exca"/>
    <tableColumn id="114" xr3:uid="{00000000-0010-0000-2100-000072000000}" name="Actual Preparing Front"/>
    <tableColumn id="115" xr3:uid="{00000000-0010-0000-2100-000073000000}" name="Actual Preparing Disposal"/>
    <tableColumn id="116" xr3:uid="{00000000-0010-0000-2100-000074000000}" name="Actual Road Maintenance"/>
    <tableColumn id="117" xr3:uid="{00000000-0010-0000-2100-000075000000}" name="Actual Dozing"/>
    <tableColumn id="118" xr3:uid="{00000000-0010-0000-2100-000076000000}" name="Actual Spreading"/>
    <tableColumn id="119" xr3:uid="{00000000-0010-0000-2100-000077000000}" name="Actual Land Clearing dan Grubbing"/>
    <tableColumn id="120" xr3:uid="{00000000-0010-0000-2100-000078000000}" name="Actual Instalasi Pump"/>
    <tableColumn id="121" xr3:uid="{00000000-0010-0000-2100-000079000000}" name="Actual Pemindahan Lighting Plant"/>
    <tableColumn id="122" xr3:uid="{00000000-0010-0000-2100-00007A000000}" name="Actual Pembuatan Parit"/>
    <tableColumn id="123" xr3:uid="{00000000-0010-0000-2100-00007B000000}" name="Actual Pembuatan Tanggul"/>
    <tableColumn id="124" xr3:uid="{00000000-0010-0000-2100-00007C000000}" name="Actual Scrab Setelah Hujan"/>
    <tableColumn id="125" xr3:uid="{00000000-0010-0000-2100-00007D000000}" name="Actual General Expose"/>
    <tableColumn id="126" xr3:uid="{00000000-0010-0000-2100-00007E000000}" name="Actual Cleaning Coal"/>
    <tableColumn id="127" xr3:uid="{00000000-0010-0000-2100-00007F000000}" name="Actual General Support"/>
    <tableColumn id="128" xr3:uid="{00000000-0010-0000-2100-000080000000}" name="Actual P2H"/>
    <tableColumn id="129" xr3:uid="{00000000-0010-0000-2100-000081000000}" name="Actual REFUELLING DAN DAILY CHECK DT"/>
    <tableColumn id="130" xr3:uid="{00000000-0010-0000-2100-000082000000}" name="Actual TRAVEL UNIT"/>
    <tableColumn id="131" xr3:uid="{00000000-0010-0000-2100-000083000000}" name="Actual TUNGGU UNIT"/>
    <tableColumn id="132" xr3:uid="{00000000-0010-0000-2100-000084000000}" name="Actual TUNGGU ENGINEERING"/>
    <tableColumn id="133" xr3:uid="{00000000-0010-0000-2100-000085000000}" name="Actual TUNGGU BLASTING"/>
    <tableColumn id="134" xr3:uid="{00000000-0010-0000-2100-000086000000}" name="Actual PEMBERSIHAN UNIT"/>
    <tableColumn id="135" xr3:uid="{00000000-0010-0000-2100-000087000000}" name="Actual ISTIRAHAT"/>
    <tableColumn id="136" xr3:uid="{00000000-0010-0000-2100-000088000000}" name="Actual CEK SAFETY"/>
    <tableColumn id="137" xr3:uid="{00000000-0010-0000-2100-000089000000}" name="Actual REQUEST STANDBY"/>
    <tableColumn id="138" xr3:uid="{00000000-0010-0000-2100-00008A000000}" name="Actual TUNGGU OPERATOR"/>
    <tableColumn id="139" xr3:uid="{00000000-0010-0000-2100-00008B000000}" name="Actual GANTI SHIFT"/>
    <tableColumn id="140" xr3:uid="{00000000-0010-0000-2100-00008C000000}" name="Actual DEBU"/>
    <tableColumn id="141" xr3:uid="{00000000-0010-0000-2100-00008D000000}" name="Actual SHOLAT"/>
    <tableColumn id="142" xr3:uid="{00000000-0010-0000-2100-00008E000000}" name="Actual CEK EXCA HARIAN"/>
    <tableColumn id="143" xr3:uid="{00000000-0010-0000-2100-00008F000000}" name="Actual SLIPPERY"/>
    <tableColumn id="144" xr3:uid="{00000000-0010-0000-2100-000090000000}" name="Actual HUJAN"/>
    <tableColumn id="145" xr3:uid="{00000000-0010-0000-2100-000091000000}" name="Actual KABUT"/>
    <tableColumn id="146" xr3:uid="{00000000-0010-0000-2100-000092000000}" name="Actual KEADAAN KAHAR"/>
    <tableColumn id="147" xr3:uid="{00000000-0010-0000-2100-000093000000}" name="Actual PROBLEM KOMUNITAS"/>
    <tableColumn id="148" xr3:uid="{00000000-0010-0000-2100-000094000000}" name="Actual PROBLEM COSTUMER"/>
    <tableColumn id="149" xr3:uid="{00000000-0010-0000-2100-000095000000}" name="Actual SCHEDULE SERVICE"/>
    <tableColumn id="150" xr3:uid="{00000000-0010-0000-2100-000096000000}" name="Actual UNSCHEDULE BREAKDOWN"/>
    <tableColumn id="151" xr3:uid="{00000000-0010-0000-2100-000097000000}" name="Actual TYRE BREAKDOWN"/>
    <tableColumn id="152" xr3:uid="{00000000-0010-0000-2100-000098000000}" name="Actual INSTRUMEN BREAKDOWN"/>
    <tableColumn id="153" xr3:uid="{00000000-0010-0000-2100-000099000000}" name="Actual ACCIDENT BREAKDOWN"/>
    <tableColumn id="154" xr3:uid="{00000000-0010-0000-2100-00009A000000}" name="Actual Top Soil"/>
    <tableColumn id="155" xr3:uid="{00000000-0010-0000-2100-00009B000000}" name="Actual OB Blasting"/>
    <tableColumn id="156" xr3:uid="{00000000-0010-0000-2100-00009C000000}" name="Actual OB Freedig"/>
    <tableColumn id="157" xr3:uid="{00000000-0010-0000-2100-00009D000000}" name="Actual OB Ripping"/>
    <tableColumn id="158" xr3:uid="{00000000-0010-0000-2100-00009E000000}" name="Actual Mud"/>
    <tableColumn id="159" xr3:uid="{00000000-0010-0000-2100-00009F000000}" name="Actual Total Produksi OB"/>
    <tableColumn id="160" xr3:uid="{00000000-0010-0000-2100-0000A0000000}" name="Actual OB PIT TEMPUDO 4"/>
    <tableColumn id="161" xr3:uid="{00000000-0010-0000-2100-0000A1000000}" name="Actual OB PIT TEMPUDO 5"/>
    <tableColumn id="162" xr3:uid="{00000000-0010-0000-2100-0000A2000000}" name="Actual OB PIT TEMPUDO 6"/>
    <tableColumn id="163" xr3:uid="{00000000-0010-0000-2100-0000A3000000}" name="Actual OB PIT TEMPUDO 7"/>
    <tableColumn id="164" xr3:uid="{00000000-0010-0000-2100-0000A4000000}" name="Actual OB PIT TEMPUDO 8"/>
    <tableColumn id="165" xr3:uid="{00000000-0010-0000-2100-0000A5000000}" name="Actual OB PIT TEMPUDO 9"/>
    <tableColumn id="166" xr3:uid="{00000000-0010-0000-2100-0000A6000000}" name="Actual OB PIT TEMPUDO 10"/>
    <tableColumn id="167" xr3:uid="{00000000-0010-0000-2100-0000A7000000}" name="Actual prod'ty All Material"/>
    <tableColumn id="168" xr3:uid="{00000000-0010-0000-2100-0000A8000000}" name="Actual Distance TS"/>
    <tableColumn id="169" xr3:uid="{00000000-0010-0000-2100-0000A9000000}" name="Actual Distance OBB"/>
    <tableColumn id="170" xr3:uid="{00000000-0010-0000-2100-0000AA000000}" name="Actual Distance OBF"/>
    <tableColumn id="171" xr3:uid="{00000000-0010-0000-2100-0000AB000000}" name="Actual Distance OBR"/>
    <tableColumn id="172" xr3:uid="{00000000-0010-0000-2100-0000AC000000}" name="Actual Distance MD"/>
    <tableColumn id="173" xr3:uid="{00000000-0010-0000-2100-0000AD000000}" name="Actual Distance Total"/>
    <tableColumn id="174" xr3:uid="{00000000-0010-0000-2100-0000AE000000}" name="Actual Vol * Dist TS"/>
    <tableColumn id="175" xr3:uid="{00000000-0010-0000-2100-0000AF000000}" name="Actual Vol * Dist OBB"/>
    <tableColumn id="176" xr3:uid="{00000000-0010-0000-2100-0000B0000000}" name="Actual Vol * Dist OBF"/>
    <tableColumn id="177" xr3:uid="{00000000-0010-0000-2100-0000B1000000}" name="Actual Vol * Dist OBR"/>
    <tableColumn id="178" xr3:uid="{00000000-0010-0000-2100-0000B2000000}" name="Actual Vol * Dist MD"/>
    <tableColumn id="179" xr3:uid="{00000000-0010-0000-2100-0000B3000000}" name="Actual Vol * Dist Total"/>
    <tableColumn id="180" xr3:uid="{00000000-0010-0000-2100-0000B4000000}" name="Actual Distance PIT TEMPUDO 4"/>
    <tableColumn id="181" xr3:uid="{00000000-0010-0000-2100-0000B5000000}" name="Actual Distance PIT TEMPUDO 5"/>
    <tableColumn id="182" xr3:uid="{00000000-0010-0000-2100-0000B6000000}" name="Actual Distance PIT TEMPUDO 6"/>
    <tableColumn id="183" xr3:uid="{00000000-0010-0000-2100-0000B7000000}" name="Actual Distance PIT TEMPUDO 7"/>
    <tableColumn id="184" xr3:uid="{00000000-0010-0000-2100-0000B8000000}" name="Actual Distance PIT TEMPUDO 8"/>
    <tableColumn id="185" xr3:uid="{00000000-0010-0000-2100-0000B9000000}" name="Actual Distance PIT TEMPUDO 9"/>
    <tableColumn id="186" xr3:uid="{00000000-0010-0000-2100-0000BA000000}" name="Actual Distance PIT TEMPUDO 10"/>
    <tableColumn id="187" xr3:uid="{00000000-0010-0000-2100-0000BB000000}" name="Actual Vol * Dist PIT TEMPUDO 4"/>
    <tableColumn id="188" xr3:uid="{00000000-0010-0000-2100-0000BC000000}" name="Actual Vol * Dist PIT TEMPUDO 5"/>
    <tableColumn id="189" xr3:uid="{00000000-0010-0000-2100-0000BD000000}" name="Actual Vol * Dist PIT TEMPUDO 6"/>
    <tableColumn id="190" xr3:uid="{00000000-0010-0000-2100-0000BE000000}" name="Actual Vol * Dist PIT TEMPUDO 7"/>
    <tableColumn id="191" xr3:uid="{00000000-0010-0000-2100-0000BF000000}" name="Actual Vol * Dist PIT TEMPUDO 8"/>
    <tableColumn id="192" xr3:uid="{00000000-0010-0000-2100-0000C0000000}" name="Actual Vol * Dist PIT TEMPUDO 9"/>
    <tableColumn id="193" xr3:uid="{00000000-0010-0000-2100-0000C1000000}" name="Actual Vol * Dist PIT TEMPUDO 10"/>
    <tableColumn id="194" xr3:uid="{00000000-0010-0000-2100-0000C2000000}" name="Actual Produksi SEAM 27 AL"/>
    <tableColumn id="195" xr3:uid="{00000000-0010-0000-2100-0000C3000000}" name="Actual Produksi SEAM 27 AU"/>
    <tableColumn id="196" xr3:uid="{00000000-0010-0000-2100-0000C4000000}" name="Actual Produksi SEAM 27 L"/>
    <tableColumn id="197" xr3:uid="{00000000-0010-0000-2100-0000C5000000}" name="Actual Produksi SEAM 27 U "/>
    <tableColumn id="198" xr3:uid="{00000000-0010-0000-2100-0000C6000000}" name="Actual Produksi SEAM 27 "/>
    <tableColumn id="199" xr3:uid="{00000000-0010-0000-2100-0000C7000000}" name="Actual Produksi SEAM 28 AL "/>
    <tableColumn id="200" xr3:uid="{00000000-0010-0000-2100-0000C8000000}" name="Actual Produksi SEAM 28 AU"/>
    <tableColumn id="201" xr3:uid="{00000000-0010-0000-2100-0000C9000000}" name="Actual Produksi SEAM 28"/>
    <tableColumn id="202" xr3:uid="{00000000-0010-0000-2100-0000CA000000}" name="Actual Produksi SEAM 29"/>
    <tableColumn id="203" xr3:uid="{00000000-0010-0000-2100-0000CB000000}" name="Actual Produksi SEAM 19"/>
    <tableColumn id="204" xr3:uid="{00000000-0010-0000-2100-0000CC000000}" name="Actual Produksi SEAM 20 A"/>
    <tableColumn id="205" xr3:uid="{00000000-0010-0000-2100-0000CD000000}" name="Actual Produksi SEAM 20 L"/>
    <tableColumn id="206" xr3:uid="{00000000-0010-0000-2100-0000CE000000}" name="Actual Produksi SEAM 20 U"/>
    <tableColumn id="207" xr3:uid="{00000000-0010-0000-2100-0000CF000000}" name="Actual Produksi SEAM 20 "/>
    <tableColumn id="208" xr3:uid="{00000000-0010-0000-2100-0000D0000000}" name="Actual Produksi SEAM 21"/>
    <tableColumn id="209" xr3:uid="{00000000-0010-0000-2100-0000D1000000}" name="Actual Produksi SEAM 22"/>
    <tableColumn id="210" xr3:uid="{00000000-0010-0000-2100-0000D2000000}" name="Actual Total Produksi Coal"/>
    <tableColumn id="211" xr3:uid="{00000000-0010-0000-2100-0000D3000000}" name="Actual Prod'ty All Seam"/>
    <tableColumn id="212" xr3:uid="{00000000-0010-0000-2100-0000D4000000}" name="Actual Distance Produksi SEAM 27 AL"/>
    <tableColumn id="213" xr3:uid="{00000000-0010-0000-2100-0000D5000000}" name="Actual Distance Produksi SEAM 27 AU"/>
    <tableColumn id="214" xr3:uid="{00000000-0010-0000-2100-0000D6000000}" name="Actual Distance Produksi SEAM 27 L"/>
    <tableColumn id="215" xr3:uid="{00000000-0010-0000-2100-0000D7000000}" name="Actual Distance Produksi SEAM 27 U "/>
    <tableColumn id="216" xr3:uid="{00000000-0010-0000-2100-0000D8000000}" name="Actual Distance Produksi SEAM 27 "/>
    <tableColumn id="217" xr3:uid="{00000000-0010-0000-2100-0000D9000000}" name="Actual Distance Produksi SEAM 28 AL "/>
    <tableColumn id="218" xr3:uid="{00000000-0010-0000-2100-0000DA000000}" name="Actual Distance Produksi SEAM 28 AU"/>
    <tableColumn id="219" xr3:uid="{00000000-0010-0000-2100-0000DB000000}" name="Actual Distance Produksi SEAM 28"/>
    <tableColumn id="220" xr3:uid="{00000000-0010-0000-2100-0000DC000000}" name="Actual Distance Produksi SEAM 29"/>
    <tableColumn id="221" xr3:uid="{00000000-0010-0000-2100-0000DD000000}" name="Actual Distance Produksi SEAM 19"/>
    <tableColumn id="222" xr3:uid="{00000000-0010-0000-2100-0000DE000000}" name="Actual Distance Produksi SEAM 20 A"/>
    <tableColumn id="223" xr3:uid="{00000000-0010-0000-2100-0000DF000000}" name="Actual Distance Produksi SEAM 20 L"/>
    <tableColumn id="224" xr3:uid="{00000000-0010-0000-2100-0000E0000000}" name="Actual Distance Produksi SEAM 20 U"/>
    <tableColumn id="225" xr3:uid="{00000000-0010-0000-2100-0000E1000000}" name="Actual Distance Produksi SEAM 20 "/>
    <tableColumn id="226" xr3:uid="{00000000-0010-0000-2100-0000E2000000}" name="Actual Distance Produksi SEAM 21"/>
    <tableColumn id="227" xr3:uid="{00000000-0010-0000-2100-0000E3000000}" name="Actual Distance Produksi SEAM 22"/>
    <tableColumn id="228" xr3:uid="{00000000-0010-0000-2100-0000E4000000}" name="Actual Distance Total Produksi Coal"/>
    <tableColumn id="229" xr3:uid="{00000000-0010-0000-2100-0000E5000000}" name="Actual Ton * DIstance Produksi SEAM 27 AL"/>
    <tableColumn id="230" xr3:uid="{00000000-0010-0000-2100-0000E6000000}" name="Actual Ton * DIstance Produksi SEAM 27 AU"/>
    <tableColumn id="231" xr3:uid="{00000000-0010-0000-2100-0000E7000000}" name="Actual Ton * DIstance Produksi SEAM 27 L"/>
    <tableColumn id="232" xr3:uid="{00000000-0010-0000-2100-0000E8000000}" name="Actual Ton * DIstance Produksi SEAM 27 U "/>
    <tableColumn id="233" xr3:uid="{00000000-0010-0000-2100-0000E9000000}" name="Actual Ton * DIstance Produksi SEAM 27 "/>
    <tableColumn id="234" xr3:uid="{00000000-0010-0000-2100-0000EA000000}" name="Actual Ton * DIstance Produksi SEAM 28 AL "/>
    <tableColumn id="235" xr3:uid="{00000000-0010-0000-2100-0000EB000000}" name="Actual Ton * DIstance Produksi SEAM 28 AU"/>
    <tableColumn id="236" xr3:uid="{00000000-0010-0000-2100-0000EC000000}" name="Actual Ton * DIstance Produksi SEAM 28"/>
    <tableColumn id="237" xr3:uid="{00000000-0010-0000-2100-0000ED000000}" name="Actual Ton * DIstance Produksi SEAM 29"/>
    <tableColumn id="238" xr3:uid="{00000000-0010-0000-2100-0000EE000000}" name="Actual Ton * DIstance Produksi SEAM 19"/>
    <tableColumn id="239" xr3:uid="{00000000-0010-0000-2100-0000EF000000}" name="Actual Ton * DIstance Produksi SEAM 20 A"/>
    <tableColumn id="240" xr3:uid="{00000000-0010-0000-2100-0000F0000000}" name="Actual Ton * DIstance Produksi SEAM 20 L"/>
    <tableColumn id="241" xr3:uid="{00000000-0010-0000-2100-0000F1000000}" name="Actual Ton * DIstance Produksi SEAM 20 U"/>
    <tableColumn id="242" xr3:uid="{00000000-0010-0000-2100-0000F2000000}" name="Actual Ton * DIstance Produksi SEAM 20 "/>
    <tableColumn id="243" xr3:uid="{00000000-0010-0000-2100-0000F3000000}" name="Actual Ton * DIstance Produksi SEAM 21"/>
    <tableColumn id="244" xr3:uid="{00000000-0010-0000-2100-0000F4000000}" name="Actual Ton * DIstance Produksi SEAM 22"/>
    <tableColumn id="245" xr3:uid="{00000000-0010-0000-2100-0000F5000000}" name="Actual Ton * DIstance Total Produksi Coal"/>
    <tableColumn id="246" xr3:uid="{00000000-0010-0000-2100-0000F6000000}" name="Actual Coal PIT TEMPUDO 4"/>
    <tableColumn id="247" xr3:uid="{00000000-0010-0000-2100-0000F7000000}" name="Actual Coal PIT TEMPUDO 5"/>
    <tableColumn id="248" xr3:uid="{00000000-0010-0000-2100-0000F8000000}" name="Actual Coal PIT TEMPUDO 6"/>
    <tableColumn id="249" xr3:uid="{00000000-0010-0000-2100-0000F9000000}" name="Actual Coal PIT TEMPUDO 7"/>
    <tableColumn id="250" xr3:uid="{00000000-0010-0000-2100-0000FA000000}" name="Actual Coal PIT TEMPUDO 8"/>
    <tableColumn id="251" xr3:uid="{00000000-0010-0000-2100-0000FB000000}" name="Actual Coal PIT TEMPUDO 9"/>
    <tableColumn id="252" xr3:uid="{00000000-0010-0000-2100-0000FC000000}" name="Actual Coal PIT TEMPUDO 10"/>
    <tableColumn id="253" xr3:uid="{00000000-0010-0000-2100-0000FD000000}" name="Actual Distance Coal PIT TEMPUDO 4"/>
    <tableColumn id="254" xr3:uid="{00000000-0010-0000-2100-0000FE000000}" name="Actual Distance Coal PIT TEMPUDO 5"/>
    <tableColumn id="255" xr3:uid="{00000000-0010-0000-2100-0000FF000000}" name="Actual Distance Coal PIT TEMPUDO 6"/>
    <tableColumn id="256" xr3:uid="{00000000-0010-0000-2100-000000010000}" name="Actual Distance Coal PIT TEMPUDO 7"/>
    <tableColumn id="257" xr3:uid="{00000000-0010-0000-2100-000001010000}" name="Actual Distance Coal PIT TEMPUDO 8"/>
    <tableColumn id="258" xr3:uid="{00000000-0010-0000-2100-000002010000}" name="Actual Distance Coal PIT TEMPUDO 9"/>
    <tableColumn id="259" xr3:uid="{00000000-0010-0000-2100-000003010000}" name="Actual Distance Coal PIT TEMPUDO 10"/>
    <tableColumn id="260" xr3:uid="{00000000-0010-0000-2100-000004010000}" name="Actual Ton * Dist Coal PIT TEMPUDO 4"/>
    <tableColumn id="261" xr3:uid="{00000000-0010-0000-2100-000005010000}" name="Actual Ton * Dist Coal PIT TEMPUDO 5"/>
    <tableColumn id="262" xr3:uid="{00000000-0010-0000-2100-000006010000}" name="Actual Ton * Dist Coal PIT TEMPUDO 6"/>
    <tableColumn id="263" xr3:uid="{00000000-0010-0000-2100-000007010000}" name="Actual Ton * Dist Coal PIT TEMPUDO 7"/>
    <tableColumn id="264" xr3:uid="{00000000-0010-0000-2100-000008010000}" name="Actual Ton * Dist Coal PIT TEMPUDO 8"/>
    <tableColumn id="265" xr3:uid="{00000000-0010-0000-2100-000009010000}" name="Actual Ton * Dist Coal PIT TEMPUDO 9"/>
    <tableColumn id="266" xr3:uid="{00000000-0010-0000-2100-00000A010000}" name="Actual Ton * Dist Coal PIT TEMPUDO 10"/>
    <tableColumn id="267" xr3:uid="{00000000-0010-0000-2100-00000B010000}" name="HARD DIGGING "/>
    <tableColumn id="268" xr3:uid="{00000000-0010-0000-2100-00000C010000}" name="HARD DIGGING BLASTED "/>
    <tableColumn id="269" xr3:uid="{00000000-0010-0000-2100-00000D010000}" name="BOULDER "/>
    <tableColumn id="270" xr3:uid="{00000000-0010-0000-2100-00000E010000}" name="WAITING SURVEY "/>
    <tableColumn id="271" xr3:uid="{00000000-0010-0000-2100-00000F010000}" name="PREPARE FRONT "/>
    <tableColumn id="272" xr3:uid="{00000000-0010-0000-2100-000010010000}" name="SOFT LOADING POINT "/>
    <tableColumn id="273" xr3:uid="{00000000-0010-0000-2100-000011010000}" name="WAITING SUPPORT FRONT "/>
    <tableColumn id="274" xr3:uid="{00000000-0010-0000-2100-000012010000}" name="TOP LOADING "/>
    <tableColumn id="275" xr3:uid="{00000000-0010-0000-2100-000013010000}" name="BACKLOADING"/>
    <tableColumn id="276" xr3:uid="{00000000-0010-0000-2100-000014010000}" name="DOUBLE BENCH "/>
    <tableColumn id="277" xr3:uid="{00000000-0010-0000-2100-000015010000}" name="FATIGUE CHECK "/>
    <tableColumn id="278" xr3:uid="{00000000-0010-0000-2100-000016010000}" name="NARROW  LOADING POINT"/>
    <tableColumn id="279" xr3:uid="{00000000-0010-0000-2100-000017010000}" name="CROWDED ROAD "/>
    <tableColumn id="280" xr3:uid="{00000000-0010-0000-2100-000018010000}" name="OVERGRADE ROAD"/>
    <tableColumn id="281" xr3:uid="{00000000-0010-0000-2100-000019010000}" name="DAMAGED ROAD "/>
    <tableColumn id="282" xr3:uid="{00000000-0010-0000-2100-00001A010000}" name="NARROW ACCESS "/>
    <tableColumn id="283" xr3:uid="{00000000-0010-0000-2100-00001B010000}" name="DUSTY ROAD"/>
    <tableColumn id="284" xr3:uid="{00000000-0010-0000-2100-00001C010000}" name="SOFT DUMPING POINT "/>
    <tableColumn id="285" xr3:uid="{00000000-0010-0000-2100-00001D010000}" name="WAITING SUPPORT DISPOSAL "/>
    <tableColumn id="286" xr3:uid="{00000000-0010-0000-2100-00001E010000}" name="LIGHTING PROBLEM "/>
    <tableColumn id="287" xr3:uid="{00000000-0010-0000-2100-00001F010000}" name="NARROW DUMPING POINT "/>
    <tableColumn id="288" xr3:uid="{00000000-0010-0000-2100-000020010000}" name="Issued Fuel to Unit"/>
    <tableColumn id="289" xr3:uid="{00000000-0010-0000-2100-000021010000}" name="Fuel Burn Rates Based On Issued and WH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InputData_2" displayName="InputData_2" ref="A1:DT145" totalsRowShown="0">
  <autoFilter ref="A1:DT145" xr:uid="{00000000-0009-0000-0100-000021000000}"/>
  <tableColumns count="124">
    <tableColumn id="1" xr3:uid="{00000000-0010-0000-2200-000001000000}" name="Month" dataDxfId="22"/>
    <tableColumn id="2" xr3:uid="{00000000-0010-0000-2200-000002000000}" name="Weekly" dataDxfId="21"/>
    <tableColumn id="3" xr3:uid="{00000000-0010-0000-2200-000003000000}" name="Date" dataDxfId="20"/>
    <tableColumn id="4" xr3:uid="{00000000-0010-0000-2200-000004000000}" name="Code Number" dataDxfId="19"/>
    <tableColumn id="5" xr3:uid="{00000000-0010-0000-2200-000005000000}" name="Type Unit" dataDxfId="18"/>
    <tableColumn id="6" xr3:uid="{00000000-0010-0000-2200-000006000000}" name="Shift" dataDxfId="17"/>
    <tableColumn id="7" xr3:uid="{00000000-0010-0000-2200-000007000000}" name="Code" dataDxfId="16"/>
    <tableColumn id="8" xr3:uid="{00000000-0010-0000-2200-000008000000}" name="Hour" dataDxfId="15"/>
    <tableColumn id="9" xr3:uid="{00000000-0010-0000-2200-000009000000}" name="OB"/>
    <tableColumn id="10" xr3:uid="{00000000-0010-0000-2200-00000A000000}" name="WCO"/>
    <tableColumn id="11" xr3:uid="{00000000-0010-0000-2200-00000B000000}" name="WNP"/>
    <tableColumn id="12" xr3:uid="{00000000-0010-0000-2200-00000C000000}" name="SD"/>
    <tableColumn id="13" xr3:uid="{00000000-0010-0000-2200-00000D000000}" name="SI"/>
    <tableColumn id="14" xr3:uid="{00000000-0010-0000-2200-00000E000000}" name="BD"/>
    <tableColumn id="15" xr3:uid="{00000000-0010-0000-2200-00000F000000}" name="Column5"/>
    <tableColumn id="16" xr3:uid="{00000000-0010-0000-2200-000010000000}" name="DWH"/>
    <tableColumn id="17" xr3:uid="{00000000-0010-0000-2200-000011000000}" name="Column2"/>
    <tableColumn id="18" xr3:uid="{00000000-0010-0000-2200-000012000000}" name="Column22"/>
    <tableColumn id="19" xr3:uid="{00000000-0010-0000-2200-000013000000}" name="DPOB"/>
    <tableColumn id="20" xr3:uid="{00000000-0010-0000-2200-000014000000}" name="Column3"/>
    <tableColumn id="21" xr3:uid="{00000000-0010-0000-2200-000015000000}" name="Column4"/>
    <tableColumn id="22" xr3:uid="{00000000-0010-0000-2200-000016000000}" name="DPCO"/>
    <tableColumn id="23" xr3:uid="{00000000-0010-0000-2200-000017000000}" name="Column53"/>
    <tableColumn id="24" xr3:uid="{00000000-0010-0000-2200-000018000000}" name="Column54"/>
    <tableColumn id="25" xr3:uid="{00000000-0010-0000-2200-000019000000}" name="Column55"/>
    <tableColumn id="26" xr3:uid="{00000000-0010-0000-2200-00001A000000}" name="DPPP"/>
    <tableColumn id="27" xr3:uid="{00000000-0010-0000-2200-00001B000000}" name="NIK"/>
    <tableColumn id="28" xr3:uid="{00000000-0010-0000-2200-00001C000000}" name="EN"/>
    <tableColumn id="29" xr3:uid="{00000000-0010-0000-2200-00001D000000}" name="HMST"/>
    <tableColumn id="30" xr3:uid="{00000000-0010-0000-2200-00001E000000}" name="HMSP"/>
    <tableColumn id="31" xr3:uid="{00000000-0010-0000-2200-00001F000000}" name="D.HM"/>
    <tableColumn id="32" xr3:uid="{00000000-0010-0000-2200-000020000000}" name="nikpengawas"/>
    <tableColumn id="33" xr3:uid="{00000000-0010-0000-2200-000021000000}" name="NamaPengawas"/>
    <tableColumn id="34" xr3:uid="{00000000-0010-0000-2200-000022000000}" name="HM Karyawan"/>
    <tableColumn id="35" xr3:uid="{00000000-0010-0000-2200-000023000000}" name="OB Activity"/>
    <tableColumn id="36" xr3:uid="{00000000-0010-0000-2200-000024000000}" name="Coal Activity"/>
    <tableColumn id="37" xr3:uid="{00000000-0010-0000-2200-000025000000}" name="Travel Unit (Exca)"/>
    <tableColumn id="38" xr3:uid="{00000000-0010-0000-2200-000026000000}" name="Travel Unit Exc Exca"/>
    <tableColumn id="39" xr3:uid="{00000000-0010-0000-2200-000027000000}" name="Preparing Front"/>
    <tableColumn id="40" xr3:uid="{00000000-0010-0000-2200-000028000000}" name="Preparing Disposal"/>
    <tableColumn id="41" xr3:uid="{00000000-0010-0000-2200-000029000000}" name="Road Maintenance"/>
    <tableColumn id="42" xr3:uid="{00000000-0010-0000-2200-00002A000000}" name="Dozing"/>
    <tableColumn id="43" xr3:uid="{00000000-0010-0000-2200-00002B000000}" name="Spreading"/>
    <tableColumn id="44" xr3:uid="{00000000-0010-0000-2200-00002C000000}" name="Land Clearing dan Grubbing"/>
    <tableColumn id="45" xr3:uid="{00000000-0010-0000-2200-00002D000000}" name="Instalasi Pump"/>
    <tableColumn id="46" xr3:uid="{00000000-0010-0000-2200-00002E000000}" name="Pemindahan Lighting Plant"/>
    <tableColumn id="47" xr3:uid="{00000000-0010-0000-2200-00002F000000}" name="Pembuatan Parit"/>
    <tableColumn id="48" xr3:uid="{00000000-0010-0000-2200-000030000000}" name="Pembuatan Tanggul"/>
    <tableColumn id="49" xr3:uid="{00000000-0010-0000-2200-000031000000}" name="Scrab Setelah Hujan"/>
    <tableColumn id="50" xr3:uid="{00000000-0010-0000-2200-000032000000}" name="General Expose"/>
    <tableColumn id="51" xr3:uid="{00000000-0010-0000-2200-000033000000}" name="Cleaning Coal"/>
    <tableColumn id="52" xr3:uid="{00000000-0010-0000-2200-000034000000}" name="General Support"/>
    <tableColumn id="53" xr3:uid="{00000000-0010-0000-2200-000035000000}" name="P2H"/>
    <tableColumn id="54" xr3:uid="{00000000-0010-0000-2200-000036000000}" name="REFUELLING DAN DAILY CHECK DT"/>
    <tableColumn id="55" xr3:uid="{00000000-0010-0000-2200-000037000000}" name="TRAVEL UNIT"/>
    <tableColumn id="56" xr3:uid="{00000000-0010-0000-2200-000038000000}" name="TUNGGU UNIT"/>
    <tableColumn id="57" xr3:uid="{00000000-0010-0000-2200-000039000000}" name="TUNGGU ENGINEERING"/>
    <tableColumn id="58" xr3:uid="{00000000-0010-0000-2200-00003A000000}" name="TUNGGU BLASTING"/>
    <tableColumn id="59" xr3:uid="{00000000-0010-0000-2200-00003B000000}" name="PEMBERSIHAN UNIT"/>
    <tableColumn id="60" xr3:uid="{00000000-0010-0000-2200-00003C000000}" name="ISTIRAHAT"/>
    <tableColumn id="61" xr3:uid="{00000000-0010-0000-2200-00003D000000}" name="CEK SAFETY"/>
    <tableColumn id="62" xr3:uid="{00000000-0010-0000-2200-00003E000000}" name="REQUEST STANDBY"/>
    <tableColumn id="63" xr3:uid="{00000000-0010-0000-2200-00003F000000}" name="TUNGGU OPERATOR"/>
    <tableColumn id="64" xr3:uid="{00000000-0010-0000-2200-000040000000}" name="GANTI SHIFT"/>
    <tableColumn id="65" xr3:uid="{00000000-0010-0000-2200-000041000000}" name="DEBU"/>
    <tableColumn id="66" xr3:uid="{00000000-0010-0000-2200-000042000000}" name="SHOLAT"/>
    <tableColumn id="67" xr3:uid="{00000000-0010-0000-2200-000043000000}" name="CEK EXCA HARIAN"/>
    <tableColumn id="68" xr3:uid="{00000000-0010-0000-2200-000044000000}" name="SLIPPERY"/>
    <tableColumn id="69" xr3:uid="{00000000-0010-0000-2200-000045000000}" name="HUJAN"/>
    <tableColumn id="70" xr3:uid="{00000000-0010-0000-2200-000046000000}" name="KABUT"/>
    <tableColumn id="71" xr3:uid="{00000000-0010-0000-2200-000047000000}" name="KEADAAN KAHAR"/>
    <tableColumn id="72" xr3:uid="{00000000-0010-0000-2200-000048000000}" name="PROBLEM KOMUNITAS"/>
    <tableColumn id="73" xr3:uid="{00000000-0010-0000-2200-000049000000}" name="PROBLEM COSTUMER"/>
    <tableColumn id="74" xr3:uid="{00000000-0010-0000-2200-00004A000000}" name="SCHEDULE SERVICE"/>
    <tableColumn id="75" xr3:uid="{00000000-0010-0000-2200-00004B000000}" name="UNSCHEDULE BREAKDOWN"/>
    <tableColumn id="76" xr3:uid="{00000000-0010-0000-2200-00004C000000}" name="TYRE BREAKDOWN"/>
    <tableColumn id="77" xr3:uid="{00000000-0010-0000-2200-00004D000000}" name="INSTRUMEN BREAKDOWN"/>
    <tableColumn id="78" xr3:uid="{00000000-0010-0000-2200-00004E000000}" name="ACCIDENT BREAKDOWN"/>
    <tableColumn id="79" xr3:uid="{00000000-0010-0000-2200-00004F000000}" name="Working Hours"/>
    <tableColumn id="80" xr3:uid="{00000000-0010-0000-2200-000050000000}" name="SP" dataDxfId="14"/>
    <tableColumn id="81" xr3:uid="{00000000-0010-0000-2200-000051000000}" name="DS" dataDxfId="13"/>
    <tableColumn id="82" xr3:uid="{00000000-0010-0000-2200-000052000000}" name="DOB" dataDxfId="12"/>
    <tableColumn id="83" xr3:uid="{00000000-0010-0000-2200-000053000000}" name="Mat.OB" dataDxfId="11"/>
    <tableColumn id="84" xr3:uid="{00000000-0010-0000-2200-000054000000}" name="Rit OB"/>
    <tableColumn id="85" xr3:uid="{00000000-0010-0000-2200-000055000000}" name="Vol OB"/>
    <tableColumn id="86" xr3:uid="{00000000-0010-0000-2200-000056000000}" name="Distance"/>
    <tableColumn id="87" xr3:uid="{00000000-0010-0000-2200-000057000000}" name="Prod'ty OB"/>
    <tableColumn id="88" xr3:uid="{00000000-0010-0000-2200-000058000000}" name="Vol*Dist OB"/>
    <tableColumn id="89" xr3:uid="{00000000-0010-0000-2200-000059000000}" name="Production OB"/>
    <tableColumn id="90" xr3:uid="{00000000-0010-0000-2200-00005A000000}" name="SP2"/>
    <tableColumn id="91" xr3:uid="{00000000-0010-0000-2200-00005B000000}" name="DS3"/>
    <tableColumn id="92" xr3:uid="{00000000-0010-0000-2200-00005C000000}" name="DiggerCoal" dataDxfId="10"/>
    <tableColumn id="93" xr3:uid="{00000000-0010-0000-2200-00005D000000}" name="Rit.Co.V"/>
    <tableColumn id="94" xr3:uid="{00000000-0010-0000-2200-00005E000000}" name="Seam" dataDxfId="9"/>
    <tableColumn id="95" xr3:uid="{00000000-0010-0000-2200-00005F000000}" name="Ton.Co.V"/>
    <tableColumn id="96" xr3:uid="{00000000-0010-0000-2200-000060000000}" name="Dist.Co.V"/>
    <tableColumn id="97" xr3:uid="{00000000-0010-0000-2200-000061000000}" name="Prod.ty.V"/>
    <tableColumn id="98" xr3:uid="{00000000-0010-0000-2200-000062000000}" name="Ton.Dist.Co.V."/>
    <tableColumn id="99" xr3:uid="{00000000-0010-0000-2200-000063000000}" name="Volume Coal"/>
    <tableColumn id="100" xr3:uid="{00000000-0010-0000-2200-000064000000}" name="Production Coal"/>
    <tableColumn id="101" xr3:uid="{00000000-0010-0000-2200-000065000000}" name="PP01"/>
    <tableColumn id="102" xr3:uid="{00000000-0010-0000-2200-000066000000}" name="PP02"/>
    <tableColumn id="103" xr3:uid="{00000000-0010-0000-2200-000067000000}" name="PP03"/>
    <tableColumn id="104" xr3:uid="{00000000-0010-0000-2200-000068000000}" name="PP04"/>
    <tableColumn id="105" xr3:uid="{00000000-0010-0000-2200-000069000000}" name="PP05"/>
    <tableColumn id="106" xr3:uid="{00000000-0010-0000-2200-00006A000000}" name="PP06"/>
    <tableColumn id="107" xr3:uid="{00000000-0010-0000-2200-00006B000000}" name="PP07"/>
    <tableColumn id="108" xr3:uid="{00000000-0010-0000-2200-00006C000000}" name="PP08"/>
    <tableColumn id="109" xr3:uid="{00000000-0010-0000-2200-00006D000000}" name="PP09"/>
    <tableColumn id="110" xr3:uid="{00000000-0010-0000-2200-00006E000000}" name="PP10"/>
    <tableColumn id="111" xr3:uid="{00000000-0010-0000-2200-00006F000000}" name="PP11"/>
    <tableColumn id="112" xr3:uid="{00000000-0010-0000-2200-000070000000}" name="PP12"/>
    <tableColumn id="113" xr3:uid="{00000000-0010-0000-2200-000071000000}" name="PP13"/>
    <tableColumn id="114" xr3:uid="{00000000-0010-0000-2200-000072000000}" name="PP14"/>
    <tableColumn id="115" xr3:uid="{00000000-0010-0000-2200-000073000000}" name="PP15"/>
    <tableColumn id="116" xr3:uid="{00000000-0010-0000-2200-000074000000}" name="PP16"/>
    <tableColumn id="117" xr3:uid="{00000000-0010-0000-2200-000075000000}" name="PP17"/>
    <tableColumn id="118" xr3:uid="{00000000-0010-0000-2200-000076000000}" name="PP18"/>
    <tableColumn id="119" xr3:uid="{00000000-0010-0000-2200-000077000000}" name="PP19"/>
    <tableColumn id="120" xr3:uid="{00000000-0010-0000-2200-000078000000}" name="PP193"/>
    <tableColumn id="121" xr3:uid="{00000000-0010-0000-2200-000079000000}" name="PP192"/>
    <tableColumn id="122" xr3:uid="{00000000-0010-0000-2200-00007A000000}" name="Problem Prod'ty"/>
    <tableColumn id="123" xr3:uid="{00000000-0010-0000-2200-00007B000000}" name="Jumlah Pengisian"/>
    <tableColumn id="124" xr3:uid="{00000000-0010-0000-2200-00007C000000}" name="Fuel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3000000}" name="Inputplan_2" displayName="Inputplan_2" ref="A1:AW49" totalsRowShown="0">
  <autoFilter ref="A1:AW49" xr:uid="{00000000-0009-0000-0100-000022000000}"/>
  <tableColumns count="49">
    <tableColumn id="1" xr3:uid="{00000000-0010-0000-2300-000001000000}" name="Month" dataDxfId="8"/>
    <tableColumn id="2" xr3:uid="{00000000-0010-0000-2300-000002000000}" name="Weekly" dataDxfId="7"/>
    <tableColumn id="3" xr3:uid="{00000000-0010-0000-2300-000003000000}" name="Date" dataDxfId="6"/>
    <tableColumn id="4" xr3:uid="{00000000-0010-0000-2300-000004000000}" name="Code Number" dataDxfId="5"/>
    <tableColumn id="5" xr3:uid="{00000000-0010-0000-2300-000005000000}" name="Type Unit" dataDxfId="4"/>
    <tableColumn id="6" xr3:uid="{00000000-0010-0000-2300-000006000000}" name="Shift" dataDxfId="3"/>
    <tableColumn id="7" xr3:uid="{00000000-0010-0000-2300-000007000000}" name="Code" dataDxfId="2"/>
    <tableColumn id="8" xr3:uid="{00000000-0010-0000-2300-000008000000}" name="Hour" dataDxfId="1"/>
    <tableColumn id="9" xr3:uid="{00000000-0010-0000-2300-000009000000}" name="Location Pit" dataDxfId="0"/>
    <tableColumn id="10" xr3:uid="{00000000-0010-0000-2300-00000A000000}" name="Overburden"/>
    <tableColumn id="11" xr3:uid="{00000000-0010-0000-2300-00000B000000}" name="Coal"/>
    <tableColumn id="12" xr3:uid="{00000000-0010-0000-2300-00000C000000}" name="Distance OB"/>
    <tableColumn id="13" xr3:uid="{00000000-0010-0000-2300-00000D000000}" name="Distance Coal"/>
    <tableColumn id="14" xr3:uid="{00000000-0010-0000-2300-00000E000000}" name="Prod'ty OB"/>
    <tableColumn id="15" xr3:uid="{00000000-0010-0000-2300-00000F000000}" name="Prod'ty Coal"/>
    <tableColumn id="16" xr3:uid="{00000000-0010-0000-2300-000010000000}" name="MOHH"/>
    <tableColumn id="17" xr3:uid="{00000000-0010-0000-2300-000011000000}" name="Delay"/>
    <tableColumn id="18" xr3:uid="{00000000-0010-0000-2300-000012000000}" name="Idle"/>
    <tableColumn id="19" xr3:uid="{00000000-0010-0000-2300-000013000000}" name="B/D"/>
    <tableColumn id="20" xr3:uid="{00000000-0010-0000-2300-000014000000}" name="WH"/>
    <tableColumn id="21" xr3:uid="{00000000-0010-0000-2300-000015000000}" name="P2H"/>
    <tableColumn id="22" xr3:uid="{00000000-0010-0000-2300-000016000000}" name="REFUELLING DAN DAILY CHECK DT"/>
    <tableColumn id="23" xr3:uid="{00000000-0010-0000-2300-000017000000}" name="TRAVEL UNIT"/>
    <tableColumn id="24" xr3:uid="{00000000-0010-0000-2300-000018000000}" name="TUNGGU UNIT"/>
    <tableColumn id="25" xr3:uid="{00000000-0010-0000-2300-000019000000}" name="TUNGGU ENGINEERING"/>
    <tableColumn id="26" xr3:uid="{00000000-0010-0000-2300-00001A000000}" name="TUNGGU BLASTING"/>
    <tableColumn id="27" xr3:uid="{00000000-0010-0000-2300-00001B000000}" name="PEMBERSIHAN UNIT"/>
    <tableColumn id="28" xr3:uid="{00000000-0010-0000-2300-00001C000000}" name="ISTIRAHAT"/>
    <tableColumn id="29" xr3:uid="{00000000-0010-0000-2300-00001D000000}" name="CEK SAFETY"/>
    <tableColumn id="30" xr3:uid="{00000000-0010-0000-2300-00001E000000}" name="REQUEST STANDBY"/>
    <tableColumn id="31" xr3:uid="{00000000-0010-0000-2300-00001F000000}" name="TUNGGU OPERATOR"/>
    <tableColumn id="32" xr3:uid="{00000000-0010-0000-2300-000020000000}" name="GANTI SHIFT"/>
    <tableColumn id="33" xr3:uid="{00000000-0010-0000-2300-000021000000}" name="DEBU"/>
    <tableColumn id="34" xr3:uid="{00000000-0010-0000-2300-000022000000}" name="SHOLAT"/>
    <tableColumn id="35" xr3:uid="{00000000-0010-0000-2300-000023000000}" name="CEK EXCA HARIAN"/>
    <tableColumn id="36" xr3:uid="{00000000-0010-0000-2300-000024000000}" name="SLIPPERY"/>
    <tableColumn id="37" xr3:uid="{00000000-0010-0000-2300-000025000000}" name="HUJAN"/>
    <tableColumn id="38" xr3:uid="{00000000-0010-0000-2300-000026000000}" name="KABUT"/>
    <tableColumn id="39" xr3:uid="{00000000-0010-0000-2300-000027000000}" name="KEADAAN KAHAR"/>
    <tableColumn id="40" xr3:uid="{00000000-0010-0000-2300-000028000000}" name="PROBLEM KOMUNITAS"/>
    <tableColumn id="41" xr3:uid="{00000000-0010-0000-2300-000029000000}" name="PROBLEM COSTUMER"/>
    <tableColumn id="42" xr3:uid="{00000000-0010-0000-2300-00002A000000}" name="SCHEDULE SERVICE"/>
    <tableColumn id="43" xr3:uid="{00000000-0010-0000-2300-00002B000000}" name="UNSCHEDULE BREAKDOWN"/>
    <tableColumn id="44" xr3:uid="{00000000-0010-0000-2300-00002C000000}" name="TYRE BREAKDOWN"/>
    <tableColumn id="45" xr3:uid="{00000000-0010-0000-2300-00002D000000}" name="INSTRUMEN BREAKDOWN"/>
    <tableColumn id="46" xr3:uid="{00000000-0010-0000-2300-00002E000000}" name="ACCIDENT BREAKDOWN"/>
    <tableColumn id="47" xr3:uid="{00000000-0010-0000-2300-00002F000000}" name="R06"/>
    <tableColumn id="48" xr3:uid="{00000000-0010-0000-2300-000030000000}" name="DVOB"/>
    <tableColumn id="49" xr3:uid="{00000000-0010-0000-2300-000031000000}" name="DVTC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21" Type="http://schemas.openxmlformats.org/officeDocument/2006/relationships/table" Target="../tables/table42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0.xml"/><Relationship Id="rId13" Type="http://schemas.openxmlformats.org/officeDocument/2006/relationships/table" Target="../tables/table55.xml"/><Relationship Id="rId18" Type="http://schemas.openxmlformats.org/officeDocument/2006/relationships/table" Target="../tables/table60.xml"/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12" Type="http://schemas.openxmlformats.org/officeDocument/2006/relationships/table" Target="../tables/table54.xml"/><Relationship Id="rId17" Type="http://schemas.openxmlformats.org/officeDocument/2006/relationships/table" Target="../tables/table59.xml"/><Relationship Id="rId2" Type="http://schemas.openxmlformats.org/officeDocument/2006/relationships/table" Target="../tables/table44.xml"/><Relationship Id="rId16" Type="http://schemas.openxmlformats.org/officeDocument/2006/relationships/table" Target="../tables/table58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11" Type="http://schemas.openxmlformats.org/officeDocument/2006/relationships/table" Target="../tables/table53.xml"/><Relationship Id="rId5" Type="http://schemas.openxmlformats.org/officeDocument/2006/relationships/table" Target="../tables/table47.xml"/><Relationship Id="rId15" Type="http://schemas.openxmlformats.org/officeDocument/2006/relationships/table" Target="../tables/table57.xml"/><Relationship Id="rId10" Type="http://schemas.openxmlformats.org/officeDocument/2006/relationships/table" Target="../tables/table52.xml"/><Relationship Id="rId4" Type="http://schemas.openxmlformats.org/officeDocument/2006/relationships/table" Target="../tables/table46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F439"/>
  <sheetViews>
    <sheetView showGridLines="0" topLeftCell="AD1" zoomScaleNormal="100" workbookViewId="0">
      <selection activeCell="AF10" sqref="AF10:AK57"/>
    </sheetView>
  </sheetViews>
  <sheetFormatPr defaultColWidth="8.81640625" defaultRowHeight="10" x14ac:dyDescent="0.2"/>
  <cols>
    <col min="1" max="1" width="0.26953125" style="13" customWidth="1"/>
    <col min="2" max="2" width="11" style="13" bestFit="1" customWidth="1"/>
    <col min="3" max="3" width="9.1796875" style="13" customWidth="1"/>
    <col min="4" max="4" width="10.453125" style="13" bestFit="1" customWidth="1"/>
    <col min="5" max="7" width="9.1796875" style="13" customWidth="1"/>
    <col min="8" max="8" width="11.26953125" style="13" bestFit="1" customWidth="1"/>
    <col min="9" max="9" width="11.81640625" style="14" bestFit="1" customWidth="1"/>
    <col min="10" max="10" width="11.81640625" style="14" customWidth="1"/>
    <col min="11" max="12" width="9.81640625" style="15" customWidth="1"/>
    <col min="13" max="16" width="9.81640625" style="13" customWidth="1"/>
    <col min="17" max="17" width="9.81640625" style="15" customWidth="1"/>
    <col min="18" max="18" width="10.7265625" style="15" bestFit="1" customWidth="1"/>
    <col min="19" max="19" width="10.7265625" style="15" customWidth="1"/>
    <col min="20" max="20" width="0.26953125" style="13" customWidth="1"/>
    <col min="21" max="21" width="6.81640625" style="15" bestFit="1" customWidth="1"/>
    <col min="22" max="22" width="15.7265625" style="16" bestFit="1" customWidth="1"/>
    <col min="23" max="23" width="13" style="15" bestFit="1" customWidth="1"/>
    <col min="24" max="24" width="12.81640625" style="15" bestFit="1" customWidth="1"/>
    <col min="25" max="25" width="0.26953125" style="13" customWidth="1"/>
    <col min="26" max="26" width="11" style="15" bestFit="1" customWidth="1"/>
    <col min="27" max="27" width="11" style="17" customWidth="1"/>
    <col min="28" max="28" width="0.26953125" style="13" customWidth="1"/>
    <col min="29" max="29" width="7.453125" style="13" bestFit="1" customWidth="1"/>
    <col min="30" max="30" width="12.7265625" style="15" bestFit="1" customWidth="1"/>
    <col min="31" max="31" width="0.26953125" style="13" customWidth="1"/>
    <col min="32" max="33" width="4.7265625" style="15" customWidth="1"/>
    <col min="34" max="35" width="8.81640625" style="15"/>
    <col min="36" max="36" width="6.26953125" style="13" customWidth="1"/>
    <col min="37" max="37" width="6.1796875" style="13" customWidth="1"/>
    <col min="38" max="38" width="0.26953125" style="13" customWidth="1"/>
    <col min="39" max="39" width="10.1796875" style="13" customWidth="1"/>
    <col min="40" max="40" width="10.81640625" style="18" bestFit="1" customWidth="1"/>
    <col min="41" max="41" width="12.81640625" style="18" bestFit="1" customWidth="1"/>
    <col min="42" max="42" width="8.81640625" style="18"/>
    <col min="43" max="43" width="9.7265625" style="18" customWidth="1"/>
    <col min="44" max="44" width="11" style="18" customWidth="1"/>
    <col min="45" max="45" width="10.81640625" style="18" customWidth="1"/>
    <col min="46" max="51" width="7.26953125" style="18" customWidth="1"/>
    <col min="52" max="52" width="0.26953125" style="13" customWidth="1"/>
    <col min="53" max="53" width="10.26953125" style="18" customWidth="1"/>
    <col min="54" max="54" width="23" style="18" bestFit="1" customWidth="1"/>
    <col min="55" max="55" width="31.26953125" style="18" bestFit="1" customWidth="1"/>
    <col min="56" max="56" width="12.7265625" style="18" bestFit="1" customWidth="1"/>
    <col min="57" max="57" width="0.7265625" style="13" customWidth="1"/>
    <col min="58" max="58" width="13.1796875" style="15" customWidth="1"/>
    <col min="59" max="59" width="0.7265625" style="13" customWidth="1"/>
    <col min="60" max="60" width="11" style="15" customWidth="1"/>
    <col min="61" max="61" width="0.7265625" style="13" customWidth="1"/>
    <col min="62" max="62" width="12.453125" style="15" bestFit="1" customWidth="1"/>
    <col min="63" max="63" width="11.453125" style="15" customWidth="1"/>
    <col min="64" max="64" width="12" style="15" customWidth="1"/>
    <col min="65" max="65" width="11.26953125" style="15" customWidth="1"/>
    <col min="66" max="66" width="0.7265625" style="13" customWidth="1"/>
    <col min="67" max="68" width="8.81640625" style="13"/>
    <col min="69" max="69" width="11.453125" style="13" customWidth="1"/>
    <col min="70" max="70" width="1.7265625" style="13" customWidth="1"/>
    <col min="71" max="71" width="21.7265625" style="13" bestFit="1" customWidth="1"/>
    <col min="72" max="72" width="10.453125" style="13" bestFit="1" customWidth="1"/>
    <col min="73" max="73" width="24.81640625" style="13" bestFit="1" customWidth="1"/>
    <col min="74" max="74" width="11.7265625" style="13" bestFit="1" customWidth="1"/>
    <col min="75" max="75" width="1.7265625" style="13" customWidth="1"/>
    <col min="76" max="76" width="20.7265625" style="13" bestFit="1" customWidth="1"/>
    <col min="77" max="77" width="2" style="13" customWidth="1"/>
    <col min="78" max="78" width="9.7265625" style="13" bestFit="1" customWidth="1"/>
    <col min="79" max="79" width="8.81640625" style="13"/>
    <col min="80" max="80" width="3.7265625" style="13" customWidth="1"/>
    <col min="81" max="81" width="14.1796875" style="15" customWidth="1"/>
    <col min="82" max="82" width="19.81640625" style="15" bestFit="1" customWidth="1"/>
    <col min="83" max="83" width="27.54296875" style="15" bestFit="1" customWidth="1"/>
    <col min="84" max="84" width="16" style="13" bestFit="1" customWidth="1"/>
    <col min="85" max="85" width="1.26953125" style="13" customWidth="1"/>
    <col min="86" max="86" width="11.7265625" style="13" customWidth="1"/>
    <col min="87" max="87" width="19.26953125" style="13" bestFit="1" customWidth="1"/>
    <col min="88" max="88" width="1.7265625" style="13" customWidth="1"/>
    <col min="89" max="89" width="6.453125" style="13" customWidth="1"/>
    <col min="90" max="90" width="25.7265625" style="13" bestFit="1" customWidth="1"/>
    <col min="91" max="91" width="1.7265625" style="13" customWidth="1"/>
    <col min="92" max="92" width="6.81640625" style="15" customWidth="1"/>
    <col min="93" max="93" width="22.54296875" style="15" bestFit="1" customWidth="1"/>
    <col min="94" max="94" width="21" style="15" customWidth="1"/>
    <col min="95" max="95" width="1.7265625" style="13" customWidth="1"/>
    <col min="96" max="96" width="6.54296875" style="13" customWidth="1"/>
    <col min="97" max="97" width="20.7265625" style="13" bestFit="1" customWidth="1"/>
    <col min="98" max="104" width="8.81640625" style="13"/>
    <col min="105" max="105" width="15.26953125" style="13" bestFit="1" customWidth="1"/>
    <col min="106" max="106" width="13.81640625" style="13" bestFit="1" customWidth="1"/>
    <col min="107" max="108" width="8.81640625" style="13"/>
    <col min="109" max="109" width="15.26953125" style="13" bestFit="1" customWidth="1"/>
    <col min="110" max="110" width="13.81640625" style="13" bestFit="1" customWidth="1"/>
    <col min="111" max="16384" width="8.81640625" style="13"/>
  </cols>
  <sheetData>
    <row r="1" spans="2:110" x14ac:dyDescent="0.2">
      <c r="G1" s="13" t="s">
        <v>103</v>
      </c>
      <c r="H1" s="13" t="s">
        <v>207</v>
      </c>
      <c r="J1" s="14" t="s">
        <v>208</v>
      </c>
    </row>
    <row r="2" spans="2:110" x14ac:dyDescent="0.2">
      <c r="G2" s="13" t="s">
        <v>209</v>
      </c>
    </row>
    <row r="3" spans="2:110" ht="10.5" x14ac:dyDescent="0.25">
      <c r="B3" s="19" t="s">
        <v>210</v>
      </c>
      <c r="C3" s="19" t="s">
        <v>211</v>
      </c>
      <c r="G3" s="13" t="s">
        <v>212</v>
      </c>
      <c r="Z3" s="19"/>
      <c r="AA3" s="20"/>
    </row>
    <row r="4" spans="2:110" ht="10.5" x14ac:dyDescent="0.25">
      <c r="B4" s="19"/>
      <c r="C4" s="19"/>
      <c r="Z4" s="19"/>
      <c r="AA4" s="20"/>
      <c r="AH4" s="15" t="s">
        <v>536</v>
      </c>
    </row>
    <row r="5" spans="2:110" ht="10.5" x14ac:dyDescent="0.25">
      <c r="B5" s="207" t="s">
        <v>213</v>
      </c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9"/>
      <c r="AN5" s="13"/>
      <c r="AO5" s="15" t="e">
        <f>dbmonthly[[#This Row],[Monthy]]</f>
        <v>#VALUE!</v>
      </c>
      <c r="AP5" s="15"/>
      <c r="AQ5" s="15"/>
      <c r="AR5" s="15"/>
      <c r="AS5" s="15"/>
      <c r="AT5" s="15"/>
      <c r="AU5" s="15"/>
      <c r="AV5" s="15"/>
      <c r="AW5" s="15"/>
      <c r="AX5" s="15"/>
      <c r="AY5" s="15"/>
      <c r="BN5" s="15"/>
      <c r="BO5" s="15"/>
    </row>
    <row r="6" spans="2:110" ht="10.5" thickBot="1" x14ac:dyDescent="0.25">
      <c r="AD6" s="21"/>
      <c r="AG6" s="15" t="e">
        <f>+Classhours[[#This Row],[Column1]]</f>
        <v>#VALUE!</v>
      </c>
      <c r="BZ6" s="13" t="e">
        <f>+seamrd[[#This Row],[Seam]]</f>
        <v>#VALUE!</v>
      </c>
    </row>
    <row r="7" spans="2:110" ht="14.5" x14ac:dyDescent="0.35">
      <c r="B7" s="210" t="s">
        <v>2</v>
      </c>
      <c r="C7" s="210"/>
      <c r="D7" s="210"/>
      <c r="E7" s="210"/>
      <c r="F7" s="210"/>
      <c r="G7" s="22" t="s">
        <v>214</v>
      </c>
      <c r="H7" s="210" t="s">
        <v>215</v>
      </c>
      <c r="I7" s="210" t="s">
        <v>216</v>
      </c>
      <c r="J7" s="210" t="s">
        <v>2</v>
      </c>
      <c r="K7" s="204" t="s">
        <v>217</v>
      </c>
      <c r="L7" s="204"/>
      <c r="M7" s="204"/>
      <c r="N7" s="204"/>
      <c r="O7" s="204"/>
      <c r="P7" s="204"/>
      <c r="Q7" s="204" t="s">
        <v>0</v>
      </c>
      <c r="R7" s="204"/>
      <c r="S7" s="204"/>
      <c r="U7" s="206" t="s">
        <v>214</v>
      </c>
      <c r="V7" s="206"/>
      <c r="W7" s="206"/>
      <c r="X7" s="206"/>
      <c r="Z7" s="23" t="s">
        <v>2</v>
      </c>
      <c r="AA7" s="24"/>
      <c r="AD7" s="21" t="e">
        <f>+Monthly_Filter_Date[[#This Row],[Date]]</f>
        <v>#VALUE!</v>
      </c>
      <c r="AF7" s="19"/>
      <c r="AG7" s="19"/>
      <c r="AH7" s="19"/>
      <c r="AI7" s="19"/>
      <c r="AJ7" s="19"/>
      <c r="AK7" s="19"/>
      <c r="AL7" s="19"/>
      <c r="AM7" s="200" t="s">
        <v>218</v>
      </c>
      <c r="AN7" s="200" t="s">
        <v>0</v>
      </c>
      <c r="AO7" s="200"/>
      <c r="AP7" s="200"/>
      <c r="AQ7" s="200"/>
      <c r="AR7" s="200"/>
      <c r="AS7" s="200"/>
      <c r="AT7" s="202" t="s">
        <v>219</v>
      </c>
      <c r="AU7" s="202"/>
      <c r="AV7" s="202"/>
      <c r="AW7" s="202"/>
      <c r="AX7" s="202"/>
      <c r="AY7" s="202"/>
      <c r="BA7" s="203" t="s">
        <v>220</v>
      </c>
      <c r="BB7" s="203"/>
      <c r="BC7" s="203"/>
      <c r="BD7" s="203"/>
      <c r="BJ7" s="25"/>
      <c r="BK7" s="26"/>
      <c r="BL7" s="26"/>
      <c r="BM7" s="27"/>
      <c r="CE7" s="15" t="e">
        <f>ManPower[[#This Row],[CODE]]</f>
        <v>#VALUE!</v>
      </c>
      <c r="CH7" s="13" t="e">
        <f>Staff[[#This Row],[NIK]]</f>
        <v>#VALUE!</v>
      </c>
      <c r="DA7" s="113" t="s">
        <v>1062</v>
      </c>
      <c r="DB7" s="141">
        <v>12</v>
      </c>
    </row>
    <row r="8" spans="2:110" ht="11" thickBot="1" x14ac:dyDescent="0.3">
      <c r="B8" s="22" t="s">
        <v>221</v>
      </c>
      <c r="C8" s="28" t="s">
        <v>209</v>
      </c>
      <c r="D8" s="28" t="s">
        <v>209</v>
      </c>
      <c r="E8" s="28" t="s">
        <v>0</v>
      </c>
      <c r="F8" s="28" t="s">
        <v>222</v>
      </c>
      <c r="G8" s="22"/>
      <c r="H8" s="210"/>
      <c r="I8" s="210"/>
      <c r="J8" s="210"/>
      <c r="K8" s="28" t="s">
        <v>223</v>
      </c>
      <c r="L8" s="28"/>
      <c r="M8" s="28" t="s">
        <v>224</v>
      </c>
      <c r="N8" s="28" t="s">
        <v>225</v>
      </c>
      <c r="O8" s="28" t="s">
        <v>226</v>
      </c>
      <c r="P8" s="28" t="s">
        <v>227</v>
      </c>
      <c r="Q8" s="204" t="s">
        <v>228</v>
      </c>
      <c r="R8" s="204"/>
      <c r="S8" s="28" t="s">
        <v>2</v>
      </c>
      <c r="U8" s="29" t="s">
        <v>214</v>
      </c>
      <c r="V8" s="30" t="s">
        <v>229</v>
      </c>
      <c r="W8" s="31" t="s">
        <v>210</v>
      </c>
      <c r="X8" s="31" t="s">
        <v>230</v>
      </c>
      <c r="Z8" s="32" t="s">
        <v>221</v>
      </c>
      <c r="AA8" s="32"/>
      <c r="AC8" s="205" t="str">
        <f>+'Data Input Progress'!G9</f>
        <v>October 2021</v>
      </c>
      <c r="AD8" s="205"/>
      <c r="AF8" s="33" t="s">
        <v>231</v>
      </c>
      <c r="AG8" s="33" t="s">
        <v>232</v>
      </c>
      <c r="AH8" s="33" t="s">
        <v>232</v>
      </c>
      <c r="AI8" s="33" t="s">
        <v>103</v>
      </c>
      <c r="AJ8" s="34" t="s">
        <v>227</v>
      </c>
      <c r="AK8" s="34" t="s">
        <v>233</v>
      </c>
      <c r="AM8" s="201"/>
      <c r="AN8" s="35" t="s">
        <v>218</v>
      </c>
      <c r="AO8" s="35" t="s">
        <v>234</v>
      </c>
      <c r="AP8" s="35" t="s">
        <v>235</v>
      </c>
      <c r="AQ8" s="35" t="s">
        <v>235</v>
      </c>
      <c r="AR8" s="36" t="s">
        <v>236</v>
      </c>
      <c r="AS8" s="36" t="s">
        <v>237</v>
      </c>
      <c r="AT8" s="37">
        <v>2</v>
      </c>
      <c r="AU8" s="37">
        <v>3</v>
      </c>
      <c r="AV8" s="37">
        <v>4</v>
      </c>
      <c r="AW8" s="37">
        <v>5</v>
      </c>
      <c r="AX8" s="37">
        <v>6</v>
      </c>
      <c r="AY8" s="37">
        <v>7</v>
      </c>
      <c r="BA8" s="203"/>
      <c r="BB8" s="203"/>
      <c r="BC8" s="203"/>
      <c r="BD8" s="203"/>
      <c r="BJ8" s="38" t="s">
        <v>238</v>
      </c>
      <c r="BK8" s="39" t="s">
        <v>239</v>
      </c>
      <c r="BL8" s="39" t="s">
        <v>240</v>
      </c>
      <c r="BM8" s="40" t="s">
        <v>241</v>
      </c>
    </row>
    <row r="9" spans="2:110" s="45" customFormat="1" ht="14.5" x14ac:dyDescent="0.35">
      <c r="B9" s="41" t="s">
        <v>242</v>
      </c>
      <c r="C9" s="42" t="s">
        <v>2</v>
      </c>
      <c r="D9" s="42" t="s">
        <v>209</v>
      </c>
      <c r="E9" s="42" t="s">
        <v>0</v>
      </c>
      <c r="F9" s="42" t="s">
        <v>222</v>
      </c>
      <c r="G9" s="42" t="s">
        <v>243</v>
      </c>
      <c r="H9" s="42" t="s">
        <v>215</v>
      </c>
      <c r="I9" s="42" t="s">
        <v>216</v>
      </c>
      <c r="J9" s="43" t="s">
        <v>244</v>
      </c>
      <c r="K9" s="42" t="s">
        <v>12</v>
      </c>
      <c r="L9" s="42" t="s">
        <v>245</v>
      </c>
      <c r="M9" s="42" t="s">
        <v>246</v>
      </c>
      <c r="N9" s="42" t="s">
        <v>247</v>
      </c>
      <c r="O9" s="42" t="s">
        <v>248</v>
      </c>
      <c r="P9" s="42" t="s">
        <v>249</v>
      </c>
      <c r="Q9" s="42" t="s">
        <v>250</v>
      </c>
      <c r="R9" s="42" t="s">
        <v>251</v>
      </c>
      <c r="S9" s="44" t="s">
        <v>252</v>
      </c>
      <c r="U9" s="18" t="s">
        <v>214</v>
      </c>
      <c r="V9" s="46" t="s">
        <v>229</v>
      </c>
      <c r="W9" s="18" t="s">
        <v>210</v>
      </c>
      <c r="X9" s="18" t="s">
        <v>230</v>
      </c>
      <c r="Z9" s="47" t="s">
        <v>242</v>
      </c>
      <c r="AA9" s="48" t="s">
        <v>253</v>
      </c>
      <c r="AC9" s="49" t="s">
        <v>231</v>
      </c>
      <c r="AD9" s="49" t="s">
        <v>2</v>
      </c>
      <c r="AF9" s="19" t="s">
        <v>231</v>
      </c>
      <c r="AG9" s="19" t="s">
        <v>12</v>
      </c>
      <c r="AH9" s="19" t="s">
        <v>232</v>
      </c>
      <c r="AI9" s="19" t="s">
        <v>76</v>
      </c>
      <c r="AJ9" s="19" t="s">
        <v>227</v>
      </c>
      <c r="AK9" s="19" t="s">
        <v>233</v>
      </c>
      <c r="AL9" s="50"/>
      <c r="AM9" s="51" t="s">
        <v>12</v>
      </c>
      <c r="AN9" s="52" t="s">
        <v>218</v>
      </c>
      <c r="AO9" s="52" t="s">
        <v>234</v>
      </c>
      <c r="AP9" s="52" t="s">
        <v>235</v>
      </c>
      <c r="AQ9" s="52" t="s">
        <v>254</v>
      </c>
      <c r="AR9" s="53" t="s">
        <v>236</v>
      </c>
      <c r="AS9" s="53" t="s">
        <v>237</v>
      </c>
      <c r="AT9" s="54" t="s">
        <v>255</v>
      </c>
      <c r="AU9" s="54" t="s">
        <v>256</v>
      </c>
      <c r="AV9" s="54" t="s">
        <v>257</v>
      </c>
      <c r="AW9" s="54" t="s">
        <v>258</v>
      </c>
      <c r="AX9" s="54" t="s">
        <v>259</v>
      </c>
      <c r="AY9" s="54" t="s">
        <v>95</v>
      </c>
      <c r="AZ9" s="13"/>
      <c r="BA9" s="49" t="s">
        <v>260</v>
      </c>
      <c r="BB9" s="49" t="s">
        <v>261</v>
      </c>
      <c r="BC9" s="49" t="s">
        <v>262</v>
      </c>
      <c r="BD9" s="49" t="s">
        <v>263</v>
      </c>
      <c r="BF9" s="18" t="s">
        <v>264</v>
      </c>
      <c r="BH9" s="18" t="s">
        <v>265</v>
      </c>
      <c r="BJ9" s="18" t="s">
        <v>238</v>
      </c>
      <c r="BK9" s="18" t="s">
        <v>239</v>
      </c>
      <c r="BL9" s="18" t="s">
        <v>240</v>
      </c>
      <c r="BM9" s="18" t="s">
        <v>241</v>
      </c>
      <c r="BO9" s="55" t="s">
        <v>34</v>
      </c>
      <c r="BP9" s="55" t="s">
        <v>266</v>
      </c>
      <c r="BQ9" s="56" t="s">
        <v>267</v>
      </c>
      <c r="BS9" s="18" t="s">
        <v>268</v>
      </c>
      <c r="BT9" s="18" t="s">
        <v>269</v>
      </c>
      <c r="BU9" s="18" t="s">
        <v>270</v>
      </c>
      <c r="BV9" s="18" t="s">
        <v>271</v>
      </c>
      <c r="BX9" s="18" t="s">
        <v>272</v>
      </c>
      <c r="BZ9" s="45" t="s">
        <v>46</v>
      </c>
      <c r="CA9" s="45" t="s">
        <v>273</v>
      </c>
      <c r="CC9" s="18" t="s">
        <v>3</v>
      </c>
      <c r="CD9" s="18" t="s">
        <v>274</v>
      </c>
      <c r="CE9" s="18" t="s">
        <v>275</v>
      </c>
      <c r="CF9" s="18" t="s">
        <v>276</v>
      </c>
      <c r="CH9" s="18" t="s">
        <v>3</v>
      </c>
      <c r="CI9" s="18" t="s">
        <v>277</v>
      </c>
      <c r="CK9" s="57" t="s">
        <v>232</v>
      </c>
      <c r="CL9" s="57" t="s">
        <v>278</v>
      </c>
      <c r="CN9" s="49" t="s">
        <v>275</v>
      </c>
      <c r="CO9" s="49" t="s">
        <v>278</v>
      </c>
      <c r="CP9" s="49" t="s">
        <v>279</v>
      </c>
      <c r="CR9" s="45" t="s">
        <v>232</v>
      </c>
      <c r="CS9" s="45" t="s">
        <v>278</v>
      </c>
      <c r="CY9"/>
      <c r="CZ9"/>
      <c r="DA9" t="s">
        <v>1063</v>
      </c>
      <c r="DB9" t="s">
        <v>1064</v>
      </c>
      <c r="DC9"/>
      <c r="DD9"/>
      <c r="DE9" t="s">
        <v>1063</v>
      </c>
      <c r="DF9" t="s">
        <v>1064</v>
      </c>
    </row>
    <row r="10" spans="2:110" ht="14.5" x14ac:dyDescent="0.35">
      <c r="B10" s="58">
        <v>44197</v>
      </c>
      <c r="C10" s="59" t="str">
        <f t="shared" ref="C10:C73" si="0">IF($B10="","",TEXT($B10,"dd"))</f>
        <v>01</v>
      </c>
      <c r="D10" s="59" t="str">
        <f t="shared" ref="D10:D73" si="1">IF($B10="","",TEXT($B10,"dddd"))</f>
        <v>Friday</v>
      </c>
      <c r="E10" s="59" t="str">
        <f t="shared" ref="E10:E73" si="2">IF($B10="","",TEXT($B10,"mmmm"))</f>
        <v>January</v>
      </c>
      <c r="F10" s="59" t="str">
        <f t="shared" ref="F10:F73" si="3">IF($B10="","",TEXT($B10,"yyyy"))</f>
        <v>2021</v>
      </c>
      <c r="G10" s="59" t="str">
        <f>+N10</f>
        <v>Week_01</v>
      </c>
      <c r="H10" s="59" t="str">
        <f>E10&amp;" "&amp;F10</f>
        <v>January 2021</v>
      </c>
      <c r="I10" s="59" t="str">
        <f>+P10&amp;N10</f>
        <v>Start WeekWeek_01</v>
      </c>
      <c r="J10" s="60">
        <f t="shared" ref="J10:J73" si="4">+B10</f>
        <v>44197</v>
      </c>
      <c r="K10" s="59">
        <v>1</v>
      </c>
      <c r="L10" s="59" t="str">
        <f t="shared" ref="L10:L73" si="5">IF(K10=1,"01",IF(K10=2,"02",IF(K10=3,"03",IF(K10=4,"04",IF(K10=5,"05",IF(K10=6,"06",IF(K10=7,"07",IF(K10=8,"08",IF(K10=9,"09",K10)))))))))</f>
        <v>01</v>
      </c>
      <c r="M10" s="59" t="str">
        <f t="shared" ref="M10:M73" si="6">IF(K10="","","Week_")</f>
        <v>Week_</v>
      </c>
      <c r="N10" s="59" t="str">
        <f t="shared" ref="N10:N73" si="7">CONCATENATE(M10,L10)</f>
        <v>Week_01</v>
      </c>
      <c r="O10" s="59">
        <f>+K10</f>
        <v>1</v>
      </c>
      <c r="P10" s="59" t="str">
        <f>IF(O10=1,"Start Week","")</f>
        <v>Start Week</v>
      </c>
      <c r="Q10" s="59" t="str">
        <f t="shared" ref="Q10:Q73" si="8">IF(C10="01","Start Month","")</f>
        <v>Start Month</v>
      </c>
      <c r="R10" s="59" t="str">
        <f t="shared" ref="R10:R73" si="9">+Q10&amp;H10</f>
        <v>Start MonthJanuary 2021</v>
      </c>
      <c r="S10" s="61">
        <f t="shared" ref="S10:S73" si="10">+B10</f>
        <v>44197</v>
      </c>
      <c r="U10" s="15" t="s">
        <v>280</v>
      </c>
      <c r="V10" s="16">
        <f t="shared" ref="V10:V63" si="11">COUNTIFS($N$9:$N$500,$U10)</f>
        <v>3</v>
      </c>
      <c r="W10" s="62">
        <f t="shared" ref="W10:W62" si="12">VLOOKUP(W$8&amp;$U10,$I$10:$J$501,2,0)</f>
        <v>44197</v>
      </c>
      <c r="X10" s="62">
        <f t="shared" ref="X10:X62" si="13">+W11-1</f>
        <v>44199</v>
      </c>
      <c r="Z10" s="62">
        <f t="shared" ref="Z10:Z73" si="14">+B10</f>
        <v>44197</v>
      </c>
      <c r="AA10" s="63" t="s">
        <v>253</v>
      </c>
      <c r="AC10" s="64">
        <v>0</v>
      </c>
      <c r="AD10" s="65">
        <f>VLOOKUP($AC$8,dbmonthly[[Monthy]:[Start Month]],4,0)+Monthly_Filter_Date[[#This Row],[No]]</f>
        <v>44470</v>
      </c>
      <c r="AF10" s="15">
        <v>1</v>
      </c>
      <c r="AG10" s="15" t="s">
        <v>510</v>
      </c>
      <c r="AH10" s="15" t="s">
        <v>281</v>
      </c>
      <c r="AI10" s="15" t="s">
        <v>547</v>
      </c>
      <c r="AJ10" s="50">
        <v>0.25</v>
      </c>
      <c r="AK10" s="50">
        <v>0.29166666666666669</v>
      </c>
      <c r="AL10" s="50"/>
      <c r="AM10" s="66">
        <v>1</v>
      </c>
      <c r="AN10" s="18" t="s">
        <v>282</v>
      </c>
      <c r="AO10" s="18" t="str">
        <f t="shared" ref="AO10:AO21" si="15">+AN10&amp;" "&amp;F10</f>
        <v>January 2021</v>
      </c>
      <c r="AP10" s="67">
        <f t="shared" ref="AP10:AP21" si="16">COUNTIFS($H$10:$H$501,AO10)</f>
        <v>31</v>
      </c>
      <c r="AQ10" s="67">
        <f>+AP10-1</f>
        <v>30</v>
      </c>
      <c r="AR10" s="47">
        <f t="shared" ref="AR10:AR21" si="17">VLOOKUP($AR$9&amp;$AO10,$R$10:$S$501,2,0)</f>
        <v>44197</v>
      </c>
      <c r="AS10" s="47">
        <f t="shared" ref="AS10:AS21" si="18">+AR10+AQ10</f>
        <v>44227</v>
      </c>
      <c r="AT10" s="18" t="s">
        <v>280</v>
      </c>
      <c r="AU10" s="18" t="s">
        <v>283</v>
      </c>
      <c r="AV10" s="18" t="s">
        <v>284</v>
      </c>
      <c r="AW10" s="18" t="s">
        <v>285</v>
      </c>
      <c r="AX10" s="18" t="s">
        <v>286</v>
      </c>
      <c r="BA10" s="18" t="s">
        <v>287</v>
      </c>
      <c r="BB10" s="18" t="s">
        <v>288</v>
      </c>
      <c r="BC10" s="18" t="s">
        <v>289</v>
      </c>
      <c r="BD10" s="18" t="s">
        <v>290</v>
      </c>
      <c r="BF10" s="15" t="s">
        <v>287</v>
      </c>
      <c r="BH10" s="15" t="s">
        <v>291</v>
      </c>
      <c r="BJ10" s="15" t="s">
        <v>292</v>
      </c>
      <c r="BK10" s="15" t="s">
        <v>293</v>
      </c>
      <c r="BL10" s="15" t="s">
        <v>294</v>
      </c>
      <c r="BM10" s="15" t="s">
        <v>295</v>
      </c>
      <c r="BO10" s="15" t="s">
        <v>296</v>
      </c>
      <c r="BP10" s="16">
        <v>25</v>
      </c>
      <c r="BQ10" s="68">
        <v>400</v>
      </c>
      <c r="BS10" s="15" t="s">
        <v>288</v>
      </c>
      <c r="BT10" s="15" t="s">
        <v>296</v>
      </c>
      <c r="BU10" s="15" t="str">
        <f>+haulerpayload[[#This Row],[Hauler/loader]]&amp;haulerpayload[[#This Row],[Materi]]</f>
        <v>EX1200-7BHTS</v>
      </c>
      <c r="BV10" s="15">
        <v>25</v>
      </c>
      <c r="BX10" s="15" t="s">
        <v>298</v>
      </c>
      <c r="BZ10" s="13" t="s">
        <v>299</v>
      </c>
      <c r="CA10" s="13">
        <v>1.3</v>
      </c>
      <c r="CC10" s="15" t="s">
        <v>875</v>
      </c>
      <c r="CD10" s="15" t="s">
        <v>876</v>
      </c>
      <c r="CE10" s="15" t="str">
        <f>+CC10&amp;"-"&amp;CD10</f>
        <v>50721059-Hotman Sinaga</v>
      </c>
      <c r="CF10" s="15" t="s">
        <v>876</v>
      </c>
      <c r="CH10" s="15" t="s">
        <v>300</v>
      </c>
      <c r="CI10" s="15" t="s">
        <v>300</v>
      </c>
      <c r="CK10" s="45" t="s">
        <v>171</v>
      </c>
      <c r="CL10" s="45" t="s">
        <v>152</v>
      </c>
      <c r="CN10" s="15" t="s">
        <v>49</v>
      </c>
      <c r="CO10" s="18" t="s">
        <v>109</v>
      </c>
      <c r="CP10" s="15" t="s">
        <v>87</v>
      </c>
      <c r="CR10" s="13" t="s">
        <v>192</v>
      </c>
      <c r="CS10" s="45" t="s">
        <v>187</v>
      </c>
      <c r="CZ10"/>
      <c r="DA10" t="s">
        <v>0</v>
      </c>
      <c r="DB10" t="s">
        <v>1065</v>
      </c>
      <c r="DC10"/>
      <c r="DD10"/>
      <c r="DE10" t="s">
        <v>0</v>
      </c>
      <c r="DF10" t="s">
        <v>1065</v>
      </c>
    </row>
    <row r="11" spans="2:110" ht="14.5" x14ac:dyDescent="0.35">
      <c r="B11" s="58">
        <f t="shared" ref="B11:B74" si="19">1+B10</f>
        <v>44198</v>
      </c>
      <c r="C11" s="59" t="str">
        <f t="shared" si="0"/>
        <v>02</v>
      </c>
      <c r="D11" s="59" t="str">
        <f t="shared" si="1"/>
        <v>Saturday</v>
      </c>
      <c r="E11" s="59" t="str">
        <f t="shared" si="2"/>
        <v>January</v>
      </c>
      <c r="F11" s="59" t="str">
        <f t="shared" si="3"/>
        <v>2021</v>
      </c>
      <c r="G11" s="59" t="str">
        <f t="shared" ref="G11:G74" si="20">+N11</f>
        <v>Week_01</v>
      </c>
      <c r="H11" s="59" t="str">
        <f t="shared" ref="H11:H74" si="21">E11&amp;" "&amp;F11</f>
        <v>January 2021</v>
      </c>
      <c r="I11" s="59" t="str">
        <f t="shared" ref="I11:I74" si="22">+P11&amp;N11</f>
        <v>Week_01</v>
      </c>
      <c r="J11" s="60">
        <f t="shared" si="4"/>
        <v>44198</v>
      </c>
      <c r="K11" s="59">
        <f t="shared" ref="K11:K74" si="23">IF($D11=$C$3,K10+1,K10)</f>
        <v>1</v>
      </c>
      <c r="L11" s="59" t="str">
        <f t="shared" si="5"/>
        <v>01</v>
      </c>
      <c r="M11" s="59" t="str">
        <f t="shared" si="6"/>
        <v>Week_</v>
      </c>
      <c r="N11" s="59" t="str">
        <f t="shared" si="7"/>
        <v>Week_01</v>
      </c>
      <c r="O11" s="59">
        <f t="shared" ref="O11:O74" si="24">K11-K10</f>
        <v>0</v>
      </c>
      <c r="P11" s="59" t="str">
        <f t="shared" ref="P11:P74" si="25">IF(O11=1,"Start Week","")</f>
        <v/>
      </c>
      <c r="Q11" s="59" t="str">
        <f t="shared" si="8"/>
        <v/>
      </c>
      <c r="R11" s="59" t="str">
        <f t="shared" si="9"/>
        <v>January 2021</v>
      </c>
      <c r="S11" s="61">
        <f t="shared" si="10"/>
        <v>44198</v>
      </c>
      <c r="U11" s="15" t="s">
        <v>283</v>
      </c>
      <c r="V11" s="16">
        <f t="shared" si="11"/>
        <v>7</v>
      </c>
      <c r="W11" s="62">
        <f t="shared" si="12"/>
        <v>44200</v>
      </c>
      <c r="X11" s="62">
        <f t="shared" si="13"/>
        <v>44206</v>
      </c>
      <c r="Z11" s="62">
        <f t="shared" si="14"/>
        <v>44198</v>
      </c>
      <c r="AA11" s="63" t="s">
        <v>253</v>
      </c>
      <c r="AC11" s="69">
        <f t="shared" ref="AC11:AC40" si="26">+AC10+1</f>
        <v>1</v>
      </c>
      <c r="AD11" s="21">
        <f>VLOOKUP($AC$8,dbmonthly[[Monthy]:[Start Month]],4,0)+Monthly_Filter_Date[[#This Row],[No]]</f>
        <v>44471</v>
      </c>
      <c r="AF11" s="15">
        <v>2</v>
      </c>
      <c r="AG11" s="15" t="s">
        <v>511</v>
      </c>
      <c r="AH11" s="15" t="s">
        <v>301</v>
      </c>
      <c r="AI11" s="15" t="s">
        <v>547</v>
      </c>
      <c r="AJ11" s="50">
        <v>0.29166666666666702</v>
      </c>
      <c r="AK11" s="50">
        <v>0.33333333333333298</v>
      </c>
      <c r="AL11" s="50"/>
      <c r="AM11" s="66">
        <f t="shared" ref="AM11:AM21" si="27">1+AM10</f>
        <v>2</v>
      </c>
      <c r="AN11" s="18" t="s">
        <v>302</v>
      </c>
      <c r="AO11" s="18" t="str">
        <f t="shared" si="15"/>
        <v>February 2021</v>
      </c>
      <c r="AP11" s="67">
        <f t="shared" si="16"/>
        <v>28</v>
      </c>
      <c r="AQ11" s="67">
        <f t="shared" ref="AQ11:AQ21" si="28">+AP11-1</f>
        <v>27</v>
      </c>
      <c r="AR11" s="47">
        <f t="shared" si="17"/>
        <v>44228</v>
      </c>
      <c r="AS11" s="47">
        <f t="shared" si="18"/>
        <v>44255</v>
      </c>
      <c r="AT11" s="18" t="s">
        <v>303</v>
      </c>
      <c r="AU11" s="18" t="s">
        <v>304</v>
      </c>
      <c r="AV11" s="18" t="s">
        <v>305</v>
      </c>
      <c r="AW11" s="18" t="s">
        <v>306</v>
      </c>
      <c r="BA11" s="18" t="s">
        <v>307</v>
      </c>
      <c r="BB11" s="18" t="s">
        <v>308</v>
      </c>
      <c r="BC11" s="18" t="s">
        <v>309</v>
      </c>
      <c r="BD11" s="18" t="s">
        <v>290</v>
      </c>
      <c r="BF11" s="18" t="s">
        <v>307</v>
      </c>
      <c r="BH11" s="15" t="s">
        <v>310</v>
      </c>
      <c r="BJ11" s="15" t="s">
        <v>311</v>
      </c>
      <c r="BK11" s="15" t="s">
        <v>312</v>
      </c>
      <c r="BL11" s="15" t="s">
        <v>313</v>
      </c>
      <c r="BM11" s="15" t="s">
        <v>314</v>
      </c>
      <c r="BO11" s="15" t="s">
        <v>315</v>
      </c>
      <c r="BP11" s="16">
        <v>25</v>
      </c>
      <c r="BQ11" s="68">
        <v>550</v>
      </c>
      <c r="BS11" s="15" t="s">
        <v>288</v>
      </c>
      <c r="BT11" s="15" t="s">
        <v>315</v>
      </c>
      <c r="BU11" s="15" t="str">
        <f>+haulerpayload[[#This Row],[Hauler/loader]]&amp;haulerpayload[[#This Row],[Materi]]</f>
        <v>EX1200-7BHOBB</v>
      </c>
      <c r="BV11" s="15">
        <v>25</v>
      </c>
      <c r="BX11" s="15" t="s">
        <v>13</v>
      </c>
      <c r="BZ11" s="13" t="s">
        <v>316</v>
      </c>
      <c r="CA11" s="13">
        <v>1.3</v>
      </c>
      <c r="CC11" s="15" t="s">
        <v>877</v>
      </c>
      <c r="CD11" s="15" t="s">
        <v>878</v>
      </c>
      <c r="CE11" s="15" t="str">
        <f t="shared" ref="CE11:CE19" si="29">+CC11&amp;"-"&amp;CD11</f>
        <v>50721060-Andi Amiluddin</v>
      </c>
      <c r="CF11" s="15" t="s">
        <v>878</v>
      </c>
      <c r="CH11" s="15" t="s">
        <v>532</v>
      </c>
      <c r="CI11" s="15" t="s">
        <v>532</v>
      </c>
      <c r="CK11" s="45" t="s">
        <v>172</v>
      </c>
      <c r="CL11" s="45" t="s">
        <v>153</v>
      </c>
      <c r="CN11" s="15" t="s">
        <v>50</v>
      </c>
      <c r="CO11" s="18" t="s">
        <v>110</v>
      </c>
      <c r="CP11" s="15" t="s">
        <v>87</v>
      </c>
      <c r="CR11" s="13" t="s">
        <v>193</v>
      </c>
      <c r="CS11" s="45" t="s">
        <v>188</v>
      </c>
      <c r="CZ11"/>
      <c r="DA11" t="s">
        <v>1</v>
      </c>
      <c r="DB11" t="s">
        <v>1065</v>
      </c>
      <c r="DC11"/>
      <c r="DD11"/>
      <c r="DE11" t="s">
        <v>1</v>
      </c>
      <c r="DF11" t="s">
        <v>1065</v>
      </c>
    </row>
    <row r="12" spans="2:110" ht="14.5" x14ac:dyDescent="0.35">
      <c r="B12" s="58">
        <f t="shared" si="19"/>
        <v>44199</v>
      </c>
      <c r="C12" s="59" t="str">
        <f t="shared" si="0"/>
        <v>03</v>
      </c>
      <c r="D12" s="59" t="str">
        <f t="shared" si="1"/>
        <v>Sunday</v>
      </c>
      <c r="E12" s="59" t="str">
        <f t="shared" si="2"/>
        <v>January</v>
      </c>
      <c r="F12" s="59" t="str">
        <f t="shared" si="3"/>
        <v>2021</v>
      </c>
      <c r="G12" s="59" t="str">
        <f t="shared" si="20"/>
        <v>Week_01</v>
      </c>
      <c r="H12" s="59" t="str">
        <f t="shared" si="21"/>
        <v>January 2021</v>
      </c>
      <c r="I12" s="59" t="str">
        <f t="shared" si="22"/>
        <v>Week_01</v>
      </c>
      <c r="J12" s="60">
        <f t="shared" si="4"/>
        <v>44199</v>
      </c>
      <c r="K12" s="59">
        <f t="shared" si="23"/>
        <v>1</v>
      </c>
      <c r="L12" s="59" t="str">
        <f t="shared" si="5"/>
        <v>01</v>
      </c>
      <c r="M12" s="59" t="str">
        <f t="shared" si="6"/>
        <v>Week_</v>
      </c>
      <c r="N12" s="59" t="str">
        <f t="shared" si="7"/>
        <v>Week_01</v>
      </c>
      <c r="O12" s="59">
        <f t="shared" si="24"/>
        <v>0</v>
      </c>
      <c r="P12" s="59" t="str">
        <f t="shared" si="25"/>
        <v/>
      </c>
      <c r="Q12" s="59" t="str">
        <f t="shared" si="8"/>
        <v/>
      </c>
      <c r="R12" s="59" t="str">
        <f t="shared" si="9"/>
        <v>January 2021</v>
      </c>
      <c r="S12" s="61">
        <f t="shared" si="10"/>
        <v>44199</v>
      </c>
      <c r="U12" s="15" t="s">
        <v>284</v>
      </c>
      <c r="V12" s="16">
        <f t="shared" si="11"/>
        <v>7</v>
      </c>
      <c r="W12" s="62">
        <f t="shared" si="12"/>
        <v>44207</v>
      </c>
      <c r="X12" s="62">
        <f t="shared" si="13"/>
        <v>44213</v>
      </c>
      <c r="Z12" s="62">
        <f t="shared" si="14"/>
        <v>44199</v>
      </c>
      <c r="AA12" s="63" t="s">
        <v>253</v>
      </c>
      <c r="AC12" s="69">
        <f t="shared" si="26"/>
        <v>2</v>
      </c>
      <c r="AD12" s="21">
        <f>VLOOKUP($AC$8,dbmonthly[[Monthy]:[Start Month]],4,0)+Monthly_Filter_Date[[#This Row],[No]]</f>
        <v>44472</v>
      </c>
      <c r="AF12" s="15">
        <v>3</v>
      </c>
      <c r="AG12" s="15" t="s">
        <v>512</v>
      </c>
      <c r="AH12" s="15" t="s">
        <v>317</v>
      </c>
      <c r="AI12" s="15" t="s">
        <v>547</v>
      </c>
      <c r="AJ12" s="50">
        <v>0.33333333333333298</v>
      </c>
      <c r="AK12" s="50">
        <v>0.375</v>
      </c>
      <c r="AL12" s="50"/>
      <c r="AM12" s="66">
        <f t="shared" si="27"/>
        <v>3</v>
      </c>
      <c r="AN12" s="18" t="s">
        <v>318</v>
      </c>
      <c r="AO12" s="18" t="str">
        <f t="shared" si="15"/>
        <v>March 2021</v>
      </c>
      <c r="AP12" s="67">
        <f t="shared" si="16"/>
        <v>31</v>
      </c>
      <c r="AQ12" s="67">
        <f t="shared" si="28"/>
        <v>30</v>
      </c>
      <c r="AR12" s="47">
        <f t="shared" si="17"/>
        <v>44256</v>
      </c>
      <c r="AS12" s="47">
        <f t="shared" si="18"/>
        <v>44286</v>
      </c>
      <c r="AT12" s="18" t="s">
        <v>319</v>
      </c>
      <c r="AU12" s="18" t="s">
        <v>320</v>
      </c>
      <c r="AV12" s="18" t="s">
        <v>321</v>
      </c>
      <c r="AW12" s="18" t="s">
        <v>322</v>
      </c>
      <c r="AX12" s="18" t="s">
        <v>323</v>
      </c>
      <c r="BA12" s="18" t="s">
        <v>324</v>
      </c>
      <c r="BB12" s="18" t="s">
        <v>325</v>
      </c>
      <c r="BC12" s="18" t="s">
        <v>326</v>
      </c>
      <c r="BD12" s="18" t="s">
        <v>290</v>
      </c>
      <c r="BF12" s="15" t="s">
        <v>324</v>
      </c>
      <c r="BJ12" s="15" t="s">
        <v>327</v>
      </c>
      <c r="BK12" s="15" t="s">
        <v>328</v>
      </c>
      <c r="BL12" s="15" t="s">
        <v>329</v>
      </c>
      <c r="BM12" s="15" t="s">
        <v>330</v>
      </c>
      <c r="BO12" s="15" t="s">
        <v>331</v>
      </c>
      <c r="BP12" s="16">
        <v>25</v>
      </c>
      <c r="BQ12" s="68">
        <v>500</v>
      </c>
      <c r="BS12" s="15" t="s">
        <v>288</v>
      </c>
      <c r="BT12" s="15" t="s">
        <v>331</v>
      </c>
      <c r="BU12" s="15" t="str">
        <f>+haulerpayload[[#This Row],[Hauler/loader]]&amp;haulerpayload[[#This Row],[Materi]]</f>
        <v>EX1200-7BHOBF</v>
      </c>
      <c r="BV12" s="15">
        <v>25</v>
      </c>
      <c r="BX12" s="15" t="s">
        <v>332</v>
      </c>
      <c r="BZ12" s="13" t="s">
        <v>333</v>
      </c>
      <c r="CA12" s="13">
        <v>1.3</v>
      </c>
      <c r="CC12" s="15" t="s">
        <v>879</v>
      </c>
      <c r="CD12" s="15" t="s">
        <v>880</v>
      </c>
      <c r="CE12" s="15" t="str">
        <f t="shared" si="29"/>
        <v>50721061-Jefrianus Yoseph Budu</v>
      </c>
      <c r="CF12" s="15" t="s">
        <v>880</v>
      </c>
      <c r="CH12" s="15" t="s">
        <v>533</v>
      </c>
      <c r="CI12" s="15" t="s">
        <v>533</v>
      </c>
      <c r="CK12" s="45" t="s">
        <v>173</v>
      </c>
      <c r="CL12" s="45" t="s">
        <v>154</v>
      </c>
      <c r="CN12" s="15" t="s">
        <v>51</v>
      </c>
      <c r="CO12" s="18" t="s">
        <v>111</v>
      </c>
      <c r="CP12" s="15" t="s">
        <v>87</v>
      </c>
      <c r="CR12" s="13" t="s">
        <v>194</v>
      </c>
      <c r="CS12" s="45" t="s">
        <v>189</v>
      </c>
      <c r="CT12" s="45"/>
      <c r="CU12" s="45"/>
      <c r="CV12" s="45"/>
      <c r="CW12" s="45"/>
      <c r="CX12" s="45"/>
      <c r="CY12" s="45"/>
      <c r="CZ12"/>
      <c r="DA12" t="s">
        <v>7</v>
      </c>
      <c r="DB12" t="s">
        <v>1066</v>
      </c>
      <c r="DC12"/>
      <c r="DD12"/>
      <c r="DE12" t="s">
        <v>7</v>
      </c>
      <c r="DF12" t="s">
        <v>1066</v>
      </c>
    </row>
    <row r="13" spans="2:110" ht="14.5" x14ac:dyDescent="0.35">
      <c r="B13" s="58">
        <f t="shared" si="19"/>
        <v>44200</v>
      </c>
      <c r="C13" s="59" t="str">
        <f t="shared" si="0"/>
        <v>04</v>
      </c>
      <c r="D13" s="59" t="str">
        <f t="shared" si="1"/>
        <v>Monday</v>
      </c>
      <c r="E13" s="59" t="str">
        <f t="shared" si="2"/>
        <v>January</v>
      </c>
      <c r="F13" s="59" t="str">
        <f t="shared" si="3"/>
        <v>2021</v>
      </c>
      <c r="G13" s="59" t="str">
        <f t="shared" si="20"/>
        <v>Week_02</v>
      </c>
      <c r="H13" s="59" t="str">
        <f t="shared" si="21"/>
        <v>January 2021</v>
      </c>
      <c r="I13" s="59" t="str">
        <f t="shared" si="22"/>
        <v>Start WeekWeek_02</v>
      </c>
      <c r="J13" s="60">
        <f t="shared" si="4"/>
        <v>44200</v>
      </c>
      <c r="K13" s="59">
        <f t="shared" si="23"/>
        <v>2</v>
      </c>
      <c r="L13" s="59" t="str">
        <f t="shared" si="5"/>
        <v>02</v>
      </c>
      <c r="M13" s="59" t="str">
        <f t="shared" si="6"/>
        <v>Week_</v>
      </c>
      <c r="N13" s="59" t="str">
        <f t="shared" si="7"/>
        <v>Week_02</v>
      </c>
      <c r="O13" s="59">
        <f t="shared" si="24"/>
        <v>1</v>
      </c>
      <c r="P13" s="59" t="str">
        <f t="shared" si="25"/>
        <v>Start Week</v>
      </c>
      <c r="Q13" s="59" t="str">
        <f t="shared" si="8"/>
        <v/>
      </c>
      <c r="R13" s="59" t="str">
        <f t="shared" si="9"/>
        <v>January 2021</v>
      </c>
      <c r="S13" s="61">
        <f t="shared" si="10"/>
        <v>44200</v>
      </c>
      <c r="U13" s="15" t="s">
        <v>285</v>
      </c>
      <c r="V13" s="16">
        <f t="shared" si="11"/>
        <v>7</v>
      </c>
      <c r="W13" s="62">
        <f t="shared" si="12"/>
        <v>44214</v>
      </c>
      <c r="X13" s="62">
        <f t="shared" si="13"/>
        <v>44220</v>
      </c>
      <c r="Z13" s="62">
        <f t="shared" si="14"/>
        <v>44200</v>
      </c>
      <c r="AA13" s="63" t="s">
        <v>253</v>
      </c>
      <c r="AC13" s="69">
        <f t="shared" si="26"/>
        <v>3</v>
      </c>
      <c r="AD13" s="21">
        <f>VLOOKUP($AC$8,dbmonthly[[Monthy]:[Start Month]],4,0)+Monthly_Filter_Date[[#This Row],[No]]</f>
        <v>44473</v>
      </c>
      <c r="AF13" s="15">
        <v>4</v>
      </c>
      <c r="AG13" s="15" t="s">
        <v>513</v>
      </c>
      <c r="AH13" s="15" t="s">
        <v>334</v>
      </c>
      <c r="AI13" s="15" t="s">
        <v>547</v>
      </c>
      <c r="AJ13" s="50">
        <v>0.375</v>
      </c>
      <c r="AK13" s="50">
        <v>0.41666666666666702</v>
      </c>
      <c r="AL13" s="50"/>
      <c r="AM13" s="66">
        <f t="shared" si="27"/>
        <v>4</v>
      </c>
      <c r="AN13" s="18" t="s">
        <v>335</v>
      </c>
      <c r="AO13" s="18" t="str">
        <f t="shared" si="15"/>
        <v>April 2021</v>
      </c>
      <c r="AP13" s="67">
        <f t="shared" si="16"/>
        <v>30</v>
      </c>
      <c r="AQ13" s="67">
        <f t="shared" si="28"/>
        <v>29</v>
      </c>
      <c r="AR13" s="47">
        <f t="shared" si="17"/>
        <v>44287</v>
      </c>
      <c r="AS13" s="47">
        <f t="shared" si="18"/>
        <v>44316</v>
      </c>
      <c r="AT13" s="18" t="s">
        <v>323</v>
      </c>
      <c r="AU13" s="18" t="s">
        <v>336</v>
      </c>
      <c r="AV13" s="18" t="s">
        <v>337</v>
      </c>
      <c r="AW13" s="18" t="s">
        <v>338</v>
      </c>
      <c r="AX13" s="18" t="s">
        <v>339</v>
      </c>
      <c r="BA13" s="18" t="s">
        <v>340</v>
      </c>
      <c r="BB13" s="18" t="s">
        <v>325</v>
      </c>
      <c r="BC13" s="18" t="s">
        <v>326</v>
      </c>
      <c r="BD13" s="18" t="s">
        <v>290</v>
      </c>
      <c r="BF13" s="15" t="s">
        <v>340</v>
      </c>
      <c r="BJ13" s="15" t="s">
        <v>341</v>
      </c>
      <c r="BK13" s="15" t="s">
        <v>342</v>
      </c>
      <c r="BL13" s="15" t="s">
        <v>343</v>
      </c>
      <c r="BM13" s="15" t="s">
        <v>344</v>
      </c>
      <c r="BO13" s="15" t="s">
        <v>345</v>
      </c>
      <c r="BP13" s="16">
        <v>25</v>
      </c>
      <c r="BQ13" s="68">
        <v>450</v>
      </c>
      <c r="BS13" s="15" t="s">
        <v>288</v>
      </c>
      <c r="BT13" s="15" t="s">
        <v>345</v>
      </c>
      <c r="BU13" s="15" t="str">
        <f>+haulerpayload[[#This Row],[Hauler/loader]]&amp;haulerpayload[[#This Row],[Materi]]</f>
        <v>EX1200-7BHOBR</v>
      </c>
      <c r="BV13" s="15">
        <v>25</v>
      </c>
      <c r="BX13" s="15" t="s">
        <v>346</v>
      </c>
      <c r="BZ13" s="13" t="s">
        <v>347</v>
      </c>
      <c r="CA13" s="13">
        <v>1.3</v>
      </c>
      <c r="CC13" s="15" t="s">
        <v>881</v>
      </c>
      <c r="CD13" s="15" t="s">
        <v>882</v>
      </c>
      <c r="CE13" s="15" t="str">
        <f t="shared" si="29"/>
        <v xml:space="preserve">50721062-Aslan </v>
      </c>
      <c r="CF13" s="15" t="s">
        <v>882</v>
      </c>
      <c r="CH13" s="106" t="s">
        <v>871</v>
      </c>
      <c r="CI13" s="106" t="s">
        <v>871</v>
      </c>
      <c r="CK13" s="45" t="s">
        <v>174</v>
      </c>
      <c r="CL13" s="45" t="s">
        <v>155</v>
      </c>
      <c r="CN13" s="15" t="s">
        <v>52</v>
      </c>
      <c r="CO13" s="18" t="s">
        <v>112</v>
      </c>
      <c r="CP13" s="15" t="s">
        <v>87</v>
      </c>
      <c r="CR13" s="13" t="s">
        <v>195</v>
      </c>
      <c r="CS13" s="45" t="s">
        <v>190</v>
      </c>
      <c r="CZ13"/>
      <c r="DA13" t="s">
        <v>8</v>
      </c>
      <c r="DB13" t="s">
        <v>1065</v>
      </c>
      <c r="DC13"/>
      <c r="DD13"/>
      <c r="DE13" t="s">
        <v>8</v>
      </c>
      <c r="DF13" t="s">
        <v>1065</v>
      </c>
    </row>
    <row r="14" spans="2:110" ht="14.5" x14ac:dyDescent="0.35">
      <c r="B14" s="58">
        <f t="shared" si="19"/>
        <v>44201</v>
      </c>
      <c r="C14" s="59" t="str">
        <f t="shared" si="0"/>
        <v>05</v>
      </c>
      <c r="D14" s="59" t="str">
        <f t="shared" si="1"/>
        <v>Tuesday</v>
      </c>
      <c r="E14" s="59" t="str">
        <f t="shared" si="2"/>
        <v>January</v>
      </c>
      <c r="F14" s="59" t="str">
        <f t="shared" si="3"/>
        <v>2021</v>
      </c>
      <c r="G14" s="59" t="str">
        <f t="shared" si="20"/>
        <v>Week_02</v>
      </c>
      <c r="H14" s="59" t="str">
        <f t="shared" si="21"/>
        <v>January 2021</v>
      </c>
      <c r="I14" s="59" t="str">
        <f t="shared" si="22"/>
        <v>Week_02</v>
      </c>
      <c r="J14" s="60">
        <f t="shared" si="4"/>
        <v>44201</v>
      </c>
      <c r="K14" s="59">
        <f t="shared" si="23"/>
        <v>2</v>
      </c>
      <c r="L14" s="59" t="str">
        <f t="shared" si="5"/>
        <v>02</v>
      </c>
      <c r="M14" s="59" t="str">
        <f t="shared" si="6"/>
        <v>Week_</v>
      </c>
      <c r="N14" s="59" t="str">
        <f t="shared" si="7"/>
        <v>Week_02</v>
      </c>
      <c r="O14" s="59">
        <f t="shared" si="24"/>
        <v>0</v>
      </c>
      <c r="P14" s="59" t="str">
        <f t="shared" si="25"/>
        <v/>
      </c>
      <c r="Q14" s="59" t="str">
        <f t="shared" si="8"/>
        <v/>
      </c>
      <c r="R14" s="59" t="str">
        <f t="shared" si="9"/>
        <v>January 2021</v>
      </c>
      <c r="S14" s="61">
        <f t="shared" si="10"/>
        <v>44201</v>
      </c>
      <c r="U14" s="15" t="s">
        <v>286</v>
      </c>
      <c r="V14" s="16">
        <f t="shared" si="11"/>
        <v>7</v>
      </c>
      <c r="W14" s="62">
        <f t="shared" si="12"/>
        <v>44221</v>
      </c>
      <c r="X14" s="62">
        <f t="shared" si="13"/>
        <v>44227</v>
      </c>
      <c r="Z14" s="62">
        <f t="shared" si="14"/>
        <v>44201</v>
      </c>
      <c r="AA14" s="63" t="s">
        <v>253</v>
      </c>
      <c r="AC14" s="69">
        <f t="shared" si="26"/>
        <v>4</v>
      </c>
      <c r="AD14" s="21">
        <f>VLOOKUP($AC$8,dbmonthly[[Monthy]:[Start Month]],4,0)+Monthly_Filter_Date[[#This Row],[No]]</f>
        <v>44474</v>
      </c>
      <c r="AF14" s="15">
        <v>5</v>
      </c>
      <c r="AG14" s="15" t="s">
        <v>514</v>
      </c>
      <c r="AH14" s="15" t="s">
        <v>348</v>
      </c>
      <c r="AI14" s="15" t="s">
        <v>547</v>
      </c>
      <c r="AJ14" s="50">
        <v>0.41666666666666702</v>
      </c>
      <c r="AK14" s="50">
        <v>0.45833333333333298</v>
      </c>
      <c r="AL14" s="50"/>
      <c r="AM14" s="66">
        <f t="shared" si="27"/>
        <v>5</v>
      </c>
      <c r="AN14" s="18" t="s">
        <v>349</v>
      </c>
      <c r="AO14" s="18" t="str">
        <f t="shared" si="15"/>
        <v>May 2021</v>
      </c>
      <c r="AP14" s="67">
        <f t="shared" si="16"/>
        <v>31</v>
      </c>
      <c r="AQ14" s="67">
        <f t="shared" si="28"/>
        <v>30</v>
      </c>
      <c r="AR14" s="47">
        <f t="shared" si="17"/>
        <v>44317</v>
      </c>
      <c r="AS14" s="47">
        <f t="shared" si="18"/>
        <v>44347</v>
      </c>
      <c r="AT14" s="18" t="s">
        <v>339</v>
      </c>
      <c r="AU14" s="18" t="s">
        <v>350</v>
      </c>
      <c r="AV14" s="18" t="s">
        <v>351</v>
      </c>
      <c r="AW14" s="18" t="s">
        <v>352</v>
      </c>
      <c r="AX14" s="18" t="s">
        <v>353</v>
      </c>
      <c r="AY14" s="18" t="s">
        <v>354</v>
      </c>
      <c r="BA14" s="18" t="s">
        <v>355</v>
      </c>
      <c r="BB14" s="18" t="s">
        <v>297</v>
      </c>
      <c r="BC14" s="18" t="s">
        <v>356</v>
      </c>
      <c r="BD14" s="18" t="s">
        <v>290</v>
      </c>
      <c r="BJ14" s="15" t="s">
        <v>357</v>
      </c>
      <c r="BK14" s="15" t="s">
        <v>358</v>
      </c>
      <c r="BL14" s="15" t="s">
        <v>359</v>
      </c>
      <c r="BM14" s="15" t="s">
        <v>360</v>
      </c>
      <c r="BO14" s="15" t="s">
        <v>361</v>
      </c>
      <c r="BP14" s="16">
        <f>0.6*BP13</f>
        <v>15</v>
      </c>
      <c r="BQ14" s="68">
        <v>350</v>
      </c>
      <c r="BS14" s="15" t="s">
        <v>288</v>
      </c>
      <c r="BT14" s="15" t="s">
        <v>361</v>
      </c>
      <c r="BU14" s="15" t="str">
        <f>+haulerpayload[[#This Row],[Hauler/loader]]&amp;haulerpayload[[#This Row],[Materi]]</f>
        <v>EX1200-7BHMD</v>
      </c>
      <c r="BV14" s="15">
        <v>15</v>
      </c>
      <c r="BX14" s="15" t="s">
        <v>14</v>
      </c>
      <c r="BZ14" s="13" t="s">
        <v>362</v>
      </c>
      <c r="CA14" s="13">
        <v>1.3</v>
      </c>
      <c r="CC14" s="15" t="s">
        <v>883</v>
      </c>
      <c r="CD14" s="15" t="s">
        <v>884</v>
      </c>
      <c r="CE14" s="15" t="str">
        <f t="shared" si="29"/>
        <v>50721063-Murdani</v>
      </c>
      <c r="CF14" s="15" t="s">
        <v>884</v>
      </c>
      <c r="CH14" s="15" t="s">
        <v>874</v>
      </c>
      <c r="CI14" s="15" t="s">
        <v>874</v>
      </c>
      <c r="CK14" s="45" t="s">
        <v>175</v>
      </c>
      <c r="CL14" s="45" t="s">
        <v>156</v>
      </c>
      <c r="CN14" s="15" t="s">
        <v>53</v>
      </c>
      <c r="CO14" s="18" t="s">
        <v>113</v>
      </c>
      <c r="CP14" s="15" t="s">
        <v>87</v>
      </c>
      <c r="CR14" s="13" t="s">
        <v>196</v>
      </c>
      <c r="CS14" s="45" t="s">
        <v>191</v>
      </c>
      <c r="CW14"/>
      <c r="CX14"/>
      <c r="CY14"/>
      <c r="CZ14"/>
      <c r="DA14" t="s">
        <v>103</v>
      </c>
      <c r="DB14" t="s">
        <v>1066</v>
      </c>
      <c r="DC14"/>
      <c r="DD14"/>
      <c r="DE14" t="s">
        <v>103</v>
      </c>
      <c r="DF14" t="s">
        <v>1066</v>
      </c>
    </row>
    <row r="15" spans="2:110" ht="14.5" x14ac:dyDescent="0.35">
      <c r="B15" s="58">
        <f t="shared" si="19"/>
        <v>44202</v>
      </c>
      <c r="C15" s="59" t="str">
        <f t="shared" si="0"/>
        <v>06</v>
      </c>
      <c r="D15" s="59" t="str">
        <f t="shared" si="1"/>
        <v>Wednesday</v>
      </c>
      <c r="E15" s="59" t="str">
        <f t="shared" si="2"/>
        <v>January</v>
      </c>
      <c r="F15" s="59" t="str">
        <f t="shared" si="3"/>
        <v>2021</v>
      </c>
      <c r="G15" s="59" t="str">
        <f t="shared" si="20"/>
        <v>Week_02</v>
      </c>
      <c r="H15" s="59" t="str">
        <f t="shared" si="21"/>
        <v>January 2021</v>
      </c>
      <c r="I15" s="59" t="str">
        <f t="shared" si="22"/>
        <v>Week_02</v>
      </c>
      <c r="J15" s="60">
        <f t="shared" si="4"/>
        <v>44202</v>
      </c>
      <c r="K15" s="59">
        <f t="shared" si="23"/>
        <v>2</v>
      </c>
      <c r="L15" s="59" t="str">
        <f t="shared" si="5"/>
        <v>02</v>
      </c>
      <c r="M15" s="59" t="str">
        <f t="shared" si="6"/>
        <v>Week_</v>
      </c>
      <c r="N15" s="59" t="str">
        <f t="shared" si="7"/>
        <v>Week_02</v>
      </c>
      <c r="O15" s="59">
        <f t="shared" si="24"/>
        <v>0</v>
      </c>
      <c r="P15" s="59" t="str">
        <f t="shared" si="25"/>
        <v/>
      </c>
      <c r="Q15" s="59" t="str">
        <f t="shared" si="8"/>
        <v/>
      </c>
      <c r="R15" s="59" t="str">
        <f t="shared" si="9"/>
        <v>January 2021</v>
      </c>
      <c r="S15" s="61">
        <f t="shared" si="10"/>
        <v>44202</v>
      </c>
      <c r="U15" s="15" t="s">
        <v>303</v>
      </c>
      <c r="V15" s="16">
        <f t="shared" si="11"/>
        <v>7</v>
      </c>
      <c r="W15" s="62">
        <f t="shared" si="12"/>
        <v>44228</v>
      </c>
      <c r="X15" s="62">
        <f t="shared" si="13"/>
        <v>44234</v>
      </c>
      <c r="Z15" s="62">
        <f t="shared" si="14"/>
        <v>44202</v>
      </c>
      <c r="AA15" s="63" t="s">
        <v>253</v>
      </c>
      <c r="AC15" s="69">
        <f t="shared" si="26"/>
        <v>5</v>
      </c>
      <c r="AD15" s="21">
        <f>VLOOKUP($AC$8,dbmonthly[[Monthy]:[Start Month]],4,0)+Monthly_Filter_Date[[#This Row],[No]]</f>
        <v>44475</v>
      </c>
      <c r="AF15" s="15">
        <v>6</v>
      </c>
      <c r="AG15" s="15" t="s">
        <v>515</v>
      </c>
      <c r="AH15" s="15" t="s">
        <v>364</v>
      </c>
      <c r="AI15" s="15" t="s">
        <v>547</v>
      </c>
      <c r="AJ15" s="50">
        <v>0.45833333333333298</v>
      </c>
      <c r="AK15" s="50">
        <v>0.5</v>
      </c>
      <c r="AL15" s="50"/>
      <c r="AM15" s="66">
        <f t="shared" si="27"/>
        <v>6</v>
      </c>
      <c r="AN15" s="18" t="s">
        <v>365</v>
      </c>
      <c r="AO15" s="18" t="str">
        <f t="shared" si="15"/>
        <v>June 2021</v>
      </c>
      <c r="AP15" s="67">
        <f t="shared" si="16"/>
        <v>30</v>
      </c>
      <c r="AQ15" s="67">
        <f t="shared" si="28"/>
        <v>29</v>
      </c>
      <c r="AR15" s="47">
        <f t="shared" si="17"/>
        <v>44348</v>
      </c>
      <c r="AS15" s="47">
        <f t="shared" si="18"/>
        <v>44377</v>
      </c>
      <c r="AT15" s="18" t="s">
        <v>354</v>
      </c>
      <c r="AU15" s="18" t="s">
        <v>366</v>
      </c>
      <c r="AV15" s="18" t="s">
        <v>367</v>
      </c>
      <c r="AW15" s="18" t="s">
        <v>368</v>
      </c>
      <c r="AX15" s="18" t="s">
        <v>369</v>
      </c>
      <c r="BA15" s="18" t="s">
        <v>370</v>
      </c>
      <c r="BB15" s="18" t="s">
        <v>297</v>
      </c>
      <c r="BC15" s="18" t="s">
        <v>356</v>
      </c>
      <c r="BD15" s="18" t="s">
        <v>290</v>
      </c>
      <c r="BJ15" s="15" t="s">
        <v>371</v>
      </c>
      <c r="BK15" s="15" t="s">
        <v>372</v>
      </c>
      <c r="BL15" s="15" t="s">
        <v>373</v>
      </c>
      <c r="BM15" s="15" t="s">
        <v>374</v>
      </c>
      <c r="BS15" s="15" t="s">
        <v>288</v>
      </c>
      <c r="BT15" s="15" t="s">
        <v>434</v>
      </c>
      <c r="BU15" s="15" t="str">
        <f>+haulerpayload[[#This Row],[Hauler/loader]]&amp;haulerpayload[[#This Row],[Materi]]</f>
        <v>EX1200-7BHCO</v>
      </c>
      <c r="BV15" s="15">
        <f>ROUNDUP(40*0.85,0)</f>
        <v>34</v>
      </c>
      <c r="BX15" s="15" t="s">
        <v>375</v>
      </c>
      <c r="BZ15" s="13" t="s">
        <v>376</v>
      </c>
      <c r="CA15" s="13">
        <v>1.3</v>
      </c>
      <c r="CC15" s="15" t="s">
        <v>885</v>
      </c>
      <c r="CD15" s="15" t="s">
        <v>886</v>
      </c>
      <c r="CE15" s="15" t="str">
        <f t="shared" si="29"/>
        <v>50721064-Sahroni</v>
      </c>
      <c r="CF15" s="15" t="s">
        <v>886</v>
      </c>
      <c r="CK15" s="45" t="s">
        <v>176</v>
      </c>
      <c r="CL15" s="45" t="s">
        <v>157</v>
      </c>
      <c r="CN15" s="15" t="s">
        <v>54</v>
      </c>
      <c r="CO15" s="18" t="s">
        <v>114</v>
      </c>
      <c r="CP15" s="15" t="s">
        <v>87</v>
      </c>
      <c r="CW15"/>
      <c r="CX15"/>
      <c r="CY15"/>
      <c r="CZ15"/>
      <c r="DA15" t="s">
        <v>272</v>
      </c>
      <c r="DB15" t="s">
        <v>1066</v>
      </c>
      <c r="DC15"/>
      <c r="DD15"/>
      <c r="DE15" t="s">
        <v>232</v>
      </c>
      <c r="DF15" t="s">
        <v>1066</v>
      </c>
    </row>
    <row r="16" spans="2:110" ht="14.5" x14ac:dyDescent="0.35">
      <c r="B16" s="58">
        <f t="shared" si="19"/>
        <v>44203</v>
      </c>
      <c r="C16" s="59" t="str">
        <f t="shared" si="0"/>
        <v>07</v>
      </c>
      <c r="D16" s="59" t="str">
        <f t="shared" si="1"/>
        <v>Thursday</v>
      </c>
      <c r="E16" s="59" t="str">
        <f t="shared" si="2"/>
        <v>January</v>
      </c>
      <c r="F16" s="59" t="str">
        <f t="shared" si="3"/>
        <v>2021</v>
      </c>
      <c r="G16" s="59" t="str">
        <f t="shared" si="20"/>
        <v>Week_02</v>
      </c>
      <c r="H16" s="59" t="str">
        <f t="shared" si="21"/>
        <v>January 2021</v>
      </c>
      <c r="I16" s="59" t="str">
        <f t="shared" si="22"/>
        <v>Week_02</v>
      </c>
      <c r="J16" s="60">
        <f t="shared" si="4"/>
        <v>44203</v>
      </c>
      <c r="K16" s="59">
        <f t="shared" si="23"/>
        <v>2</v>
      </c>
      <c r="L16" s="59" t="str">
        <f t="shared" si="5"/>
        <v>02</v>
      </c>
      <c r="M16" s="59" t="str">
        <f t="shared" si="6"/>
        <v>Week_</v>
      </c>
      <c r="N16" s="59" t="str">
        <f t="shared" si="7"/>
        <v>Week_02</v>
      </c>
      <c r="O16" s="59">
        <f t="shared" si="24"/>
        <v>0</v>
      </c>
      <c r="P16" s="59" t="str">
        <f t="shared" si="25"/>
        <v/>
      </c>
      <c r="Q16" s="59" t="str">
        <f t="shared" si="8"/>
        <v/>
      </c>
      <c r="R16" s="59" t="str">
        <f t="shared" si="9"/>
        <v>January 2021</v>
      </c>
      <c r="S16" s="61">
        <f t="shared" si="10"/>
        <v>44203</v>
      </c>
      <c r="U16" s="15" t="s">
        <v>304</v>
      </c>
      <c r="V16" s="16">
        <f t="shared" si="11"/>
        <v>7</v>
      </c>
      <c r="W16" s="62">
        <f t="shared" si="12"/>
        <v>44235</v>
      </c>
      <c r="X16" s="62">
        <f t="shared" si="13"/>
        <v>44241</v>
      </c>
      <c r="Z16" s="62">
        <f t="shared" si="14"/>
        <v>44203</v>
      </c>
      <c r="AA16" s="63" t="s">
        <v>253</v>
      </c>
      <c r="AC16" s="69">
        <f t="shared" si="26"/>
        <v>6</v>
      </c>
      <c r="AD16" s="21">
        <f>VLOOKUP($AC$8,dbmonthly[[Monthy]:[Start Month]],4,0)+Monthly_Filter_Date[[#This Row],[No]]</f>
        <v>44476</v>
      </c>
      <c r="AF16" s="15">
        <v>7</v>
      </c>
      <c r="AG16" s="15" t="s">
        <v>516</v>
      </c>
      <c r="AH16" s="15" t="s">
        <v>378</v>
      </c>
      <c r="AI16" s="15" t="s">
        <v>547</v>
      </c>
      <c r="AJ16" s="50">
        <v>0.5</v>
      </c>
      <c r="AK16" s="50">
        <v>0.54166666666666696</v>
      </c>
      <c r="AL16" s="50"/>
      <c r="AM16" s="66">
        <f t="shared" si="27"/>
        <v>7</v>
      </c>
      <c r="AN16" s="18" t="s">
        <v>379</v>
      </c>
      <c r="AO16" s="18" t="str">
        <f t="shared" si="15"/>
        <v>July 2021</v>
      </c>
      <c r="AP16" s="67">
        <f t="shared" si="16"/>
        <v>31</v>
      </c>
      <c r="AQ16" s="67">
        <f t="shared" si="28"/>
        <v>30</v>
      </c>
      <c r="AR16" s="47">
        <f t="shared" si="17"/>
        <v>44378</v>
      </c>
      <c r="AS16" s="47">
        <f t="shared" si="18"/>
        <v>44408</v>
      </c>
      <c r="AT16" s="18" t="s">
        <v>369</v>
      </c>
      <c r="AU16" s="18" t="s">
        <v>380</v>
      </c>
      <c r="AV16" s="18" t="s">
        <v>381</v>
      </c>
      <c r="AW16" s="18" t="s">
        <v>382</v>
      </c>
      <c r="AX16" s="18" t="s">
        <v>383</v>
      </c>
      <c r="BA16" s="18" t="s">
        <v>384</v>
      </c>
      <c r="BB16" s="18" t="s">
        <v>297</v>
      </c>
      <c r="BC16" s="18" t="s">
        <v>356</v>
      </c>
      <c r="BD16" s="18" t="s">
        <v>290</v>
      </c>
      <c r="BJ16" s="15" t="s">
        <v>385</v>
      </c>
      <c r="BK16" s="15" t="s">
        <v>386</v>
      </c>
      <c r="BL16" s="15" t="s">
        <v>387</v>
      </c>
      <c r="BM16" s="15" t="s">
        <v>388</v>
      </c>
      <c r="BS16" s="15" t="s">
        <v>308</v>
      </c>
      <c r="BT16" s="15" t="s">
        <v>296</v>
      </c>
      <c r="BU16" s="15" t="str">
        <f>+haulerpayload[[#This Row],[Hauler/loader]]&amp;haulerpayload[[#This Row],[Materi]]</f>
        <v>ZX470LC-5GTS</v>
      </c>
      <c r="BV16" s="15">
        <v>25</v>
      </c>
      <c r="BX16" s="15" t="s">
        <v>389</v>
      </c>
      <c r="BZ16" s="13" t="s">
        <v>390</v>
      </c>
      <c r="CA16" s="13">
        <v>1.3</v>
      </c>
      <c r="CC16" s="15" t="s">
        <v>887</v>
      </c>
      <c r="CD16" s="15" t="s">
        <v>869</v>
      </c>
      <c r="CE16" s="15" t="str">
        <f t="shared" si="29"/>
        <v>50721065-Ali Usman</v>
      </c>
      <c r="CF16" s="15" t="s">
        <v>869</v>
      </c>
      <c r="CK16" s="45" t="s">
        <v>177</v>
      </c>
      <c r="CL16" s="45" t="s">
        <v>158</v>
      </c>
      <c r="CN16" s="15" t="s">
        <v>55</v>
      </c>
      <c r="CO16" s="18" t="s">
        <v>115</v>
      </c>
      <c r="CP16" s="15" t="s">
        <v>87</v>
      </c>
      <c r="CW16"/>
      <c r="CX16"/>
      <c r="CY16"/>
      <c r="CZ16"/>
      <c r="DA16" t="s">
        <v>232</v>
      </c>
      <c r="DB16" t="s">
        <v>1066</v>
      </c>
      <c r="DC16"/>
      <c r="DD16"/>
      <c r="DE16" t="s">
        <v>550</v>
      </c>
      <c r="DF16" t="s">
        <v>1066</v>
      </c>
    </row>
    <row r="17" spans="2:110" ht="14.5" x14ac:dyDescent="0.35">
      <c r="B17" s="58">
        <f t="shared" si="19"/>
        <v>44204</v>
      </c>
      <c r="C17" s="59" t="str">
        <f t="shared" si="0"/>
        <v>08</v>
      </c>
      <c r="D17" s="59" t="str">
        <f t="shared" si="1"/>
        <v>Friday</v>
      </c>
      <c r="E17" s="59" t="str">
        <f t="shared" si="2"/>
        <v>January</v>
      </c>
      <c r="F17" s="59" t="str">
        <f t="shared" si="3"/>
        <v>2021</v>
      </c>
      <c r="G17" s="59" t="str">
        <f t="shared" si="20"/>
        <v>Week_02</v>
      </c>
      <c r="H17" s="59" t="str">
        <f t="shared" si="21"/>
        <v>January 2021</v>
      </c>
      <c r="I17" s="59" t="str">
        <f t="shared" si="22"/>
        <v>Week_02</v>
      </c>
      <c r="J17" s="60">
        <f t="shared" si="4"/>
        <v>44204</v>
      </c>
      <c r="K17" s="59">
        <f t="shared" si="23"/>
        <v>2</v>
      </c>
      <c r="L17" s="59" t="str">
        <f t="shared" si="5"/>
        <v>02</v>
      </c>
      <c r="M17" s="59" t="str">
        <f t="shared" si="6"/>
        <v>Week_</v>
      </c>
      <c r="N17" s="59" t="str">
        <f t="shared" si="7"/>
        <v>Week_02</v>
      </c>
      <c r="O17" s="59">
        <f t="shared" si="24"/>
        <v>0</v>
      </c>
      <c r="P17" s="59" t="str">
        <f t="shared" si="25"/>
        <v/>
      </c>
      <c r="Q17" s="59" t="str">
        <f t="shared" si="8"/>
        <v/>
      </c>
      <c r="R17" s="59" t="str">
        <f t="shared" si="9"/>
        <v>January 2021</v>
      </c>
      <c r="S17" s="61">
        <f t="shared" si="10"/>
        <v>44204</v>
      </c>
      <c r="U17" s="15" t="s">
        <v>305</v>
      </c>
      <c r="V17" s="16">
        <f t="shared" si="11"/>
        <v>7</v>
      </c>
      <c r="W17" s="62">
        <f t="shared" si="12"/>
        <v>44242</v>
      </c>
      <c r="X17" s="62">
        <f t="shared" si="13"/>
        <v>44248</v>
      </c>
      <c r="Z17" s="62">
        <f t="shared" si="14"/>
        <v>44204</v>
      </c>
      <c r="AA17" s="63" t="s">
        <v>253</v>
      </c>
      <c r="AC17" s="69">
        <f t="shared" si="26"/>
        <v>7</v>
      </c>
      <c r="AD17" s="21">
        <f>VLOOKUP($AC$8,dbmonthly[[Monthy]:[Start Month]],4,0)+Monthly_Filter_Date[[#This Row],[No]]</f>
        <v>44477</v>
      </c>
      <c r="AF17" s="15">
        <v>8</v>
      </c>
      <c r="AG17" s="15" t="s">
        <v>517</v>
      </c>
      <c r="AH17" s="15" t="s">
        <v>392</v>
      </c>
      <c r="AI17" s="15" t="s">
        <v>547</v>
      </c>
      <c r="AJ17" s="50">
        <v>0.54166666666666696</v>
      </c>
      <c r="AK17" s="50">
        <v>0.58333333333333304</v>
      </c>
      <c r="AL17" s="50"/>
      <c r="AM17" s="66">
        <f t="shared" si="27"/>
        <v>8</v>
      </c>
      <c r="AN17" s="18" t="s">
        <v>393</v>
      </c>
      <c r="AO17" s="18" t="str">
        <f t="shared" si="15"/>
        <v>August 2021</v>
      </c>
      <c r="AP17" s="67">
        <f t="shared" si="16"/>
        <v>31</v>
      </c>
      <c r="AQ17" s="67">
        <f t="shared" si="28"/>
        <v>30</v>
      </c>
      <c r="AR17" s="47">
        <f t="shared" si="17"/>
        <v>44409</v>
      </c>
      <c r="AS17" s="47">
        <f t="shared" si="18"/>
        <v>44439</v>
      </c>
      <c r="AT17" s="18" t="s">
        <v>383</v>
      </c>
      <c r="AU17" s="18" t="s">
        <v>394</v>
      </c>
      <c r="AV17" s="18" t="s">
        <v>395</v>
      </c>
      <c r="AW17" s="18" t="s">
        <v>396</v>
      </c>
      <c r="AX17" s="18" t="s">
        <v>397</v>
      </c>
      <c r="AY17" s="18" t="s">
        <v>398</v>
      </c>
      <c r="BA17" s="18" t="s">
        <v>399</v>
      </c>
      <c r="BB17" s="18" t="s">
        <v>297</v>
      </c>
      <c r="BC17" s="18" t="s">
        <v>356</v>
      </c>
      <c r="BD17" s="18" t="s">
        <v>290</v>
      </c>
      <c r="BS17" s="15" t="s">
        <v>308</v>
      </c>
      <c r="BT17" s="15" t="s">
        <v>315</v>
      </c>
      <c r="BU17" s="15" t="str">
        <f>+haulerpayload[[#This Row],[Hauler/loader]]&amp;haulerpayload[[#This Row],[Materi]]</f>
        <v>ZX470LC-5GOBB</v>
      </c>
      <c r="BV17" s="15">
        <v>25</v>
      </c>
      <c r="BX17" s="15" t="s">
        <v>135</v>
      </c>
      <c r="BZ17" s="13" t="s">
        <v>400</v>
      </c>
      <c r="CA17" s="13">
        <v>1.3</v>
      </c>
      <c r="CC17" s="15" t="s">
        <v>888</v>
      </c>
      <c r="CD17" s="15" t="s">
        <v>889</v>
      </c>
      <c r="CE17" s="15" t="str">
        <f t="shared" si="29"/>
        <v>50721066-Theopilus Yansen</v>
      </c>
      <c r="CF17" s="15" t="s">
        <v>889</v>
      </c>
      <c r="CK17" s="45" t="s">
        <v>178</v>
      </c>
      <c r="CL17" s="45" t="s">
        <v>159</v>
      </c>
      <c r="CN17" s="15" t="s">
        <v>56</v>
      </c>
      <c r="CO17" s="18" t="s">
        <v>116</v>
      </c>
      <c r="CP17" s="15" t="s">
        <v>87</v>
      </c>
      <c r="CW17"/>
      <c r="CX17"/>
      <c r="CY17"/>
      <c r="CZ17"/>
      <c r="DA17" t="s">
        <v>271</v>
      </c>
      <c r="DB17" t="s">
        <v>1065</v>
      </c>
      <c r="DC17"/>
      <c r="DD17"/>
      <c r="DE17" t="s">
        <v>531</v>
      </c>
      <c r="DF17" t="s">
        <v>1065</v>
      </c>
    </row>
    <row r="18" spans="2:110" ht="14.5" x14ac:dyDescent="0.35">
      <c r="B18" s="58">
        <f t="shared" si="19"/>
        <v>44205</v>
      </c>
      <c r="C18" s="59" t="str">
        <f t="shared" si="0"/>
        <v>09</v>
      </c>
      <c r="D18" s="59" t="str">
        <f t="shared" si="1"/>
        <v>Saturday</v>
      </c>
      <c r="E18" s="59" t="str">
        <f t="shared" si="2"/>
        <v>January</v>
      </c>
      <c r="F18" s="59" t="str">
        <f t="shared" si="3"/>
        <v>2021</v>
      </c>
      <c r="G18" s="59" t="str">
        <f t="shared" si="20"/>
        <v>Week_02</v>
      </c>
      <c r="H18" s="59" t="str">
        <f t="shared" si="21"/>
        <v>January 2021</v>
      </c>
      <c r="I18" s="59" t="str">
        <f t="shared" si="22"/>
        <v>Week_02</v>
      </c>
      <c r="J18" s="60">
        <f t="shared" si="4"/>
        <v>44205</v>
      </c>
      <c r="K18" s="59">
        <f t="shared" si="23"/>
        <v>2</v>
      </c>
      <c r="L18" s="59" t="str">
        <f t="shared" si="5"/>
        <v>02</v>
      </c>
      <c r="M18" s="59" t="str">
        <f t="shared" si="6"/>
        <v>Week_</v>
      </c>
      <c r="N18" s="59" t="str">
        <f t="shared" si="7"/>
        <v>Week_02</v>
      </c>
      <c r="O18" s="59">
        <f t="shared" si="24"/>
        <v>0</v>
      </c>
      <c r="P18" s="59" t="str">
        <f t="shared" si="25"/>
        <v/>
      </c>
      <c r="Q18" s="59" t="str">
        <f t="shared" si="8"/>
        <v/>
      </c>
      <c r="R18" s="59" t="str">
        <f t="shared" si="9"/>
        <v>January 2021</v>
      </c>
      <c r="S18" s="61">
        <f t="shared" si="10"/>
        <v>44205</v>
      </c>
      <c r="U18" s="15" t="s">
        <v>306</v>
      </c>
      <c r="V18" s="16">
        <f t="shared" si="11"/>
        <v>7</v>
      </c>
      <c r="W18" s="62">
        <f t="shared" si="12"/>
        <v>44249</v>
      </c>
      <c r="X18" s="62">
        <f t="shared" si="13"/>
        <v>44255</v>
      </c>
      <c r="Z18" s="62">
        <f t="shared" si="14"/>
        <v>44205</v>
      </c>
      <c r="AA18" s="63" t="s">
        <v>253</v>
      </c>
      <c r="AC18" s="69">
        <f t="shared" si="26"/>
        <v>8</v>
      </c>
      <c r="AD18" s="21">
        <f>VLOOKUP($AC$8,dbmonthly[[Monthy]:[Start Month]],4,0)+Monthly_Filter_Date[[#This Row],[No]]</f>
        <v>44478</v>
      </c>
      <c r="AF18" s="15">
        <v>9</v>
      </c>
      <c r="AG18" s="15" t="s">
        <v>518</v>
      </c>
      <c r="AH18" s="15" t="s">
        <v>402</v>
      </c>
      <c r="AI18" s="15" t="s">
        <v>547</v>
      </c>
      <c r="AJ18" s="50">
        <v>0.58333333333333304</v>
      </c>
      <c r="AK18" s="50">
        <v>0.625</v>
      </c>
      <c r="AL18" s="50"/>
      <c r="AM18" s="66">
        <f t="shared" si="27"/>
        <v>9</v>
      </c>
      <c r="AN18" s="18" t="s">
        <v>403</v>
      </c>
      <c r="AO18" s="18" t="str">
        <f t="shared" si="15"/>
        <v>September 2021</v>
      </c>
      <c r="AP18" s="67">
        <f t="shared" si="16"/>
        <v>30</v>
      </c>
      <c r="AQ18" s="67">
        <f t="shared" si="28"/>
        <v>29</v>
      </c>
      <c r="AR18" s="47">
        <f t="shared" si="17"/>
        <v>44440</v>
      </c>
      <c r="AS18" s="47">
        <f t="shared" si="18"/>
        <v>44469</v>
      </c>
      <c r="AT18" s="18" t="s">
        <v>398</v>
      </c>
      <c r="AU18" s="18" t="s">
        <v>404</v>
      </c>
      <c r="AV18" s="18" t="s">
        <v>405</v>
      </c>
      <c r="AW18" s="18" t="s">
        <v>406</v>
      </c>
      <c r="AX18" s="18" t="s">
        <v>407</v>
      </c>
      <c r="BA18" s="18" t="s">
        <v>408</v>
      </c>
      <c r="BB18" s="18" t="s">
        <v>297</v>
      </c>
      <c r="BC18" s="18" t="s">
        <v>356</v>
      </c>
      <c r="BD18" s="18" t="s">
        <v>290</v>
      </c>
      <c r="BS18" s="15" t="s">
        <v>308</v>
      </c>
      <c r="BT18" s="15" t="s">
        <v>331</v>
      </c>
      <c r="BU18" s="15" t="str">
        <f>+haulerpayload[[#This Row],[Hauler/loader]]&amp;haulerpayload[[#This Row],[Materi]]</f>
        <v>ZX470LC-5GOBF</v>
      </c>
      <c r="BV18" s="15">
        <v>25</v>
      </c>
      <c r="BX18" s="15" t="s">
        <v>409</v>
      </c>
      <c r="BZ18" s="13" t="s">
        <v>410</v>
      </c>
      <c r="CA18" s="13">
        <v>1.3</v>
      </c>
      <c r="CC18" s="15" t="s">
        <v>890</v>
      </c>
      <c r="CD18" s="15" t="s">
        <v>891</v>
      </c>
      <c r="CE18" s="15" t="str">
        <f t="shared" si="29"/>
        <v>50721067-Musliadi</v>
      </c>
      <c r="CF18" s="15" t="s">
        <v>891</v>
      </c>
      <c r="CK18" s="45" t="s">
        <v>179</v>
      </c>
      <c r="CL18" s="45" t="s">
        <v>160</v>
      </c>
      <c r="CN18" s="15" t="s">
        <v>57</v>
      </c>
      <c r="CO18" s="18" t="s">
        <v>117</v>
      </c>
      <c r="CP18" s="15" t="s">
        <v>87</v>
      </c>
      <c r="CW18"/>
      <c r="CX18"/>
      <c r="CY18"/>
      <c r="CZ18"/>
      <c r="DA18" t="s">
        <v>531</v>
      </c>
      <c r="DB18" t="s">
        <v>1065</v>
      </c>
      <c r="DC18"/>
      <c r="DD18"/>
      <c r="DE18" t="s">
        <v>38</v>
      </c>
      <c r="DF18" t="s">
        <v>1065</v>
      </c>
    </row>
    <row r="19" spans="2:110" ht="14.5" x14ac:dyDescent="0.35">
      <c r="B19" s="58">
        <f t="shared" si="19"/>
        <v>44206</v>
      </c>
      <c r="C19" s="59" t="str">
        <f t="shared" si="0"/>
        <v>10</v>
      </c>
      <c r="D19" s="59" t="str">
        <f t="shared" si="1"/>
        <v>Sunday</v>
      </c>
      <c r="E19" s="59" t="str">
        <f t="shared" si="2"/>
        <v>January</v>
      </c>
      <c r="F19" s="59" t="str">
        <f t="shared" si="3"/>
        <v>2021</v>
      </c>
      <c r="G19" s="59" t="str">
        <f t="shared" si="20"/>
        <v>Week_02</v>
      </c>
      <c r="H19" s="59" t="str">
        <f t="shared" si="21"/>
        <v>January 2021</v>
      </c>
      <c r="I19" s="59" t="str">
        <f t="shared" si="22"/>
        <v>Week_02</v>
      </c>
      <c r="J19" s="60">
        <f t="shared" si="4"/>
        <v>44206</v>
      </c>
      <c r="K19" s="59">
        <f t="shared" si="23"/>
        <v>2</v>
      </c>
      <c r="L19" s="59" t="str">
        <f t="shared" si="5"/>
        <v>02</v>
      </c>
      <c r="M19" s="59" t="str">
        <f t="shared" si="6"/>
        <v>Week_</v>
      </c>
      <c r="N19" s="59" t="str">
        <f t="shared" si="7"/>
        <v>Week_02</v>
      </c>
      <c r="O19" s="59">
        <f t="shared" si="24"/>
        <v>0</v>
      </c>
      <c r="P19" s="59" t="str">
        <f t="shared" si="25"/>
        <v/>
      </c>
      <c r="Q19" s="59" t="str">
        <f t="shared" si="8"/>
        <v/>
      </c>
      <c r="R19" s="59" t="str">
        <f t="shared" si="9"/>
        <v>January 2021</v>
      </c>
      <c r="S19" s="61">
        <f t="shared" si="10"/>
        <v>44206</v>
      </c>
      <c r="U19" s="15" t="s">
        <v>319</v>
      </c>
      <c r="V19" s="16">
        <f t="shared" si="11"/>
        <v>7</v>
      </c>
      <c r="W19" s="62">
        <f t="shared" si="12"/>
        <v>44256</v>
      </c>
      <c r="X19" s="62">
        <f t="shared" si="13"/>
        <v>44262</v>
      </c>
      <c r="Z19" s="62">
        <f t="shared" si="14"/>
        <v>44206</v>
      </c>
      <c r="AA19" s="63" t="s">
        <v>253</v>
      </c>
      <c r="AC19" s="69">
        <f t="shared" si="26"/>
        <v>9</v>
      </c>
      <c r="AD19" s="21">
        <f>VLOOKUP($AC$8,dbmonthly[[Monthy]:[Start Month]],4,0)+Monthly_Filter_Date[[#This Row],[No]]</f>
        <v>44479</v>
      </c>
      <c r="AF19" s="15">
        <v>10</v>
      </c>
      <c r="AG19" s="15" t="s">
        <v>21</v>
      </c>
      <c r="AH19" s="15" t="s">
        <v>412</v>
      </c>
      <c r="AI19" s="15" t="s">
        <v>547</v>
      </c>
      <c r="AJ19" s="50">
        <v>0.625</v>
      </c>
      <c r="AK19" s="50">
        <v>0.66666666666666696</v>
      </c>
      <c r="AL19" s="50"/>
      <c r="AM19" s="66">
        <f t="shared" si="27"/>
        <v>10</v>
      </c>
      <c r="AN19" s="18" t="s">
        <v>413</v>
      </c>
      <c r="AO19" s="18" t="str">
        <f t="shared" si="15"/>
        <v>October 2021</v>
      </c>
      <c r="AP19" s="67">
        <f t="shared" si="16"/>
        <v>31</v>
      </c>
      <c r="AQ19" s="67">
        <f t="shared" si="28"/>
        <v>30</v>
      </c>
      <c r="AR19" s="47">
        <f t="shared" si="17"/>
        <v>44470</v>
      </c>
      <c r="AS19" s="47">
        <f t="shared" si="18"/>
        <v>44500</v>
      </c>
      <c r="AT19" s="18" t="s">
        <v>407</v>
      </c>
      <c r="AU19" s="18" t="s">
        <v>414</v>
      </c>
      <c r="AV19" s="18" t="s">
        <v>415</v>
      </c>
      <c r="AW19" s="18" t="s">
        <v>416</v>
      </c>
      <c r="AX19" s="18" t="s">
        <v>417</v>
      </c>
      <c r="BA19" s="18" t="s">
        <v>418</v>
      </c>
      <c r="BB19" s="18" t="s">
        <v>419</v>
      </c>
      <c r="BC19" s="18" t="s">
        <v>420</v>
      </c>
      <c r="BD19" s="18" t="s">
        <v>290</v>
      </c>
      <c r="BS19" s="15" t="s">
        <v>308</v>
      </c>
      <c r="BT19" s="15" t="s">
        <v>345</v>
      </c>
      <c r="BU19" s="15" t="str">
        <f>+haulerpayload[[#This Row],[Hauler/loader]]&amp;haulerpayload[[#This Row],[Materi]]</f>
        <v>ZX470LC-5GOBR</v>
      </c>
      <c r="BV19" s="15">
        <v>25</v>
      </c>
      <c r="BX19" s="15" t="s">
        <v>421</v>
      </c>
      <c r="BZ19" s="13" t="s">
        <v>422</v>
      </c>
      <c r="CA19" s="13">
        <v>1.3</v>
      </c>
      <c r="CC19" s="15" t="s">
        <v>892</v>
      </c>
      <c r="CD19" s="15" t="s">
        <v>893</v>
      </c>
      <c r="CE19" s="15" t="str">
        <f t="shared" si="29"/>
        <v>50721068-M. Dariyus</v>
      </c>
      <c r="CF19" s="15" t="s">
        <v>893</v>
      </c>
      <c r="CK19" s="45" t="s">
        <v>180</v>
      </c>
      <c r="CL19" s="45" t="s">
        <v>161</v>
      </c>
      <c r="CN19" s="15" t="s">
        <v>58</v>
      </c>
      <c r="CO19" s="18" t="s">
        <v>118</v>
      </c>
      <c r="CP19" s="15" t="s">
        <v>87</v>
      </c>
      <c r="CW19"/>
      <c r="CX19"/>
      <c r="CY19"/>
      <c r="CZ19"/>
      <c r="DA19" t="s">
        <v>25</v>
      </c>
      <c r="DB19" t="s">
        <v>1065</v>
      </c>
      <c r="DC19"/>
      <c r="DD19"/>
      <c r="DE19" t="s">
        <v>549</v>
      </c>
      <c r="DF19" t="s">
        <v>1065</v>
      </c>
    </row>
    <row r="20" spans="2:110" ht="14.5" x14ac:dyDescent="0.35">
      <c r="B20" s="58">
        <f t="shared" si="19"/>
        <v>44207</v>
      </c>
      <c r="C20" s="59" t="str">
        <f t="shared" si="0"/>
        <v>11</v>
      </c>
      <c r="D20" s="59" t="str">
        <f t="shared" si="1"/>
        <v>Monday</v>
      </c>
      <c r="E20" s="59" t="str">
        <f t="shared" si="2"/>
        <v>January</v>
      </c>
      <c r="F20" s="59" t="str">
        <f t="shared" si="3"/>
        <v>2021</v>
      </c>
      <c r="G20" s="59" t="str">
        <f t="shared" si="20"/>
        <v>Week_03</v>
      </c>
      <c r="H20" s="59" t="str">
        <f t="shared" si="21"/>
        <v>January 2021</v>
      </c>
      <c r="I20" s="59" t="str">
        <f t="shared" si="22"/>
        <v>Start WeekWeek_03</v>
      </c>
      <c r="J20" s="60">
        <f t="shared" si="4"/>
        <v>44207</v>
      </c>
      <c r="K20" s="59">
        <f t="shared" si="23"/>
        <v>3</v>
      </c>
      <c r="L20" s="59" t="str">
        <f t="shared" si="5"/>
        <v>03</v>
      </c>
      <c r="M20" s="59" t="str">
        <f t="shared" si="6"/>
        <v>Week_</v>
      </c>
      <c r="N20" s="59" t="str">
        <f t="shared" si="7"/>
        <v>Week_03</v>
      </c>
      <c r="O20" s="59">
        <f t="shared" si="24"/>
        <v>1</v>
      </c>
      <c r="P20" s="59" t="str">
        <f t="shared" si="25"/>
        <v>Start Week</v>
      </c>
      <c r="Q20" s="59" t="str">
        <f t="shared" si="8"/>
        <v/>
      </c>
      <c r="R20" s="59" t="str">
        <f t="shared" si="9"/>
        <v>January 2021</v>
      </c>
      <c r="S20" s="61">
        <f t="shared" si="10"/>
        <v>44207</v>
      </c>
      <c r="U20" s="15" t="s">
        <v>320</v>
      </c>
      <c r="V20" s="16">
        <f t="shared" si="11"/>
        <v>7</v>
      </c>
      <c r="W20" s="62">
        <f t="shared" si="12"/>
        <v>44263</v>
      </c>
      <c r="X20" s="62">
        <f t="shared" si="13"/>
        <v>44269</v>
      </c>
      <c r="Z20" s="62">
        <f t="shared" si="14"/>
        <v>44207</v>
      </c>
      <c r="AA20" s="63" t="s">
        <v>253</v>
      </c>
      <c r="AC20" s="69">
        <f t="shared" si="26"/>
        <v>10</v>
      </c>
      <c r="AD20" s="21">
        <f>VLOOKUP($AC$8,dbmonthly[[Monthy]:[Start Month]],4,0)+Monthly_Filter_Date[[#This Row],[No]]</f>
        <v>44480</v>
      </c>
      <c r="AF20" s="15">
        <v>11</v>
      </c>
      <c r="AG20" s="15" t="s">
        <v>22</v>
      </c>
      <c r="AH20" s="15" t="s">
        <v>424</v>
      </c>
      <c r="AI20" s="15" t="s">
        <v>547</v>
      </c>
      <c r="AJ20" s="50">
        <v>0.66666666666666696</v>
      </c>
      <c r="AK20" s="50">
        <v>0.70833333333333304</v>
      </c>
      <c r="AL20" s="50"/>
      <c r="AM20" s="66">
        <f t="shared" si="27"/>
        <v>11</v>
      </c>
      <c r="AN20" s="18" t="s">
        <v>425</v>
      </c>
      <c r="AO20" s="18" t="str">
        <f t="shared" si="15"/>
        <v>November 2021</v>
      </c>
      <c r="AP20" s="67">
        <f t="shared" si="16"/>
        <v>30</v>
      </c>
      <c r="AQ20" s="67">
        <f t="shared" si="28"/>
        <v>29</v>
      </c>
      <c r="AR20" s="47">
        <f t="shared" si="17"/>
        <v>44501</v>
      </c>
      <c r="AS20" s="47">
        <f t="shared" si="18"/>
        <v>44530</v>
      </c>
      <c r="AT20" s="18" t="s">
        <v>426</v>
      </c>
      <c r="AU20" s="18" t="s">
        <v>427</v>
      </c>
      <c r="AV20" s="18" t="s">
        <v>428</v>
      </c>
      <c r="AW20" s="18" t="s">
        <v>429</v>
      </c>
      <c r="AX20" s="18" t="s">
        <v>430</v>
      </c>
      <c r="BA20" s="18" t="s">
        <v>431</v>
      </c>
      <c r="BB20" s="18" t="s">
        <v>432</v>
      </c>
      <c r="BC20" s="18" t="s">
        <v>433</v>
      </c>
      <c r="BD20" s="18" t="s">
        <v>290</v>
      </c>
      <c r="BS20" s="15" t="s">
        <v>308</v>
      </c>
      <c r="BT20" s="15" t="s">
        <v>361</v>
      </c>
      <c r="BU20" s="15" t="str">
        <f>+haulerpayload[[#This Row],[Hauler/loader]]&amp;haulerpayload[[#This Row],[Materi]]</f>
        <v>ZX470LC-5GMD</v>
      </c>
      <c r="BV20" s="15">
        <v>15</v>
      </c>
      <c r="BX20" s="15" t="s">
        <v>435</v>
      </c>
      <c r="BZ20" s="13" t="s">
        <v>436</v>
      </c>
      <c r="CA20" s="13">
        <v>1.3</v>
      </c>
      <c r="CC20" s="15">
        <v>50721069</v>
      </c>
      <c r="CD20" s="15" t="s">
        <v>894</v>
      </c>
      <c r="CE20" s="15" t="str">
        <f t="shared" ref="CE20:CE27" si="30">+CC20&amp;"-"&amp;CD20</f>
        <v>50721069-Suwoko</v>
      </c>
      <c r="CF20" s="15" t="s">
        <v>894</v>
      </c>
      <c r="CK20" s="45" t="s">
        <v>181</v>
      </c>
      <c r="CL20" s="45" t="s">
        <v>162</v>
      </c>
      <c r="CN20" s="15" t="s">
        <v>59</v>
      </c>
      <c r="CO20" s="18" t="s">
        <v>119</v>
      </c>
      <c r="CP20" s="15" t="s">
        <v>87</v>
      </c>
      <c r="CW20"/>
      <c r="CX20"/>
      <c r="CY20"/>
      <c r="CZ20"/>
      <c r="DA20" t="s">
        <v>26</v>
      </c>
      <c r="DB20" t="s">
        <v>1065</v>
      </c>
      <c r="DC20"/>
      <c r="DD20"/>
      <c r="DE20" t="s">
        <v>542</v>
      </c>
      <c r="DF20" t="s">
        <v>1065</v>
      </c>
    </row>
    <row r="21" spans="2:110" ht="14.5" x14ac:dyDescent="0.35">
      <c r="B21" s="58">
        <f t="shared" si="19"/>
        <v>44208</v>
      </c>
      <c r="C21" s="59" t="str">
        <f t="shared" si="0"/>
        <v>12</v>
      </c>
      <c r="D21" s="59" t="str">
        <f t="shared" si="1"/>
        <v>Tuesday</v>
      </c>
      <c r="E21" s="59" t="str">
        <f t="shared" si="2"/>
        <v>January</v>
      </c>
      <c r="F21" s="59" t="str">
        <f t="shared" si="3"/>
        <v>2021</v>
      </c>
      <c r="G21" s="59" t="str">
        <f t="shared" si="20"/>
        <v>Week_03</v>
      </c>
      <c r="H21" s="59" t="str">
        <f t="shared" si="21"/>
        <v>January 2021</v>
      </c>
      <c r="I21" s="59" t="str">
        <f t="shared" si="22"/>
        <v>Week_03</v>
      </c>
      <c r="J21" s="60">
        <f t="shared" si="4"/>
        <v>44208</v>
      </c>
      <c r="K21" s="59">
        <f t="shared" si="23"/>
        <v>3</v>
      </c>
      <c r="L21" s="59" t="str">
        <f t="shared" si="5"/>
        <v>03</v>
      </c>
      <c r="M21" s="59" t="str">
        <f t="shared" si="6"/>
        <v>Week_</v>
      </c>
      <c r="N21" s="59" t="str">
        <f t="shared" si="7"/>
        <v>Week_03</v>
      </c>
      <c r="O21" s="59">
        <f t="shared" si="24"/>
        <v>0</v>
      </c>
      <c r="P21" s="59" t="str">
        <f t="shared" si="25"/>
        <v/>
      </c>
      <c r="Q21" s="59" t="str">
        <f t="shared" si="8"/>
        <v/>
      </c>
      <c r="R21" s="59" t="str">
        <f t="shared" si="9"/>
        <v>January 2021</v>
      </c>
      <c r="S21" s="61">
        <f t="shared" si="10"/>
        <v>44208</v>
      </c>
      <c r="U21" s="15" t="s">
        <v>321</v>
      </c>
      <c r="V21" s="16">
        <f t="shared" si="11"/>
        <v>7</v>
      </c>
      <c r="W21" s="62">
        <f t="shared" si="12"/>
        <v>44270</v>
      </c>
      <c r="X21" s="62">
        <f t="shared" si="13"/>
        <v>44276</v>
      </c>
      <c r="Z21" s="62">
        <f t="shared" si="14"/>
        <v>44208</v>
      </c>
      <c r="AA21" s="63" t="s">
        <v>253</v>
      </c>
      <c r="AC21" s="69">
        <f t="shared" si="26"/>
        <v>11</v>
      </c>
      <c r="AD21" s="21">
        <f>VLOOKUP($AC$8,dbmonthly[[Monthy]:[Start Month]],4,0)+Monthly_Filter_Date[[#This Row],[No]]</f>
        <v>44481</v>
      </c>
      <c r="AF21" s="15">
        <v>12</v>
      </c>
      <c r="AG21" s="15" t="s">
        <v>559</v>
      </c>
      <c r="AH21" s="15" t="s">
        <v>437</v>
      </c>
      <c r="AI21" s="15" t="s">
        <v>547</v>
      </c>
      <c r="AJ21" s="50">
        <v>0.70833333333333703</v>
      </c>
      <c r="AK21" s="50">
        <v>0.75</v>
      </c>
      <c r="AL21" s="50"/>
      <c r="AM21" s="66">
        <f t="shared" si="27"/>
        <v>12</v>
      </c>
      <c r="AN21" s="18" t="s">
        <v>438</v>
      </c>
      <c r="AO21" s="18" t="str">
        <f t="shared" si="15"/>
        <v>December 2021</v>
      </c>
      <c r="AP21" s="67">
        <f t="shared" si="16"/>
        <v>31</v>
      </c>
      <c r="AQ21" s="67">
        <f t="shared" si="28"/>
        <v>30</v>
      </c>
      <c r="AR21" s="47">
        <f t="shared" si="17"/>
        <v>44531</v>
      </c>
      <c r="AS21" s="47">
        <f t="shared" si="18"/>
        <v>44561</v>
      </c>
      <c r="AT21" s="54" t="s">
        <v>430</v>
      </c>
      <c r="AU21" s="54" t="s">
        <v>439</v>
      </c>
      <c r="AV21" s="54" t="s">
        <v>440</v>
      </c>
      <c r="AW21" s="54" t="s">
        <v>441</v>
      </c>
      <c r="AX21" s="54" t="s">
        <v>442</v>
      </c>
      <c r="AY21" s="54"/>
      <c r="BA21" s="18" t="s">
        <v>443</v>
      </c>
      <c r="BB21" s="18" t="s">
        <v>444</v>
      </c>
      <c r="BC21" s="18" t="s">
        <v>445</v>
      </c>
      <c r="BD21" s="18" t="s">
        <v>290</v>
      </c>
      <c r="BS21" s="15" t="s">
        <v>308</v>
      </c>
      <c r="BT21" s="15" t="s">
        <v>434</v>
      </c>
      <c r="BU21" s="15" t="str">
        <f>+haulerpayload[[#This Row],[Hauler/loader]]&amp;haulerpayload[[#This Row],[Materi]]</f>
        <v>ZX470LC-5GCO</v>
      </c>
      <c r="BV21" s="15">
        <v>34</v>
      </c>
      <c r="BX21" s="15" t="s">
        <v>446</v>
      </c>
      <c r="BZ21" s="13" t="s">
        <v>447</v>
      </c>
      <c r="CA21" s="13">
        <v>1.3</v>
      </c>
      <c r="CC21" s="15" t="s">
        <v>895</v>
      </c>
      <c r="CD21" s="15" t="s">
        <v>896</v>
      </c>
      <c r="CE21" s="15" t="str">
        <f t="shared" si="30"/>
        <v>50721070-Bayu Yuwono</v>
      </c>
      <c r="CF21" s="15" t="s">
        <v>896</v>
      </c>
      <c r="CK21" s="45" t="s">
        <v>182</v>
      </c>
      <c r="CL21" s="45" t="s">
        <v>163</v>
      </c>
      <c r="CN21" s="15" t="s">
        <v>60</v>
      </c>
      <c r="CO21" s="18" t="s">
        <v>120</v>
      </c>
      <c r="CP21" s="15" t="s">
        <v>87</v>
      </c>
      <c r="CW21"/>
      <c r="CX21"/>
      <c r="CY21"/>
      <c r="CZ21"/>
      <c r="DA21" t="s">
        <v>31</v>
      </c>
      <c r="DB21" t="s">
        <v>1065</v>
      </c>
      <c r="DC21"/>
      <c r="DD21"/>
      <c r="DE21" t="s">
        <v>17</v>
      </c>
      <c r="DF21" t="s">
        <v>1065</v>
      </c>
    </row>
    <row r="22" spans="2:110" ht="14.5" x14ac:dyDescent="0.35">
      <c r="B22" s="58">
        <f t="shared" si="19"/>
        <v>44209</v>
      </c>
      <c r="C22" s="59" t="str">
        <f t="shared" si="0"/>
        <v>13</v>
      </c>
      <c r="D22" s="59" t="str">
        <f t="shared" si="1"/>
        <v>Wednesday</v>
      </c>
      <c r="E22" s="59" t="str">
        <f t="shared" si="2"/>
        <v>January</v>
      </c>
      <c r="F22" s="59" t="str">
        <f t="shared" si="3"/>
        <v>2021</v>
      </c>
      <c r="G22" s="59" t="str">
        <f t="shared" si="20"/>
        <v>Week_03</v>
      </c>
      <c r="H22" s="59" t="str">
        <f t="shared" si="21"/>
        <v>January 2021</v>
      </c>
      <c r="I22" s="59" t="str">
        <f t="shared" si="22"/>
        <v>Week_03</v>
      </c>
      <c r="J22" s="60">
        <f t="shared" si="4"/>
        <v>44209</v>
      </c>
      <c r="K22" s="59">
        <f t="shared" si="23"/>
        <v>3</v>
      </c>
      <c r="L22" s="59" t="str">
        <f t="shared" si="5"/>
        <v>03</v>
      </c>
      <c r="M22" s="59" t="str">
        <f t="shared" si="6"/>
        <v>Week_</v>
      </c>
      <c r="N22" s="59" t="str">
        <f t="shared" si="7"/>
        <v>Week_03</v>
      </c>
      <c r="O22" s="59">
        <f t="shared" si="24"/>
        <v>0</v>
      </c>
      <c r="P22" s="59" t="str">
        <f t="shared" si="25"/>
        <v/>
      </c>
      <c r="Q22" s="59" t="str">
        <f t="shared" si="8"/>
        <v/>
      </c>
      <c r="R22" s="59" t="str">
        <f t="shared" si="9"/>
        <v>January 2021</v>
      </c>
      <c r="S22" s="61">
        <f t="shared" si="10"/>
        <v>44209</v>
      </c>
      <c r="U22" s="15" t="s">
        <v>322</v>
      </c>
      <c r="V22" s="16">
        <f t="shared" si="11"/>
        <v>7</v>
      </c>
      <c r="W22" s="62">
        <f t="shared" si="12"/>
        <v>44277</v>
      </c>
      <c r="X22" s="62">
        <f t="shared" si="13"/>
        <v>44283</v>
      </c>
      <c r="Z22" s="62">
        <f t="shared" si="14"/>
        <v>44209</v>
      </c>
      <c r="AA22" s="63" t="s">
        <v>253</v>
      </c>
      <c r="AC22" s="69">
        <f t="shared" si="26"/>
        <v>12</v>
      </c>
      <c r="AD22" s="21">
        <f>VLOOKUP($AC$8,dbmonthly[[Monthy]:[Start Month]],4,0)+Monthly_Filter_Date[[#This Row],[No]]</f>
        <v>44482</v>
      </c>
      <c r="AF22" s="15">
        <v>13</v>
      </c>
      <c r="AG22" s="15" t="s">
        <v>519</v>
      </c>
      <c r="AH22" s="15" t="s">
        <v>448</v>
      </c>
      <c r="AI22" s="15" t="s">
        <v>548</v>
      </c>
      <c r="AJ22" s="50">
        <v>0.750000000000004</v>
      </c>
      <c r="AK22" s="50">
        <v>0.79166666666666696</v>
      </c>
      <c r="AL22" s="50"/>
      <c r="AM22" s="50"/>
      <c r="BA22" s="18" t="s">
        <v>449</v>
      </c>
      <c r="BB22" s="18" t="s">
        <v>450</v>
      </c>
      <c r="BC22" s="18" t="s">
        <v>451</v>
      </c>
      <c r="BD22" s="18" t="s">
        <v>290</v>
      </c>
      <c r="BS22" s="15" t="s">
        <v>325</v>
      </c>
      <c r="BT22" s="15" t="s">
        <v>296</v>
      </c>
      <c r="BU22" s="97" t="str">
        <f>+haulerpayload[[#This Row],[Hauler/loader]]&amp;haulerpayload[[#This Row],[Materi]]</f>
        <v>ZX200-5GTS</v>
      </c>
      <c r="BV22" s="15">
        <v>25</v>
      </c>
      <c r="BZ22" s="13" t="s">
        <v>452</v>
      </c>
      <c r="CA22" s="13">
        <v>1.3</v>
      </c>
      <c r="CC22" s="15" t="s">
        <v>897</v>
      </c>
      <c r="CD22" s="15" t="s">
        <v>898</v>
      </c>
      <c r="CE22" s="15" t="str">
        <f t="shared" si="30"/>
        <v>50721071-Ignasius Longginus</v>
      </c>
      <c r="CF22" s="15" t="s">
        <v>898</v>
      </c>
      <c r="CK22" s="45" t="s">
        <v>183</v>
      </c>
      <c r="CL22" s="45" t="s">
        <v>164</v>
      </c>
      <c r="CN22" s="15" t="s">
        <v>61</v>
      </c>
      <c r="CO22" s="18" t="s">
        <v>121</v>
      </c>
      <c r="CP22" s="15" t="s">
        <v>88</v>
      </c>
      <c r="CW22"/>
      <c r="CX22"/>
      <c r="CY22"/>
      <c r="CZ22"/>
      <c r="DA22" t="s">
        <v>27</v>
      </c>
      <c r="DB22" t="s">
        <v>1065</v>
      </c>
      <c r="DC22"/>
      <c r="DD22"/>
      <c r="DE22" t="s">
        <v>18</v>
      </c>
      <c r="DF22" t="s">
        <v>1065</v>
      </c>
    </row>
    <row r="23" spans="2:110" ht="14.5" x14ac:dyDescent="0.35">
      <c r="B23" s="58">
        <f t="shared" si="19"/>
        <v>44210</v>
      </c>
      <c r="C23" s="59" t="str">
        <f t="shared" si="0"/>
        <v>14</v>
      </c>
      <c r="D23" s="59" t="str">
        <f t="shared" si="1"/>
        <v>Thursday</v>
      </c>
      <c r="E23" s="59" t="str">
        <f t="shared" si="2"/>
        <v>January</v>
      </c>
      <c r="F23" s="59" t="str">
        <f t="shared" si="3"/>
        <v>2021</v>
      </c>
      <c r="G23" s="59" t="str">
        <f t="shared" si="20"/>
        <v>Week_03</v>
      </c>
      <c r="H23" s="59" t="str">
        <f t="shared" si="21"/>
        <v>January 2021</v>
      </c>
      <c r="I23" s="59" t="str">
        <f t="shared" si="22"/>
        <v>Week_03</v>
      </c>
      <c r="J23" s="60">
        <f t="shared" si="4"/>
        <v>44210</v>
      </c>
      <c r="K23" s="59">
        <f t="shared" si="23"/>
        <v>3</v>
      </c>
      <c r="L23" s="59" t="str">
        <f t="shared" si="5"/>
        <v>03</v>
      </c>
      <c r="M23" s="59" t="str">
        <f t="shared" si="6"/>
        <v>Week_</v>
      </c>
      <c r="N23" s="59" t="str">
        <f t="shared" si="7"/>
        <v>Week_03</v>
      </c>
      <c r="O23" s="59">
        <f t="shared" si="24"/>
        <v>0</v>
      </c>
      <c r="P23" s="59" t="str">
        <f t="shared" si="25"/>
        <v/>
      </c>
      <c r="Q23" s="59" t="str">
        <f t="shared" si="8"/>
        <v/>
      </c>
      <c r="R23" s="59" t="str">
        <f t="shared" si="9"/>
        <v>January 2021</v>
      </c>
      <c r="S23" s="61">
        <f t="shared" si="10"/>
        <v>44210</v>
      </c>
      <c r="U23" s="15" t="s">
        <v>323</v>
      </c>
      <c r="V23" s="16">
        <f t="shared" si="11"/>
        <v>7</v>
      </c>
      <c r="W23" s="62">
        <f t="shared" si="12"/>
        <v>44284</v>
      </c>
      <c r="X23" s="62">
        <f t="shared" si="13"/>
        <v>44290</v>
      </c>
      <c r="Z23" s="62">
        <f t="shared" si="14"/>
        <v>44210</v>
      </c>
      <c r="AA23" s="63" t="s">
        <v>253</v>
      </c>
      <c r="AC23" s="69">
        <f t="shared" si="26"/>
        <v>13</v>
      </c>
      <c r="AD23" s="21">
        <f>VLOOKUP($AC$8,dbmonthly[[Monthy]:[Start Month]],4,0)+Monthly_Filter_Date[[#This Row],[No]]</f>
        <v>44483</v>
      </c>
      <c r="AF23" s="15">
        <v>14</v>
      </c>
      <c r="AG23" s="15" t="s">
        <v>520</v>
      </c>
      <c r="AH23" s="15" t="s">
        <v>453</v>
      </c>
      <c r="AI23" s="15" t="s">
        <v>548</v>
      </c>
      <c r="AJ23" s="50">
        <v>0.79166666666667096</v>
      </c>
      <c r="AK23" s="50">
        <v>0.83333333333333304</v>
      </c>
      <c r="AL23" s="50"/>
      <c r="AM23" s="50"/>
      <c r="AN23" s="70"/>
      <c r="BA23" s="18" t="s">
        <v>454</v>
      </c>
      <c r="BB23" s="18" t="s">
        <v>450</v>
      </c>
      <c r="BC23" s="18" t="s">
        <v>455</v>
      </c>
      <c r="BD23" s="18" t="s">
        <v>290</v>
      </c>
      <c r="BS23" s="15" t="s">
        <v>325</v>
      </c>
      <c r="BT23" s="15" t="s">
        <v>315</v>
      </c>
      <c r="BU23" s="97" t="str">
        <f>+haulerpayload[[#This Row],[Hauler/loader]]&amp;haulerpayload[[#This Row],[Materi]]</f>
        <v>ZX200-5GOBB</v>
      </c>
      <c r="BV23" s="15">
        <v>25</v>
      </c>
      <c r="BZ23" s="13" t="s">
        <v>456</v>
      </c>
      <c r="CA23" s="13">
        <v>1.3</v>
      </c>
      <c r="CC23" s="15" t="s">
        <v>899</v>
      </c>
      <c r="CD23" s="15" t="s">
        <v>900</v>
      </c>
      <c r="CE23" s="15" t="str">
        <f t="shared" si="30"/>
        <v>50721072-Sali</v>
      </c>
      <c r="CF23" s="15" t="s">
        <v>900</v>
      </c>
      <c r="CK23" s="45" t="s">
        <v>184</v>
      </c>
      <c r="CL23" s="45" t="s">
        <v>165</v>
      </c>
      <c r="CN23" s="15" t="s">
        <v>62</v>
      </c>
      <c r="CO23" s="18" t="s">
        <v>122</v>
      </c>
      <c r="CP23" s="15" t="s">
        <v>88</v>
      </c>
      <c r="CW23"/>
      <c r="CX23"/>
      <c r="CY23"/>
      <c r="CZ23"/>
      <c r="DA23" t="s">
        <v>28</v>
      </c>
      <c r="DB23" t="s">
        <v>1065</v>
      </c>
      <c r="DC23"/>
      <c r="DD23"/>
      <c r="DE23" t="s">
        <v>541</v>
      </c>
      <c r="DF23" t="s">
        <v>1065</v>
      </c>
    </row>
    <row r="24" spans="2:110" ht="14.5" x14ac:dyDescent="0.35">
      <c r="B24" s="58">
        <f t="shared" si="19"/>
        <v>44211</v>
      </c>
      <c r="C24" s="59" t="str">
        <f t="shared" si="0"/>
        <v>15</v>
      </c>
      <c r="D24" s="59" t="str">
        <f t="shared" si="1"/>
        <v>Friday</v>
      </c>
      <c r="E24" s="59" t="str">
        <f t="shared" si="2"/>
        <v>January</v>
      </c>
      <c r="F24" s="59" t="str">
        <f t="shared" si="3"/>
        <v>2021</v>
      </c>
      <c r="G24" s="59" t="str">
        <f t="shared" si="20"/>
        <v>Week_03</v>
      </c>
      <c r="H24" s="59" t="str">
        <f t="shared" si="21"/>
        <v>January 2021</v>
      </c>
      <c r="I24" s="59" t="str">
        <f t="shared" si="22"/>
        <v>Week_03</v>
      </c>
      <c r="J24" s="60">
        <f t="shared" si="4"/>
        <v>44211</v>
      </c>
      <c r="K24" s="59">
        <f t="shared" si="23"/>
        <v>3</v>
      </c>
      <c r="L24" s="59" t="str">
        <f t="shared" si="5"/>
        <v>03</v>
      </c>
      <c r="M24" s="59" t="str">
        <f t="shared" si="6"/>
        <v>Week_</v>
      </c>
      <c r="N24" s="59" t="str">
        <f t="shared" si="7"/>
        <v>Week_03</v>
      </c>
      <c r="O24" s="59">
        <f t="shared" si="24"/>
        <v>0</v>
      </c>
      <c r="P24" s="59" t="str">
        <f t="shared" si="25"/>
        <v/>
      </c>
      <c r="Q24" s="59" t="str">
        <f t="shared" si="8"/>
        <v/>
      </c>
      <c r="R24" s="59" t="str">
        <f t="shared" si="9"/>
        <v>January 2021</v>
      </c>
      <c r="S24" s="61">
        <f t="shared" si="10"/>
        <v>44211</v>
      </c>
      <c r="U24" s="15" t="s">
        <v>336</v>
      </c>
      <c r="V24" s="16">
        <f t="shared" si="11"/>
        <v>7</v>
      </c>
      <c r="W24" s="62">
        <f t="shared" si="12"/>
        <v>44291</v>
      </c>
      <c r="X24" s="62">
        <f t="shared" si="13"/>
        <v>44297</v>
      </c>
      <c r="Z24" s="62">
        <f t="shared" si="14"/>
        <v>44211</v>
      </c>
      <c r="AA24" s="63" t="s">
        <v>253</v>
      </c>
      <c r="AC24" s="69">
        <f t="shared" si="26"/>
        <v>14</v>
      </c>
      <c r="AD24" s="21">
        <f>VLOOKUP($AC$8,dbmonthly[[Monthy]:[Start Month]],4,0)+Monthly_Filter_Date[[#This Row],[No]]</f>
        <v>44484</v>
      </c>
      <c r="AF24" s="15">
        <v>15</v>
      </c>
      <c r="AG24" s="15" t="s">
        <v>521</v>
      </c>
      <c r="AH24" s="15" t="s">
        <v>457</v>
      </c>
      <c r="AI24" s="15" t="s">
        <v>548</v>
      </c>
      <c r="AJ24" s="50">
        <v>0.83333333333333803</v>
      </c>
      <c r="AK24" s="50">
        <v>0.874999999999995</v>
      </c>
      <c r="AL24" s="50"/>
      <c r="AM24" s="50"/>
      <c r="AN24" s="70"/>
      <c r="BA24" s="18" t="s">
        <v>458</v>
      </c>
      <c r="BB24" s="18" t="s">
        <v>450</v>
      </c>
      <c r="BC24" s="18" t="s">
        <v>459</v>
      </c>
      <c r="BD24" s="18" t="s">
        <v>290</v>
      </c>
      <c r="BS24" s="15" t="s">
        <v>325</v>
      </c>
      <c r="BT24" s="15" t="s">
        <v>331</v>
      </c>
      <c r="BU24" s="97" t="str">
        <f>+haulerpayload[[#This Row],[Hauler/loader]]&amp;haulerpayload[[#This Row],[Materi]]</f>
        <v>ZX200-5GOBF</v>
      </c>
      <c r="BV24" s="15">
        <v>25</v>
      </c>
      <c r="BZ24" s="13" t="s">
        <v>460</v>
      </c>
      <c r="CA24" s="13">
        <v>1.3</v>
      </c>
      <c r="CC24" s="15" t="s">
        <v>901</v>
      </c>
      <c r="CD24" s="15" t="s">
        <v>902</v>
      </c>
      <c r="CE24" s="15" t="str">
        <f t="shared" si="30"/>
        <v>50721073-Matius Taruk Allo</v>
      </c>
      <c r="CF24" s="15" t="s">
        <v>902</v>
      </c>
      <c r="CK24" s="45" t="s">
        <v>185</v>
      </c>
      <c r="CL24" s="45" t="s">
        <v>166</v>
      </c>
      <c r="CN24" s="15" t="s">
        <v>63</v>
      </c>
      <c r="CO24" s="18" t="s">
        <v>123</v>
      </c>
      <c r="CP24" s="15" t="s">
        <v>88</v>
      </c>
      <c r="CW24"/>
      <c r="CX24"/>
      <c r="CY24"/>
      <c r="CZ24"/>
      <c r="DA24" t="s">
        <v>29</v>
      </c>
      <c r="DB24" t="s">
        <v>1065</v>
      </c>
      <c r="DC24"/>
      <c r="DD24"/>
      <c r="DE24" t="s">
        <v>540</v>
      </c>
      <c r="DF24" t="s">
        <v>1065</v>
      </c>
    </row>
    <row r="25" spans="2:110" ht="14.5" x14ac:dyDescent="0.35">
      <c r="B25" s="58">
        <f t="shared" si="19"/>
        <v>44212</v>
      </c>
      <c r="C25" s="59" t="str">
        <f t="shared" si="0"/>
        <v>16</v>
      </c>
      <c r="D25" s="59" t="str">
        <f t="shared" si="1"/>
        <v>Saturday</v>
      </c>
      <c r="E25" s="59" t="str">
        <f t="shared" si="2"/>
        <v>January</v>
      </c>
      <c r="F25" s="59" t="str">
        <f t="shared" si="3"/>
        <v>2021</v>
      </c>
      <c r="G25" s="59" t="str">
        <f t="shared" si="20"/>
        <v>Week_03</v>
      </c>
      <c r="H25" s="59" t="str">
        <f t="shared" si="21"/>
        <v>January 2021</v>
      </c>
      <c r="I25" s="59" t="str">
        <f t="shared" si="22"/>
        <v>Week_03</v>
      </c>
      <c r="J25" s="60">
        <f t="shared" si="4"/>
        <v>44212</v>
      </c>
      <c r="K25" s="59">
        <f t="shared" si="23"/>
        <v>3</v>
      </c>
      <c r="L25" s="59" t="str">
        <f t="shared" si="5"/>
        <v>03</v>
      </c>
      <c r="M25" s="59" t="str">
        <f t="shared" si="6"/>
        <v>Week_</v>
      </c>
      <c r="N25" s="59" t="str">
        <f t="shared" si="7"/>
        <v>Week_03</v>
      </c>
      <c r="O25" s="59">
        <f t="shared" si="24"/>
        <v>0</v>
      </c>
      <c r="P25" s="59" t="str">
        <f t="shared" si="25"/>
        <v/>
      </c>
      <c r="Q25" s="59" t="str">
        <f t="shared" si="8"/>
        <v/>
      </c>
      <c r="R25" s="59" t="str">
        <f t="shared" si="9"/>
        <v>January 2021</v>
      </c>
      <c r="S25" s="61">
        <f t="shared" si="10"/>
        <v>44212</v>
      </c>
      <c r="U25" s="15" t="s">
        <v>337</v>
      </c>
      <c r="V25" s="16">
        <f t="shared" si="11"/>
        <v>7</v>
      </c>
      <c r="W25" s="62">
        <f t="shared" si="12"/>
        <v>44298</v>
      </c>
      <c r="X25" s="62">
        <f t="shared" si="13"/>
        <v>44304</v>
      </c>
      <c r="Z25" s="62">
        <f t="shared" si="14"/>
        <v>44212</v>
      </c>
      <c r="AA25" s="63" t="s">
        <v>253</v>
      </c>
      <c r="AC25" s="69">
        <f t="shared" si="26"/>
        <v>15</v>
      </c>
      <c r="AD25" s="21">
        <f>VLOOKUP($AC$8,dbmonthly[[Monthy]:[Start Month]],4,0)+Monthly_Filter_Date[[#This Row],[No]]</f>
        <v>44485</v>
      </c>
      <c r="AF25" s="15">
        <v>16</v>
      </c>
      <c r="AG25" s="15" t="s">
        <v>522</v>
      </c>
      <c r="AH25" s="15" t="s">
        <v>461</v>
      </c>
      <c r="AI25" s="15" t="s">
        <v>548</v>
      </c>
      <c r="AJ25" s="50">
        <v>0.875000000000005</v>
      </c>
      <c r="AK25" s="50">
        <v>0.91666666666666097</v>
      </c>
      <c r="AL25" s="50"/>
      <c r="AM25" s="50"/>
      <c r="AN25" s="70"/>
      <c r="BA25" s="18" t="s">
        <v>462</v>
      </c>
      <c r="BB25" s="18" t="s">
        <v>463</v>
      </c>
      <c r="BC25" s="18" t="s">
        <v>464</v>
      </c>
      <c r="BD25" s="18" t="s">
        <v>290</v>
      </c>
      <c r="BS25" s="15" t="s">
        <v>325</v>
      </c>
      <c r="BT25" s="15" t="s">
        <v>345</v>
      </c>
      <c r="BU25" s="97" t="str">
        <f>+haulerpayload[[#This Row],[Hauler/loader]]&amp;haulerpayload[[#This Row],[Materi]]</f>
        <v>ZX200-5GOBR</v>
      </c>
      <c r="BV25" s="15">
        <v>25</v>
      </c>
      <c r="BZ25" s="13" t="s">
        <v>465</v>
      </c>
      <c r="CA25" s="13">
        <v>1.3</v>
      </c>
      <c r="CC25" s="106" t="s">
        <v>903</v>
      </c>
      <c r="CD25" s="15" t="s">
        <v>904</v>
      </c>
      <c r="CE25" s="15" t="str">
        <f t="shared" si="30"/>
        <v>50721074-Imam Safi'i</v>
      </c>
      <c r="CF25" s="15" t="s">
        <v>904</v>
      </c>
      <c r="CK25" s="45" t="s">
        <v>186</v>
      </c>
      <c r="CL25" s="45" t="s">
        <v>167</v>
      </c>
      <c r="CN25" s="15" t="s">
        <v>64</v>
      </c>
      <c r="CO25" s="18" t="s">
        <v>124</v>
      </c>
      <c r="CP25" s="15" t="s">
        <v>88</v>
      </c>
      <c r="CW25"/>
      <c r="CX25"/>
      <c r="CY25"/>
      <c r="CZ25"/>
      <c r="DA25" t="s">
        <v>79</v>
      </c>
      <c r="DB25" t="s">
        <v>1065</v>
      </c>
      <c r="DC25"/>
      <c r="DD25"/>
      <c r="DE25" t="s">
        <v>553</v>
      </c>
      <c r="DF25" t="s">
        <v>1065</v>
      </c>
    </row>
    <row r="26" spans="2:110" ht="14.5" x14ac:dyDescent="0.35">
      <c r="B26" s="58">
        <f t="shared" si="19"/>
        <v>44213</v>
      </c>
      <c r="C26" s="59" t="str">
        <f t="shared" si="0"/>
        <v>17</v>
      </c>
      <c r="D26" s="59" t="str">
        <f t="shared" si="1"/>
        <v>Sunday</v>
      </c>
      <c r="E26" s="59" t="str">
        <f t="shared" si="2"/>
        <v>January</v>
      </c>
      <c r="F26" s="59" t="str">
        <f t="shared" si="3"/>
        <v>2021</v>
      </c>
      <c r="G26" s="59" t="str">
        <f t="shared" si="20"/>
        <v>Week_03</v>
      </c>
      <c r="H26" s="59" t="str">
        <f t="shared" si="21"/>
        <v>January 2021</v>
      </c>
      <c r="I26" s="59" t="str">
        <f t="shared" si="22"/>
        <v>Week_03</v>
      </c>
      <c r="J26" s="60">
        <f t="shared" si="4"/>
        <v>44213</v>
      </c>
      <c r="K26" s="59">
        <f t="shared" si="23"/>
        <v>3</v>
      </c>
      <c r="L26" s="59" t="str">
        <f t="shared" si="5"/>
        <v>03</v>
      </c>
      <c r="M26" s="59" t="str">
        <f t="shared" si="6"/>
        <v>Week_</v>
      </c>
      <c r="N26" s="59" t="str">
        <f t="shared" si="7"/>
        <v>Week_03</v>
      </c>
      <c r="O26" s="59">
        <f t="shared" si="24"/>
        <v>0</v>
      </c>
      <c r="P26" s="59" t="str">
        <f t="shared" si="25"/>
        <v/>
      </c>
      <c r="Q26" s="59" t="str">
        <f t="shared" si="8"/>
        <v/>
      </c>
      <c r="R26" s="59" t="str">
        <f t="shared" si="9"/>
        <v>January 2021</v>
      </c>
      <c r="S26" s="61">
        <f t="shared" si="10"/>
        <v>44213</v>
      </c>
      <c r="U26" s="15" t="s">
        <v>338</v>
      </c>
      <c r="V26" s="16">
        <f t="shared" si="11"/>
        <v>7</v>
      </c>
      <c r="W26" s="62">
        <f t="shared" si="12"/>
        <v>44305</v>
      </c>
      <c r="X26" s="62">
        <f t="shared" si="13"/>
        <v>44311</v>
      </c>
      <c r="Z26" s="62">
        <f t="shared" si="14"/>
        <v>44213</v>
      </c>
      <c r="AA26" s="63" t="s">
        <v>253</v>
      </c>
      <c r="AC26" s="69">
        <f t="shared" si="26"/>
        <v>16</v>
      </c>
      <c r="AD26" s="21">
        <f>VLOOKUP($AC$8,dbmonthly[[Monthy]:[Start Month]],4,0)+Monthly_Filter_Date[[#This Row],[No]]</f>
        <v>44486</v>
      </c>
      <c r="AF26" s="15">
        <v>17</v>
      </c>
      <c r="AG26" s="15" t="s">
        <v>523</v>
      </c>
      <c r="AH26" s="15" t="s">
        <v>466</v>
      </c>
      <c r="AI26" s="15" t="s">
        <v>548</v>
      </c>
      <c r="AJ26" s="50">
        <v>0.91666666666667196</v>
      </c>
      <c r="AK26" s="50">
        <v>0.95833333333332804</v>
      </c>
      <c r="AL26" s="50"/>
      <c r="AM26" s="50"/>
      <c r="AN26" s="70"/>
      <c r="BA26" s="18" t="s">
        <v>467</v>
      </c>
      <c r="BB26" s="18" t="s">
        <v>463</v>
      </c>
      <c r="BC26" s="18" t="s">
        <v>464</v>
      </c>
      <c r="BD26" s="18" t="s">
        <v>290</v>
      </c>
      <c r="BS26" s="15" t="s">
        <v>325</v>
      </c>
      <c r="BT26" s="15" t="s">
        <v>361</v>
      </c>
      <c r="BU26" s="97" t="str">
        <f>+haulerpayload[[#This Row],[Hauler/loader]]&amp;haulerpayload[[#This Row],[Materi]]</f>
        <v>ZX200-5GMD</v>
      </c>
      <c r="BV26" s="15">
        <v>15</v>
      </c>
      <c r="CC26" s="106" t="s">
        <v>905</v>
      </c>
      <c r="CD26" s="15" t="s">
        <v>906</v>
      </c>
      <c r="CE26" s="15" t="str">
        <f t="shared" si="30"/>
        <v>50621042-Saiful</v>
      </c>
      <c r="CF26" s="15" t="s">
        <v>906</v>
      </c>
      <c r="CK26" s="45" t="s">
        <v>468</v>
      </c>
      <c r="CL26" s="45" t="s">
        <v>133</v>
      </c>
      <c r="CN26" s="15" t="s">
        <v>65</v>
      </c>
      <c r="CO26" s="18" t="s">
        <v>125</v>
      </c>
      <c r="CP26" s="15" t="s">
        <v>88</v>
      </c>
      <c r="CW26"/>
      <c r="CX26"/>
      <c r="CY26"/>
      <c r="CZ26"/>
      <c r="DA26" t="s">
        <v>76</v>
      </c>
      <c r="DB26" t="s">
        <v>1065</v>
      </c>
      <c r="DC26"/>
      <c r="DD26"/>
      <c r="DE26" t="s">
        <v>554</v>
      </c>
      <c r="DF26" t="s">
        <v>1065</v>
      </c>
    </row>
    <row r="27" spans="2:110" ht="14.5" x14ac:dyDescent="0.35">
      <c r="B27" s="58">
        <f t="shared" si="19"/>
        <v>44214</v>
      </c>
      <c r="C27" s="59" t="str">
        <f t="shared" si="0"/>
        <v>18</v>
      </c>
      <c r="D27" s="59" t="str">
        <f t="shared" si="1"/>
        <v>Monday</v>
      </c>
      <c r="E27" s="59" t="str">
        <f t="shared" si="2"/>
        <v>January</v>
      </c>
      <c r="F27" s="59" t="str">
        <f t="shared" si="3"/>
        <v>2021</v>
      </c>
      <c r="G27" s="59" t="str">
        <f t="shared" si="20"/>
        <v>Week_04</v>
      </c>
      <c r="H27" s="59" t="str">
        <f t="shared" si="21"/>
        <v>January 2021</v>
      </c>
      <c r="I27" s="59" t="str">
        <f t="shared" si="22"/>
        <v>Start WeekWeek_04</v>
      </c>
      <c r="J27" s="60">
        <f t="shared" si="4"/>
        <v>44214</v>
      </c>
      <c r="K27" s="59">
        <f t="shared" si="23"/>
        <v>4</v>
      </c>
      <c r="L27" s="59" t="str">
        <f t="shared" si="5"/>
        <v>04</v>
      </c>
      <c r="M27" s="59" t="str">
        <f t="shared" si="6"/>
        <v>Week_</v>
      </c>
      <c r="N27" s="59" t="str">
        <f t="shared" si="7"/>
        <v>Week_04</v>
      </c>
      <c r="O27" s="59">
        <f t="shared" si="24"/>
        <v>1</v>
      </c>
      <c r="P27" s="59" t="str">
        <f t="shared" si="25"/>
        <v>Start Week</v>
      </c>
      <c r="Q27" s="59" t="str">
        <f t="shared" si="8"/>
        <v/>
      </c>
      <c r="R27" s="59" t="str">
        <f t="shared" si="9"/>
        <v>January 2021</v>
      </c>
      <c r="S27" s="61">
        <f t="shared" si="10"/>
        <v>44214</v>
      </c>
      <c r="U27" s="15" t="s">
        <v>339</v>
      </c>
      <c r="V27" s="16">
        <f t="shared" si="11"/>
        <v>7</v>
      </c>
      <c r="W27" s="62">
        <f t="shared" si="12"/>
        <v>44312</v>
      </c>
      <c r="X27" s="62">
        <f t="shared" si="13"/>
        <v>44318</v>
      </c>
      <c r="Z27" s="62">
        <f t="shared" si="14"/>
        <v>44214</v>
      </c>
      <c r="AA27" s="63" t="s">
        <v>253</v>
      </c>
      <c r="AC27" s="69">
        <f t="shared" si="26"/>
        <v>17</v>
      </c>
      <c r="AD27" s="21">
        <f>VLOOKUP($AC$8,dbmonthly[[Monthy]:[Start Month]],4,0)+Monthly_Filter_Date[[#This Row],[No]]</f>
        <v>44487</v>
      </c>
      <c r="AF27" s="15">
        <v>18</v>
      </c>
      <c r="AG27" s="15" t="s">
        <v>524</v>
      </c>
      <c r="AH27" s="15" t="s">
        <v>469</v>
      </c>
      <c r="AI27" s="15" t="s">
        <v>548</v>
      </c>
      <c r="AJ27" s="50">
        <v>0.95833333333333903</v>
      </c>
      <c r="AK27" s="50">
        <v>0.999999999999994</v>
      </c>
      <c r="AL27" s="50"/>
      <c r="AM27" s="50"/>
      <c r="AN27" s="70"/>
      <c r="BA27" s="18" t="s">
        <v>470</v>
      </c>
      <c r="BB27" s="18" t="s">
        <v>463</v>
      </c>
      <c r="BC27" s="18" t="s">
        <v>464</v>
      </c>
      <c r="BD27" s="18" t="s">
        <v>290</v>
      </c>
      <c r="BS27" s="15" t="s">
        <v>325</v>
      </c>
      <c r="BT27" s="15" t="s">
        <v>434</v>
      </c>
      <c r="BU27" s="97" t="str">
        <f>+haulerpayload[[#This Row],[Hauler/loader]]&amp;haulerpayload[[#This Row],[Materi]]</f>
        <v>ZX200-5GCO</v>
      </c>
      <c r="BV27" s="15">
        <v>34</v>
      </c>
      <c r="CC27" s="106">
        <v>50121015</v>
      </c>
      <c r="CD27" s="15" t="s">
        <v>907</v>
      </c>
      <c r="CE27" s="15" t="str">
        <f t="shared" si="30"/>
        <v>50121015-M.Erik Hidayatul Arifin</v>
      </c>
      <c r="CF27" s="15" t="s">
        <v>907</v>
      </c>
      <c r="CK27" s="45" t="s">
        <v>471</v>
      </c>
      <c r="CL27" s="45" t="s">
        <v>134</v>
      </c>
      <c r="CN27" s="15" t="s">
        <v>66</v>
      </c>
      <c r="CO27" s="18" t="s">
        <v>126</v>
      </c>
      <c r="CP27" s="15" t="s">
        <v>89</v>
      </c>
      <c r="CW27"/>
      <c r="CX27"/>
      <c r="CY27"/>
      <c r="CZ27"/>
      <c r="DA27" t="s">
        <v>96</v>
      </c>
      <c r="DB27" t="s">
        <v>1065</v>
      </c>
      <c r="DC27"/>
      <c r="DD27"/>
    </row>
    <row r="28" spans="2:110" ht="14.5" x14ac:dyDescent="0.35">
      <c r="B28" s="58">
        <f t="shared" si="19"/>
        <v>44215</v>
      </c>
      <c r="C28" s="59" t="str">
        <f t="shared" si="0"/>
        <v>19</v>
      </c>
      <c r="D28" s="59" t="str">
        <f t="shared" si="1"/>
        <v>Tuesday</v>
      </c>
      <c r="E28" s="59" t="str">
        <f t="shared" si="2"/>
        <v>January</v>
      </c>
      <c r="F28" s="59" t="str">
        <f t="shared" si="3"/>
        <v>2021</v>
      </c>
      <c r="G28" s="59" t="str">
        <f t="shared" si="20"/>
        <v>Week_04</v>
      </c>
      <c r="H28" s="59" t="str">
        <f t="shared" si="21"/>
        <v>January 2021</v>
      </c>
      <c r="I28" s="59" t="str">
        <f t="shared" si="22"/>
        <v>Week_04</v>
      </c>
      <c r="J28" s="60">
        <f t="shared" si="4"/>
        <v>44215</v>
      </c>
      <c r="K28" s="59">
        <f t="shared" si="23"/>
        <v>4</v>
      </c>
      <c r="L28" s="59" t="str">
        <f t="shared" si="5"/>
        <v>04</v>
      </c>
      <c r="M28" s="59" t="str">
        <f t="shared" si="6"/>
        <v>Week_</v>
      </c>
      <c r="N28" s="59" t="str">
        <f t="shared" si="7"/>
        <v>Week_04</v>
      </c>
      <c r="O28" s="59">
        <f t="shared" si="24"/>
        <v>0</v>
      </c>
      <c r="P28" s="59" t="str">
        <f t="shared" si="25"/>
        <v/>
      </c>
      <c r="Q28" s="59" t="str">
        <f t="shared" si="8"/>
        <v/>
      </c>
      <c r="R28" s="59" t="str">
        <f t="shared" si="9"/>
        <v>January 2021</v>
      </c>
      <c r="S28" s="61">
        <f t="shared" si="10"/>
        <v>44215</v>
      </c>
      <c r="U28" s="15" t="s">
        <v>350</v>
      </c>
      <c r="V28" s="16">
        <f t="shared" si="11"/>
        <v>7</v>
      </c>
      <c r="W28" s="62">
        <f t="shared" si="12"/>
        <v>44319</v>
      </c>
      <c r="X28" s="62">
        <f t="shared" si="13"/>
        <v>44325</v>
      </c>
      <c r="Z28" s="62">
        <f t="shared" si="14"/>
        <v>44215</v>
      </c>
      <c r="AA28" s="63" t="s">
        <v>253</v>
      </c>
      <c r="AC28" s="69">
        <f t="shared" si="26"/>
        <v>18</v>
      </c>
      <c r="AD28" s="21">
        <f>VLOOKUP($AC$8,dbmonthly[[Monthy]:[Start Month]],4,0)+Monthly_Filter_Date[[#This Row],[No]]</f>
        <v>44488</v>
      </c>
      <c r="AF28" s="15">
        <v>19</v>
      </c>
      <c r="AG28" s="15" t="s">
        <v>525</v>
      </c>
      <c r="AH28" s="15" t="s">
        <v>472</v>
      </c>
      <c r="AI28" s="15" t="s">
        <v>548</v>
      </c>
      <c r="AJ28" s="50">
        <v>1.00000000000001</v>
      </c>
      <c r="AK28" s="50">
        <v>1.0416666666666601</v>
      </c>
      <c r="AL28" s="50"/>
      <c r="AM28" s="50"/>
      <c r="AN28" s="32"/>
      <c r="BA28" s="18" t="s">
        <v>473</v>
      </c>
      <c r="BB28" s="18" t="s">
        <v>474</v>
      </c>
      <c r="BC28" s="18" t="s">
        <v>475</v>
      </c>
      <c r="BD28" s="18" t="s">
        <v>290</v>
      </c>
      <c r="BS28" s="15" t="s">
        <v>297</v>
      </c>
      <c r="BT28" s="15" t="s">
        <v>296</v>
      </c>
      <c r="BU28" s="97" t="str">
        <f>+haulerpayload[[#This Row],[Hauler/loader]]&amp;haulerpayload[[#This Row],[Materi]]</f>
        <v>773ETS</v>
      </c>
      <c r="BV28" s="15">
        <v>25</v>
      </c>
      <c r="CC28" s="106" t="s">
        <v>908</v>
      </c>
      <c r="CD28" s="106" t="s">
        <v>909</v>
      </c>
      <c r="CE28" s="106" t="str">
        <f t="shared" ref="CE28:CE33" si="31">+CC28&amp;"-"&amp;CD28</f>
        <v>50621045-Jumri</v>
      </c>
      <c r="CF28" s="106" t="s">
        <v>909</v>
      </c>
      <c r="CK28" s="45" t="s">
        <v>476</v>
      </c>
      <c r="CL28" s="45" t="s">
        <v>477</v>
      </c>
      <c r="CN28" s="15" t="s">
        <v>67</v>
      </c>
      <c r="CO28" s="18" t="s">
        <v>127</v>
      </c>
      <c r="CP28" s="15" t="s">
        <v>89</v>
      </c>
      <c r="CW28"/>
      <c r="CX28"/>
      <c r="CY28"/>
      <c r="CZ28"/>
      <c r="DA28" t="s">
        <v>77</v>
      </c>
      <c r="DB28" t="s">
        <v>1065</v>
      </c>
      <c r="DC28"/>
      <c r="DD28"/>
      <c r="DE28"/>
      <c r="DF28"/>
    </row>
    <row r="29" spans="2:110" ht="14.5" x14ac:dyDescent="0.35">
      <c r="B29" s="58">
        <f t="shared" si="19"/>
        <v>44216</v>
      </c>
      <c r="C29" s="59" t="str">
        <f t="shared" si="0"/>
        <v>20</v>
      </c>
      <c r="D29" s="59" t="str">
        <f t="shared" si="1"/>
        <v>Wednesday</v>
      </c>
      <c r="E29" s="59" t="str">
        <f t="shared" si="2"/>
        <v>January</v>
      </c>
      <c r="F29" s="59" t="str">
        <f t="shared" si="3"/>
        <v>2021</v>
      </c>
      <c r="G29" s="59" t="str">
        <f t="shared" si="20"/>
        <v>Week_04</v>
      </c>
      <c r="H29" s="59" t="str">
        <f t="shared" si="21"/>
        <v>January 2021</v>
      </c>
      <c r="I29" s="59" t="str">
        <f t="shared" si="22"/>
        <v>Week_04</v>
      </c>
      <c r="J29" s="60">
        <f t="shared" si="4"/>
        <v>44216</v>
      </c>
      <c r="K29" s="59">
        <f t="shared" si="23"/>
        <v>4</v>
      </c>
      <c r="L29" s="59" t="str">
        <f t="shared" si="5"/>
        <v>04</v>
      </c>
      <c r="M29" s="59" t="str">
        <f t="shared" si="6"/>
        <v>Week_</v>
      </c>
      <c r="N29" s="59" t="str">
        <f t="shared" si="7"/>
        <v>Week_04</v>
      </c>
      <c r="O29" s="59">
        <f t="shared" si="24"/>
        <v>0</v>
      </c>
      <c r="P29" s="59" t="str">
        <f t="shared" si="25"/>
        <v/>
      </c>
      <c r="Q29" s="59" t="str">
        <f t="shared" si="8"/>
        <v/>
      </c>
      <c r="R29" s="59" t="str">
        <f t="shared" si="9"/>
        <v>January 2021</v>
      </c>
      <c r="S29" s="61">
        <f t="shared" si="10"/>
        <v>44216</v>
      </c>
      <c r="U29" s="15" t="s">
        <v>351</v>
      </c>
      <c r="V29" s="16">
        <f t="shared" si="11"/>
        <v>7</v>
      </c>
      <c r="W29" s="62">
        <f t="shared" si="12"/>
        <v>44326</v>
      </c>
      <c r="X29" s="62">
        <f t="shared" si="13"/>
        <v>44332</v>
      </c>
      <c r="Z29" s="62">
        <f t="shared" si="14"/>
        <v>44216</v>
      </c>
      <c r="AA29" s="63" t="s">
        <v>253</v>
      </c>
      <c r="AC29" s="69">
        <f t="shared" si="26"/>
        <v>19</v>
      </c>
      <c r="AD29" s="21">
        <f>VLOOKUP($AC$8,dbmonthly[[Monthy]:[Start Month]],4,0)+Monthly_Filter_Date[[#This Row],[No]]</f>
        <v>44489</v>
      </c>
      <c r="AF29" s="15">
        <v>20</v>
      </c>
      <c r="AG29" s="15" t="s">
        <v>526</v>
      </c>
      <c r="AH29" s="15" t="s">
        <v>478</v>
      </c>
      <c r="AI29" s="15" t="s">
        <v>548</v>
      </c>
      <c r="AJ29" s="50">
        <v>1.0416666666666701</v>
      </c>
      <c r="AK29" s="50">
        <v>1.0833333333333299</v>
      </c>
      <c r="AL29" s="50"/>
      <c r="AM29" s="50"/>
      <c r="AN29" s="70"/>
      <c r="BA29" s="18" t="s">
        <v>479</v>
      </c>
      <c r="BB29" s="18" t="s">
        <v>474</v>
      </c>
      <c r="BC29" s="18" t="s">
        <v>475</v>
      </c>
      <c r="BD29" s="18" t="s">
        <v>290</v>
      </c>
      <c r="BS29" s="15" t="s">
        <v>297</v>
      </c>
      <c r="BT29" s="15" t="s">
        <v>315</v>
      </c>
      <c r="BU29" s="97" t="str">
        <f>+haulerpayload[[#This Row],[Hauler/loader]]&amp;haulerpayload[[#This Row],[Materi]]</f>
        <v>773EOBB</v>
      </c>
      <c r="BV29" s="15">
        <v>25</v>
      </c>
      <c r="CC29" s="106" t="s">
        <v>910</v>
      </c>
      <c r="CD29" s="106" t="s">
        <v>911</v>
      </c>
      <c r="CE29" s="106" t="str">
        <f t="shared" si="31"/>
        <v>50721082-Dwiki Darmawan Saputro</v>
      </c>
      <c r="CF29" s="106" t="s">
        <v>911</v>
      </c>
      <c r="CK29" s="45" t="s">
        <v>480</v>
      </c>
      <c r="CL29" s="45" t="s">
        <v>481</v>
      </c>
      <c r="CN29" s="15" t="s">
        <v>68</v>
      </c>
      <c r="CO29" s="18" t="s">
        <v>128</v>
      </c>
      <c r="CP29" s="15" t="s">
        <v>89</v>
      </c>
      <c r="CW29"/>
      <c r="CX29"/>
      <c r="CY29"/>
      <c r="CZ29"/>
      <c r="DA29" t="s">
        <v>78</v>
      </c>
      <c r="DB29" t="s">
        <v>1065</v>
      </c>
      <c r="DC29"/>
      <c r="DD29"/>
      <c r="DE29"/>
      <c r="DF29"/>
    </row>
    <row r="30" spans="2:110" ht="14.5" x14ac:dyDescent="0.35">
      <c r="B30" s="58">
        <f t="shared" si="19"/>
        <v>44217</v>
      </c>
      <c r="C30" s="59" t="str">
        <f t="shared" si="0"/>
        <v>21</v>
      </c>
      <c r="D30" s="59" t="str">
        <f t="shared" si="1"/>
        <v>Thursday</v>
      </c>
      <c r="E30" s="59" t="str">
        <f t="shared" si="2"/>
        <v>January</v>
      </c>
      <c r="F30" s="59" t="str">
        <f t="shared" si="3"/>
        <v>2021</v>
      </c>
      <c r="G30" s="59" t="str">
        <f t="shared" si="20"/>
        <v>Week_04</v>
      </c>
      <c r="H30" s="59" t="str">
        <f t="shared" si="21"/>
        <v>January 2021</v>
      </c>
      <c r="I30" s="59" t="str">
        <f t="shared" si="22"/>
        <v>Week_04</v>
      </c>
      <c r="J30" s="60">
        <f t="shared" si="4"/>
        <v>44217</v>
      </c>
      <c r="K30" s="59">
        <f t="shared" si="23"/>
        <v>4</v>
      </c>
      <c r="L30" s="59" t="str">
        <f t="shared" si="5"/>
        <v>04</v>
      </c>
      <c r="M30" s="59" t="str">
        <f t="shared" si="6"/>
        <v>Week_</v>
      </c>
      <c r="N30" s="59" t="str">
        <f t="shared" si="7"/>
        <v>Week_04</v>
      </c>
      <c r="O30" s="59">
        <f t="shared" si="24"/>
        <v>0</v>
      </c>
      <c r="P30" s="59" t="str">
        <f t="shared" si="25"/>
        <v/>
      </c>
      <c r="Q30" s="59" t="str">
        <f t="shared" si="8"/>
        <v/>
      </c>
      <c r="R30" s="59" t="str">
        <f t="shared" si="9"/>
        <v>January 2021</v>
      </c>
      <c r="S30" s="61">
        <f t="shared" si="10"/>
        <v>44217</v>
      </c>
      <c r="U30" s="15" t="s">
        <v>352</v>
      </c>
      <c r="V30" s="16">
        <f t="shared" si="11"/>
        <v>7</v>
      </c>
      <c r="W30" s="62">
        <f t="shared" si="12"/>
        <v>44333</v>
      </c>
      <c r="X30" s="62">
        <f t="shared" si="13"/>
        <v>44339</v>
      </c>
      <c r="Z30" s="62">
        <f t="shared" si="14"/>
        <v>44217</v>
      </c>
      <c r="AA30" s="63" t="s">
        <v>253</v>
      </c>
      <c r="AC30" s="69">
        <f t="shared" si="26"/>
        <v>20</v>
      </c>
      <c r="AD30" s="21">
        <f>VLOOKUP($AC$8,dbmonthly[[Monthy]:[Start Month]],4,0)+Monthly_Filter_Date[[#This Row],[No]]</f>
        <v>44490</v>
      </c>
      <c r="AF30" s="15">
        <v>21</v>
      </c>
      <c r="AG30" s="15" t="s">
        <v>527</v>
      </c>
      <c r="AH30" s="15" t="s">
        <v>482</v>
      </c>
      <c r="AI30" s="15" t="s">
        <v>548</v>
      </c>
      <c r="AJ30" s="50">
        <v>1.0833333333333399</v>
      </c>
      <c r="AK30" s="50">
        <v>1.12499999999999</v>
      </c>
      <c r="AL30" s="50"/>
      <c r="AM30" s="50"/>
      <c r="AN30" s="71"/>
      <c r="BA30" s="18" t="s">
        <v>977</v>
      </c>
      <c r="BB30" s="18" t="s">
        <v>474</v>
      </c>
      <c r="BC30" s="18" t="s">
        <v>560</v>
      </c>
      <c r="BD30" s="18" t="s">
        <v>290</v>
      </c>
      <c r="BS30" s="15" t="s">
        <v>297</v>
      </c>
      <c r="BT30" s="15" t="s">
        <v>331</v>
      </c>
      <c r="BU30" s="97" t="str">
        <f>+haulerpayload[[#This Row],[Hauler/loader]]&amp;haulerpayload[[#This Row],[Materi]]</f>
        <v>773EOBF</v>
      </c>
      <c r="BV30" s="15">
        <v>25</v>
      </c>
      <c r="CC30" s="106" t="s">
        <v>912</v>
      </c>
      <c r="CD30" s="106" t="s">
        <v>913</v>
      </c>
      <c r="CE30" s="106" t="str">
        <f t="shared" si="31"/>
        <v>50721083-Yohanis Vinsensius Pati</v>
      </c>
      <c r="CF30" s="106" t="s">
        <v>913</v>
      </c>
      <c r="CK30" s="45" t="s">
        <v>485</v>
      </c>
      <c r="CL30" s="45" t="s">
        <v>486</v>
      </c>
      <c r="CN30" s="15" t="s">
        <v>170</v>
      </c>
      <c r="CO30" s="18" t="s">
        <v>129</v>
      </c>
      <c r="CP30" s="15" t="s">
        <v>89</v>
      </c>
      <c r="CW30"/>
      <c r="CX30"/>
      <c r="CY30"/>
      <c r="CZ30"/>
      <c r="DA30" t="s">
        <v>84</v>
      </c>
      <c r="DB30" t="s">
        <v>1065</v>
      </c>
      <c r="DC30"/>
      <c r="DD30"/>
      <c r="DE30"/>
      <c r="DF30"/>
    </row>
    <row r="31" spans="2:110" ht="14.5" x14ac:dyDescent="0.35">
      <c r="B31" s="58">
        <f t="shared" si="19"/>
        <v>44218</v>
      </c>
      <c r="C31" s="59" t="str">
        <f t="shared" si="0"/>
        <v>22</v>
      </c>
      <c r="D31" s="59" t="str">
        <f t="shared" si="1"/>
        <v>Friday</v>
      </c>
      <c r="E31" s="59" t="str">
        <f t="shared" si="2"/>
        <v>January</v>
      </c>
      <c r="F31" s="59" t="str">
        <f t="shared" si="3"/>
        <v>2021</v>
      </c>
      <c r="G31" s="59" t="str">
        <f t="shared" si="20"/>
        <v>Week_04</v>
      </c>
      <c r="H31" s="59" t="str">
        <f t="shared" si="21"/>
        <v>January 2021</v>
      </c>
      <c r="I31" s="59" t="str">
        <f t="shared" si="22"/>
        <v>Week_04</v>
      </c>
      <c r="J31" s="60">
        <f t="shared" si="4"/>
        <v>44218</v>
      </c>
      <c r="K31" s="59">
        <f t="shared" si="23"/>
        <v>4</v>
      </c>
      <c r="L31" s="59" t="str">
        <f t="shared" si="5"/>
        <v>04</v>
      </c>
      <c r="M31" s="59" t="str">
        <f t="shared" si="6"/>
        <v>Week_</v>
      </c>
      <c r="N31" s="59" t="str">
        <f t="shared" si="7"/>
        <v>Week_04</v>
      </c>
      <c r="O31" s="59">
        <f t="shared" si="24"/>
        <v>0</v>
      </c>
      <c r="P31" s="59" t="str">
        <f t="shared" si="25"/>
        <v/>
      </c>
      <c r="Q31" s="59" t="str">
        <f t="shared" si="8"/>
        <v/>
      </c>
      <c r="R31" s="59" t="str">
        <f t="shared" si="9"/>
        <v>January 2021</v>
      </c>
      <c r="S31" s="61">
        <f t="shared" si="10"/>
        <v>44218</v>
      </c>
      <c r="U31" s="15" t="s">
        <v>353</v>
      </c>
      <c r="V31" s="16">
        <f t="shared" si="11"/>
        <v>7</v>
      </c>
      <c r="W31" s="62">
        <f t="shared" si="12"/>
        <v>44340</v>
      </c>
      <c r="X31" s="62">
        <f t="shared" si="13"/>
        <v>44346</v>
      </c>
      <c r="Z31" s="62">
        <f t="shared" si="14"/>
        <v>44218</v>
      </c>
      <c r="AA31" s="63" t="s">
        <v>253</v>
      </c>
      <c r="AC31" s="69">
        <f t="shared" si="26"/>
        <v>21</v>
      </c>
      <c r="AD31" s="21">
        <f>VLOOKUP($AC$8,dbmonthly[[Monthy]:[Start Month]],4,0)+Monthly_Filter_Date[[#This Row],[No]]</f>
        <v>44491</v>
      </c>
      <c r="AF31" s="15">
        <v>22</v>
      </c>
      <c r="AG31" s="15" t="s">
        <v>528</v>
      </c>
      <c r="AH31" s="15" t="s">
        <v>487</v>
      </c>
      <c r="AI31" s="15" t="s">
        <v>548</v>
      </c>
      <c r="AJ31" s="50">
        <v>1.12500000000001</v>
      </c>
      <c r="AK31" s="50">
        <v>1.1666666666666601</v>
      </c>
      <c r="AL31" s="50"/>
      <c r="AM31" s="50"/>
      <c r="AN31" s="71"/>
      <c r="BA31" s="18" t="s">
        <v>978</v>
      </c>
      <c r="BB31" s="18" t="s">
        <v>474</v>
      </c>
      <c r="BC31" s="18" t="s">
        <v>560</v>
      </c>
      <c r="BD31" s="18" t="s">
        <v>290</v>
      </c>
      <c r="BS31" s="15" t="s">
        <v>297</v>
      </c>
      <c r="BT31" s="15" t="s">
        <v>345</v>
      </c>
      <c r="BU31" s="97" t="str">
        <f>+haulerpayload[[#This Row],[Hauler/loader]]&amp;haulerpayload[[#This Row],[Materi]]</f>
        <v>773EOBR</v>
      </c>
      <c r="BV31" s="15">
        <v>25</v>
      </c>
      <c r="CC31" s="106" t="s">
        <v>914</v>
      </c>
      <c r="CD31" s="106" t="s">
        <v>915</v>
      </c>
      <c r="CE31" s="106" t="str">
        <f t="shared" si="31"/>
        <v>50721084-M. Abdul Solik</v>
      </c>
      <c r="CF31" s="106" t="s">
        <v>915</v>
      </c>
      <c r="CK31" s="45" t="s">
        <v>490</v>
      </c>
      <c r="CL31" s="45" t="s">
        <v>491</v>
      </c>
      <c r="CW31"/>
      <c r="CX31"/>
      <c r="CY31"/>
      <c r="CZ31"/>
      <c r="DA31" t="s">
        <v>85</v>
      </c>
      <c r="DB31" t="s">
        <v>1065</v>
      </c>
      <c r="DC31"/>
      <c r="DD31"/>
      <c r="DE31"/>
      <c r="DF31"/>
    </row>
    <row r="32" spans="2:110" ht="14.5" x14ac:dyDescent="0.35">
      <c r="B32" s="58">
        <f t="shared" si="19"/>
        <v>44219</v>
      </c>
      <c r="C32" s="59" t="str">
        <f t="shared" si="0"/>
        <v>23</v>
      </c>
      <c r="D32" s="59" t="str">
        <f t="shared" si="1"/>
        <v>Saturday</v>
      </c>
      <c r="E32" s="59" t="str">
        <f t="shared" si="2"/>
        <v>January</v>
      </c>
      <c r="F32" s="59" t="str">
        <f t="shared" si="3"/>
        <v>2021</v>
      </c>
      <c r="G32" s="59" t="str">
        <f t="shared" si="20"/>
        <v>Week_04</v>
      </c>
      <c r="H32" s="59" t="str">
        <f t="shared" si="21"/>
        <v>January 2021</v>
      </c>
      <c r="I32" s="59" t="str">
        <f t="shared" si="22"/>
        <v>Week_04</v>
      </c>
      <c r="J32" s="60">
        <f t="shared" si="4"/>
        <v>44219</v>
      </c>
      <c r="K32" s="59">
        <f t="shared" si="23"/>
        <v>4</v>
      </c>
      <c r="L32" s="59" t="str">
        <f t="shared" si="5"/>
        <v>04</v>
      </c>
      <c r="M32" s="59" t="str">
        <f t="shared" si="6"/>
        <v>Week_</v>
      </c>
      <c r="N32" s="59" t="str">
        <f t="shared" si="7"/>
        <v>Week_04</v>
      </c>
      <c r="O32" s="59">
        <f t="shared" si="24"/>
        <v>0</v>
      </c>
      <c r="P32" s="59" t="str">
        <f t="shared" si="25"/>
        <v/>
      </c>
      <c r="Q32" s="59" t="str">
        <f t="shared" si="8"/>
        <v/>
      </c>
      <c r="R32" s="59" t="str">
        <f t="shared" si="9"/>
        <v>January 2021</v>
      </c>
      <c r="S32" s="61">
        <f t="shared" si="10"/>
        <v>44219</v>
      </c>
      <c r="U32" s="15" t="s">
        <v>354</v>
      </c>
      <c r="V32" s="16">
        <f t="shared" si="11"/>
        <v>7</v>
      </c>
      <c r="W32" s="62">
        <f t="shared" si="12"/>
        <v>44347</v>
      </c>
      <c r="X32" s="62">
        <f t="shared" si="13"/>
        <v>44353</v>
      </c>
      <c r="Z32" s="62">
        <f t="shared" si="14"/>
        <v>44219</v>
      </c>
      <c r="AA32" s="63" t="s">
        <v>253</v>
      </c>
      <c r="AC32" s="69">
        <f t="shared" si="26"/>
        <v>22</v>
      </c>
      <c r="AD32" s="21">
        <f>VLOOKUP($AC$8,dbmonthly[[Monthy]:[Start Month]],4,0)+Monthly_Filter_Date[[#This Row],[No]]</f>
        <v>44492</v>
      </c>
      <c r="AF32" s="15">
        <v>23</v>
      </c>
      <c r="AG32" s="15" t="s">
        <v>529</v>
      </c>
      <c r="AH32" s="15" t="s">
        <v>492</v>
      </c>
      <c r="AI32" s="15" t="s">
        <v>548</v>
      </c>
      <c r="AJ32" s="50">
        <v>1.1666666666666701</v>
      </c>
      <c r="AK32" s="50">
        <v>1.2083333333333299</v>
      </c>
      <c r="AL32" s="50"/>
      <c r="AM32" s="50"/>
      <c r="AN32" s="71"/>
      <c r="BA32" s="18" t="s">
        <v>483</v>
      </c>
      <c r="BB32" s="18" t="s">
        <v>484</v>
      </c>
      <c r="BC32" s="18" t="s">
        <v>484</v>
      </c>
      <c r="BD32" s="18" t="s">
        <v>290</v>
      </c>
      <c r="BS32" s="15" t="s">
        <v>297</v>
      </c>
      <c r="BT32" s="15" t="s">
        <v>361</v>
      </c>
      <c r="BU32" s="97" t="str">
        <f>+haulerpayload[[#This Row],[Hauler/loader]]&amp;haulerpayload[[#This Row],[Materi]]</f>
        <v>773EMD</v>
      </c>
      <c r="BV32" s="15">
        <v>15</v>
      </c>
      <c r="CC32" s="106" t="s">
        <v>916</v>
      </c>
      <c r="CD32" s="106" t="s">
        <v>917</v>
      </c>
      <c r="CE32" s="106" t="str">
        <f t="shared" si="31"/>
        <v>50721085-Mursyidin Nur</v>
      </c>
      <c r="CF32" s="106" t="s">
        <v>917</v>
      </c>
      <c r="CK32" s="45" t="s">
        <v>495</v>
      </c>
      <c r="CL32" s="45" t="s">
        <v>496</v>
      </c>
      <c r="CW32"/>
      <c r="CX32"/>
      <c r="CY32"/>
      <c r="CZ32"/>
      <c r="DA32" t="s">
        <v>86</v>
      </c>
      <c r="DB32" t="s">
        <v>1065</v>
      </c>
      <c r="DC32"/>
      <c r="DD32"/>
      <c r="DE32"/>
      <c r="DF32"/>
    </row>
    <row r="33" spans="2:110" ht="14.5" x14ac:dyDescent="0.35">
      <c r="B33" s="58">
        <f t="shared" si="19"/>
        <v>44220</v>
      </c>
      <c r="C33" s="59" t="str">
        <f t="shared" si="0"/>
        <v>24</v>
      </c>
      <c r="D33" s="59" t="str">
        <f t="shared" si="1"/>
        <v>Sunday</v>
      </c>
      <c r="E33" s="59" t="str">
        <f t="shared" si="2"/>
        <v>January</v>
      </c>
      <c r="F33" s="59" t="str">
        <f t="shared" si="3"/>
        <v>2021</v>
      </c>
      <c r="G33" s="59" t="str">
        <f t="shared" si="20"/>
        <v>Week_04</v>
      </c>
      <c r="H33" s="59" t="str">
        <f t="shared" si="21"/>
        <v>January 2021</v>
      </c>
      <c r="I33" s="59" t="str">
        <f t="shared" si="22"/>
        <v>Week_04</v>
      </c>
      <c r="J33" s="60">
        <f t="shared" si="4"/>
        <v>44220</v>
      </c>
      <c r="K33" s="59">
        <f t="shared" si="23"/>
        <v>4</v>
      </c>
      <c r="L33" s="59" t="str">
        <f t="shared" si="5"/>
        <v>04</v>
      </c>
      <c r="M33" s="59" t="str">
        <f t="shared" si="6"/>
        <v>Week_</v>
      </c>
      <c r="N33" s="59" t="str">
        <f t="shared" si="7"/>
        <v>Week_04</v>
      </c>
      <c r="O33" s="59">
        <f t="shared" si="24"/>
        <v>0</v>
      </c>
      <c r="P33" s="59" t="str">
        <f t="shared" si="25"/>
        <v/>
      </c>
      <c r="Q33" s="59" t="str">
        <f t="shared" si="8"/>
        <v/>
      </c>
      <c r="R33" s="59" t="str">
        <f t="shared" si="9"/>
        <v>January 2021</v>
      </c>
      <c r="S33" s="61">
        <f t="shared" si="10"/>
        <v>44220</v>
      </c>
      <c r="U33" s="15" t="s">
        <v>366</v>
      </c>
      <c r="V33" s="16">
        <f t="shared" si="11"/>
        <v>7</v>
      </c>
      <c r="W33" s="62">
        <f t="shared" si="12"/>
        <v>44354</v>
      </c>
      <c r="X33" s="62">
        <f t="shared" si="13"/>
        <v>44360</v>
      </c>
      <c r="Z33" s="62">
        <f t="shared" si="14"/>
        <v>44220</v>
      </c>
      <c r="AA33" s="63" t="s">
        <v>253</v>
      </c>
      <c r="AC33" s="69">
        <f t="shared" si="26"/>
        <v>23</v>
      </c>
      <c r="AD33" s="21">
        <f>VLOOKUP($AC$8,dbmonthly[[Monthy]:[Start Month]],4,0)+Monthly_Filter_Date[[#This Row],[No]]</f>
        <v>44493</v>
      </c>
      <c r="AF33" s="15">
        <v>24</v>
      </c>
      <c r="AG33" s="15" t="s">
        <v>530</v>
      </c>
      <c r="AH33" s="15" t="s">
        <v>497</v>
      </c>
      <c r="AI33" s="15" t="s">
        <v>548</v>
      </c>
      <c r="AJ33" s="50">
        <v>1.2083333333333399</v>
      </c>
      <c r="AK33" s="50">
        <v>1.24999999999999</v>
      </c>
      <c r="AN33" s="71"/>
      <c r="BA33" s="18" t="s">
        <v>488</v>
      </c>
      <c r="BB33" s="18" t="s">
        <v>489</v>
      </c>
      <c r="BC33" s="18" t="s">
        <v>976</v>
      </c>
      <c r="BD33" s="18" t="s">
        <v>290</v>
      </c>
      <c r="BS33" s="15" t="s">
        <v>297</v>
      </c>
      <c r="BT33" s="15" t="s">
        <v>434</v>
      </c>
      <c r="BU33" s="97" t="str">
        <f>+haulerpayload[[#This Row],[Hauler/loader]]&amp;haulerpayload[[#This Row],[Materi]]</f>
        <v>773ECO</v>
      </c>
      <c r="BV33" s="15">
        <v>34</v>
      </c>
      <c r="CC33" s="106" t="s">
        <v>918</v>
      </c>
      <c r="CD33" s="106" t="s">
        <v>919</v>
      </c>
      <c r="CE33" s="106" t="str">
        <f t="shared" si="31"/>
        <v>50721086-Marselinus Rudi Pasangka</v>
      </c>
      <c r="CF33" s="106" t="s">
        <v>919</v>
      </c>
      <c r="CK33" s="45" t="s">
        <v>501</v>
      </c>
      <c r="CL33" s="45" t="s">
        <v>502</v>
      </c>
      <c r="CW33"/>
      <c r="CX33"/>
      <c r="CY33"/>
      <c r="CZ33"/>
      <c r="DA33" t="s">
        <v>3</v>
      </c>
      <c r="DB33" t="s">
        <v>1065</v>
      </c>
      <c r="DC33"/>
      <c r="DD33"/>
      <c r="DE33"/>
      <c r="DF33"/>
    </row>
    <row r="34" spans="2:110" ht="14.5" x14ac:dyDescent="0.35">
      <c r="B34" s="58">
        <f t="shared" si="19"/>
        <v>44221</v>
      </c>
      <c r="C34" s="59" t="str">
        <f t="shared" si="0"/>
        <v>25</v>
      </c>
      <c r="D34" s="59" t="str">
        <f t="shared" si="1"/>
        <v>Monday</v>
      </c>
      <c r="E34" s="59" t="str">
        <f t="shared" si="2"/>
        <v>January</v>
      </c>
      <c r="F34" s="59" t="str">
        <f t="shared" si="3"/>
        <v>2021</v>
      </c>
      <c r="G34" s="59" t="str">
        <f t="shared" si="20"/>
        <v>Week_05</v>
      </c>
      <c r="H34" s="59" t="str">
        <f t="shared" si="21"/>
        <v>January 2021</v>
      </c>
      <c r="I34" s="59" t="str">
        <f t="shared" si="22"/>
        <v>Start WeekWeek_05</v>
      </c>
      <c r="J34" s="60">
        <f t="shared" si="4"/>
        <v>44221</v>
      </c>
      <c r="K34" s="59">
        <f t="shared" si="23"/>
        <v>5</v>
      </c>
      <c r="L34" s="59" t="str">
        <f t="shared" si="5"/>
        <v>05</v>
      </c>
      <c r="M34" s="59" t="str">
        <f t="shared" si="6"/>
        <v>Week_</v>
      </c>
      <c r="N34" s="59" t="str">
        <f t="shared" si="7"/>
        <v>Week_05</v>
      </c>
      <c r="O34" s="59">
        <f t="shared" si="24"/>
        <v>1</v>
      </c>
      <c r="P34" s="59" t="str">
        <f t="shared" si="25"/>
        <v>Start Week</v>
      </c>
      <c r="Q34" s="59" t="str">
        <f t="shared" si="8"/>
        <v/>
      </c>
      <c r="R34" s="59" t="str">
        <f t="shared" si="9"/>
        <v>January 2021</v>
      </c>
      <c r="S34" s="61">
        <f t="shared" si="10"/>
        <v>44221</v>
      </c>
      <c r="U34" s="15" t="s">
        <v>367</v>
      </c>
      <c r="V34" s="16">
        <f t="shared" si="11"/>
        <v>7</v>
      </c>
      <c r="W34" s="62">
        <f t="shared" si="12"/>
        <v>44361</v>
      </c>
      <c r="X34" s="62">
        <f t="shared" si="13"/>
        <v>44367</v>
      </c>
      <c r="Z34" s="62">
        <f t="shared" si="14"/>
        <v>44221</v>
      </c>
      <c r="AA34" s="63" t="s">
        <v>253</v>
      </c>
      <c r="AC34" s="69">
        <f t="shared" si="26"/>
        <v>24</v>
      </c>
      <c r="AD34" s="21">
        <f>VLOOKUP($AC$8,dbmonthly[[Monthy]:[Start Month]],4,0)+Monthly_Filter_Date[[#This Row],[No]]</f>
        <v>44494</v>
      </c>
      <c r="AF34" s="15">
        <v>25</v>
      </c>
      <c r="AG34" s="15" t="s">
        <v>281</v>
      </c>
      <c r="AH34" s="106" t="s">
        <v>281</v>
      </c>
      <c r="AI34" s="15" t="s">
        <v>547</v>
      </c>
      <c r="AJ34" s="107">
        <v>0.25</v>
      </c>
      <c r="AK34" s="107">
        <v>0.29166666666666669</v>
      </c>
      <c r="AN34" s="71"/>
      <c r="BA34" s="18" t="s">
        <v>493</v>
      </c>
      <c r="BC34" s="18" t="s">
        <v>494</v>
      </c>
      <c r="BD34" s="18" t="s">
        <v>290</v>
      </c>
      <c r="BS34" s="15" t="s">
        <v>504</v>
      </c>
      <c r="BT34" s="15" t="s">
        <v>296</v>
      </c>
      <c r="BU34" s="97" t="str">
        <f>+haulerpayload[[#This Row],[Hauler/loader]]&amp;haulerpayload[[#This Row],[Materi]]</f>
        <v>P460XTTS</v>
      </c>
      <c r="BV34" s="15">
        <v>16</v>
      </c>
      <c r="CC34" s="15" t="s">
        <v>920</v>
      </c>
      <c r="CD34" s="15" t="s">
        <v>921</v>
      </c>
      <c r="CE34" s="15" t="str">
        <f t="shared" ref="CE34:CE40" si="32">+CC34&amp;"-"&amp;CD34</f>
        <v>50721087-Inra Sanjaya</v>
      </c>
      <c r="CF34" s="15" t="s">
        <v>921</v>
      </c>
      <c r="CO34" s="18"/>
      <c r="CW34"/>
      <c r="CX34"/>
      <c r="CY34"/>
      <c r="CZ34"/>
      <c r="DA34" t="s">
        <v>105</v>
      </c>
      <c r="DB34" t="s">
        <v>1065</v>
      </c>
      <c r="DC34"/>
      <c r="DD34"/>
      <c r="DE34"/>
      <c r="DF34"/>
    </row>
    <row r="35" spans="2:110" ht="14.5" x14ac:dyDescent="0.35">
      <c r="B35" s="58">
        <f t="shared" si="19"/>
        <v>44222</v>
      </c>
      <c r="C35" s="59" t="str">
        <f t="shared" si="0"/>
        <v>26</v>
      </c>
      <c r="D35" s="59" t="str">
        <f t="shared" si="1"/>
        <v>Tuesday</v>
      </c>
      <c r="E35" s="59" t="str">
        <f t="shared" si="2"/>
        <v>January</v>
      </c>
      <c r="F35" s="59" t="str">
        <f t="shared" si="3"/>
        <v>2021</v>
      </c>
      <c r="G35" s="59" t="str">
        <f t="shared" si="20"/>
        <v>Week_05</v>
      </c>
      <c r="H35" s="59" t="str">
        <f t="shared" si="21"/>
        <v>January 2021</v>
      </c>
      <c r="I35" s="59" t="str">
        <f t="shared" si="22"/>
        <v>Week_05</v>
      </c>
      <c r="J35" s="60">
        <f t="shared" si="4"/>
        <v>44222</v>
      </c>
      <c r="K35" s="59">
        <f t="shared" si="23"/>
        <v>5</v>
      </c>
      <c r="L35" s="59" t="str">
        <f t="shared" si="5"/>
        <v>05</v>
      </c>
      <c r="M35" s="59" t="str">
        <f t="shared" si="6"/>
        <v>Week_</v>
      </c>
      <c r="N35" s="59" t="str">
        <f t="shared" si="7"/>
        <v>Week_05</v>
      </c>
      <c r="O35" s="59">
        <f t="shared" si="24"/>
        <v>0</v>
      </c>
      <c r="P35" s="59" t="str">
        <f t="shared" si="25"/>
        <v/>
      </c>
      <c r="Q35" s="59" t="str">
        <f t="shared" si="8"/>
        <v/>
      </c>
      <c r="R35" s="59" t="str">
        <f t="shared" si="9"/>
        <v>January 2021</v>
      </c>
      <c r="S35" s="61">
        <f t="shared" si="10"/>
        <v>44222</v>
      </c>
      <c r="U35" s="15" t="s">
        <v>368</v>
      </c>
      <c r="V35" s="16">
        <f t="shared" si="11"/>
        <v>7</v>
      </c>
      <c r="W35" s="62">
        <f t="shared" si="12"/>
        <v>44368</v>
      </c>
      <c r="X35" s="62">
        <f t="shared" si="13"/>
        <v>44374</v>
      </c>
      <c r="Z35" s="62">
        <f t="shared" si="14"/>
        <v>44222</v>
      </c>
      <c r="AA35" s="63" t="s">
        <v>253</v>
      </c>
      <c r="AC35" s="69">
        <f t="shared" si="26"/>
        <v>25</v>
      </c>
      <c r="AD35" s="21">
        <f>VLOOKUP($AC$8,dbmonthly[[Monthy]:[Start Month]],4,0)+Monthly_Filter_Date[[#This Row],[No]]</f>
        <v>44495</v>
      </c>
      <c r="AF35" s="15">
        <v>26</v>
      </c>
      <c r="AG35" s="15" t="s">
        <v>301</v>
      </c>
      <c r="AH35" s="106" t="s">
        <v>301</v>
      </c>
      <c r="AI35" s="15" t="s">
        <v>547</v>
      </c>
      <c r="AJ35" s="107">
        <v>0.29166666666666702</v>
      </c>
      <c r="AK35" s="107">
        <v>0.33333333333333298</v>
      </c>
      <c r="AN35" s="71"/>
      <c r="BA35" s="18" t="s">
        <v>498</v>
      </c>
      <c r="BB35" s="18" t="s">
        <v>499</v>
      </c>
      <c r="BC35" s="18" t="s">
        <v>500</v>
      </c>
      <c r="BD35" s="18" t="s">
        <v>290</v>
      </c>
      <c r="BS35" s="15" t="s">
        <v>504</v>
      </c>
      <c r="BT35" s="15" t="s">
        <v>315</v>
      </c>
      <c r="BU35" s="97" t="str">
        <f>+haulerpayload[[#This Row],[Hauler/loader]]&amp;haulerpayload[[#This Row],[Materi]]</f>
        <v>P460XTOBB</v>
      </c>
      <c r="BV35" s="15">
        <v>16</v>
      </c>
      <c r="CC35" s="15" t="s">
        <v>922</v>
      </c>
      <c r="CD35" s="15" t="s">
        <v>923</v>
      </c>
      <c r="CE35" s="15" t="str">
        <f t="shared" si="32"/>
        <v>50721088-Thomas Rianto Tandi Soma</v>
      </c>
      <c r="CF35" s="15" t="s">
        <v>923</v>
      </c>
      <c r="CW35"/>
      <c r="CX35"/>
      <c r="CY35"/>
      <c r="CZ35"/>
      <c r="DA35" t="s">
        <v>108</v>
      </c>
      <c r="DB35" t="s">
        <v>1065</v>
      </c>
      <c r="DC35"/>
      <c r="DD35"/>
      <c r="DE35"/>
      <c r="DF35"/>
    </row>
    <row r="36" spans="2:110" ht="14.5" x14ac:dyDescent="0.35">
      <c r="B36" s="58">
        <f t="shared" si="19"/>
        <v>44223</v>
      </c>
      <c r="C36" s="59" t="str">
        <f t="shared" si="0"/>
        <v>27</v>
      </c>
      <c r="D36" s="59" t="str">
        <f t="shared" si="1"/>
        <v>Wednesday</v>
      </c>
      <c r="E36" s="59" t="str">
        <f t="shared" si="2"/>
        <v>January</v>
      </c>
      <c r="F36" s="59" t="str">
        <f t="shared" si="3"/>
        <v>2021</v>
      </c>
      <c r="G36" s="59" t="str">
        <f t="shared" si="20"/>
        <v>Week_05</v>
      </c>
      <c r="H36" s="59" t="str">
        <f t="shared" si="21"/>
        <v>January 2021</v>
      </c>
      <c r="I36" s="59" t="str">
        <f t="shared" si="22"/>
        <v>Week_05</v>
      </c>
      <c r="J36" s="60">
        <f t="shared" si="4"/>
        <v>44223</v>
      </c>
      <c r="K36" s="59">
        <f t="shared" si="23"/>
        <v>5</v>
      </c>
      <c r="L36" s="59" t="str">
        <f t="shared" si="5"/>
        <v>05</v>
      </c>
      <c r="M36" s="59" t="str">
        <f t="shared" si="6"/>
        <v>Week_</v>
      </c>
      <c r="N36" s="59" t="str">
        <f t="shared" si="7"/>
        <v>Week_05</v>
      </c>
      <c r="O36" s="59">
        <f t="shared" si="24"/>
        <v>0</v>
      </c>
      <c r="P36" s="59" t="str">
        <f t="shared" si="25"/>
        <v/>
      </c>
      <c r="Q36" s="59" t="str">
        <f t="shared" si="8"/>
        <v/>
      </c>
      <c r="R36" s="59" t="str">
        <f t="shared" si="9"/>
        <v>January 2021</v>
      </c>
      <c r="S36" s="61">
        <f t="shared" si="10"/>
        <v>44223</v>
      </c>
      <c r="U36" s="15" t="s">
        <v>369</v>
      </c>
      <c r="V36" s="16">
        <f t="shared" si="11"/>
        <v>7</v>
      </c>
      <c r="W36" s="62">
        <f t="shared" si="12"/>
        <v>44375</v>
      </c>
      <c r="X36" s="62">
        <f t="shared" si="13"/>
        <v>44381</v>
      </c>
      <c r="Z36" s="62">
        <f t="shared" si="14"/>
        <v>44223</v>
      </c>
      <c r="AA36" s="63" t="s">
        <v>253</v>
      </c>
      <c r="AC36" s="69">
        <f t="shared" si="26"/>
        <v>26</v>
      </c>
      <c r="AD36" s="21">
        <f>VLOOKUP($AC$8,dbmonthly[[Monthy]:[Start Month]],4,0)+Monthly_Filter_Date[[#This Row],[No]]</f>
        <v>44496</v>
      </c>
      <c r="AF36" s="15">
        <v>27</v>
      </c>
      <c r="AG36" s="15" t="s">
        <v>317</v>
      </c>
      <c r="AH36" s="106" t="s">
        <v>317</v>
      </c>
      <c r="AI36" s="15" t="s">
        <v>547</v>
      </c>
      <c r="AJ36" s="107">
        <v>0.33333333333333298</v>
      </c>
      <c r="AK36" s="107">
        <v>0.375</v>
      </c>
      <c r="AN36" s="71"/>
      <c r="BA36" s="18" t="s">
        <v>503</v>
      </c>
      <c r="BB36" s="18" t="s">
        <v>504</v>
      </c>
      <c r="BC36" s="18" t="s">
        <v>505</v>
      </c>
      <c r="BD36" s="18" t="s">
        <v>290</v>
      </c>
      <c r="BS36" s="15" t="s">
        <v>504</v>
      </c>
      <c r="BT36" s="15" t="s">
        <v>331</v>
      </c>
      <c r="BU36" s="97" t="str">
        <f>+haulerpayload[[#This Row],[Hauler/loader]]&amp;haulerpayload[[#This Row],[Materi]]</f>
        <v>P460XTOBF</v>
      </c>
      <c r="BV36" s="15">
        <v>16</v>
      </c>
      <c r="CC36" s="15" t="s">
        <v>924</v>
      </c>
      <c r="CD36" s="15" t="s">
        <v>925</v>
      </c>
      <c r="CE36" s="15" t="str">
        <f t="shared" si="32"/>
        <v>50721089-Ali Said</v>
      </c>
      <c r="CF36" s="15" t="s">
        <v>925</v>
      </c>
      <c r="CW36"/>
      <c r="CX36"/>
      <c r="CY36"/>
      <c r="CZ36"/>
      <c r="DA36" t="s">
        <v>12</v>
      </c>
      <c r="DB36" t="s">
        <v>1065</v>
      </c>
      <c r="DC36"/>
      <c r="DD36"/>
      <c r="DE36"/>
      <c r="DF36"/>
    </row>
    <row r="37" spans="2:110" ht="14.5" x14ac:dyDescent="0.35">
      <c r="B37" s="58">
        <f t="shared" si="19"/>
        <v>44224</v>
      </c>
      <c r="C37" s="59" t="str">
        <f t="shared" si="0"/>
        <v>28</v>
      </c>
      <c r="D37" s="59" t="str">
        <f t="shared" si="1"/>
        <v>Thursday</v>
      </c>
      <c r="E37" s="59" t="str">
        <f t="shared" si="2"/>
        <v>January</v>
      </c>
      <c r="F37" s="59" t="str">
        <f t="shared" si="3"/>
        <v>2021</v>
      </c>
      <c r="G37" s="59" t="str">
        <f t="shared" si="20"/>
        <v>Week_05</v>
      </c>
      <c r="H37" s="59" t="str">
        <f t="shared" si="21"/>
        <v>January 2021</v>
      </c>
      <c r="I37" s="59" t="str">
        <f t="shared" si="22"/>
        <v>Week_05</v>
      </c>
      <c r="J37" s="60">
        <f t="shared" si="4"/>
        <v>44224</v>
      </c>
      <c r="K37" s="59">
        <f t="shared" si="23"/>
        <v>5</v>
      </c>
      <c r="L37" s="59" t="str">
        <f t="shared" si="5"/>
        <v>05</v>
      </c>
      <c r="M37" s="59" t="str">
        <f t="shared" si="6"/>
        <v>Week_</v>
      </c>
      <c r="N37" s="59" t="str">
        <f t="shared" si="7"/>
        <v>Week_05</v>
      </c>
      <c r="O37" s="59">
        <f t="shared" si="24"/>
        <v>0</v>
      </c>
      <c r="P37" s="59" t="str">
        <f t="shared" si="25"/>
        <v/>
      </c>
      <c r="Q37" s="59" t="str">
        <f t="shared" si="8"/>
        <v/>
      </c>
      <c r="R37" s="59" t="str">
        <f t="shared" si="9"/>
        <v>January 2021</v>
      </c>
      <c r="S37" s="61">
        <f t="shared" si="10"/>
        <v>44224</v>
      </c>
      <c r="U37" s="15" t="s">
        <v>380</v>
      </c>
      <c r="V37" s="16">
        <f t="shared" si="11"/>
        <v>7</v>
      </c>
      <c r="W37" s="62">
        <f t="shared" si="12"/>
        <v>44382</v>
      </c>
      <c r="X37" s="62">
        <f t="shared" si="13"/>
        <v>44388</v>
      </c>
      <c r="Z37" s="62">
        <f t="shared" si="14"/>
        <v>44224</v>
      </c>
      <c r="AA37" s="63" t="s">
        <v>253</v>
      </c>
      <c r="AC37" s="69">
        <f t="shared" si="26"/>
        <v>27</v>
      </c>
      <c r="AD37" s="21">
        <f>VLOOKUP($AC$8,dbmonthly[[Monthy]:[Start Month]],4,0)+Monthly_Filter_Date[[#This Row],[No]]</f>
        <v>44497</v>
      </c>
      <c r="AF37" s="15">
        <v>28</v>
      </c>
      <c r="AG37" s="15" t="s">
        <v>334</v>
      </c>
      <c r="AH37" s="106" t="s">
        <v>334</v>
      </c>
      <c r="AI37" s="15" t="s">
        <v>547</v>
      </c>
      <c r="AJ37" s="107">
        <v>0.375</v>
      </c>
      <c r="AK37" s="107">
        <v>0.41666666666666702</v>
      </c>
      <c r="AN37" s="71"/>
      <c r="BA37" s="18" t="s">
        <v>506</v>
      </c>
      <c r="BB37" s="18" t="s">
        <v>504</v>
      </c>
      <c r="BC37" s="18" t="s">
        <v>505</v>
      </c>
      <c r="BD37" s="18" t="s">
        <v>290</v>
      </c>
      <c r="BS37" s="15" t="s">
        <v>504</v>
      </c>
      <c r="BT37" s="15" t="s">
        <v>345</v>
      </c>
      <c r="BU37" s="97" t="str">
        <f>+haulerpayload[[#This Row],[Hauler/loader]]&amp;haulerpayload[[#This Row],[Materi]]</f>
        <v>P460XTOBR</v>
      </c>
      <c r="BV37" s="15">
        <v>16</v>
      </c>
      <c r="CC37" s="15" t="s">
        <v>926</v>
      </c>
      <c r="CD37" s="15" t="s">
        <v>927</v>
      </c>
      <c r="CE37" s="15" t="str">
        <f t="shared" si="32"/>
        <v>50721090-Tri Wijaya Subekti</v>
      </c>
      <c r="CF37" s="15" t="s">
        <v>927</v>
      </c>
      <c r="CO37" s="13"/>
      <c r="CP37" s="13"/>
      <c r="CW37"/>
      <c r="CX37"/>
      <c r="CY37"/>
      <c r="CZ37"/>
      <c r="DA37" t="s">
        <v>534</v>
      </c>
      <c r="DB37" t="s">
        <v>1066</v>
      </c>
      <c r="DC37"/>
      <c r="DD37"/>
      <c r="DE37"/>
      <c r="DF37"/>
    </row>
    <row r="38" spans="2:110" ht="14.5" x14ac:dyDescent="0.35">
      <c r="B38" s="58">
        <f t="shared" si="19"/>
        <v>44225</v>
      </c>
      <c r="C38" s="59" t="str">
        <f t="shared" si="0"/>
        <v>29</v>
      </c>
      <c r="D38" s="59" t="str">
        <f t="shared" si="1"/>
        <v>Friday</v>
      </c>
      <c r="E38" s="59" t="str">
        <f t="shared" si="2"/>
        <v>January</v>
      </c>
      <c r="F38" s="59" t="str">
        <f t="shared" si="3"/>
        <v>2021</v>
      </c>
      <c r="G38" s="59" t="str">
        <f t="shared" si="20"/>
        <v>Week_05</v>
      </c>
      <c r="H38" s="59" t="str">
        <f t="shared" si="21"/>
        <v>January 2021</v>
      </c>
      <c r="I38" s="59" t="str">
        <f t="shared" si="22"/>
        <v>Week_05</v>
      </c>
      <c r="J38" s="60">
        <f t="shared" si="4"/>
        <v>44225</v>
      </c>
      <c r="K38" s="59">
        <f t="shared" si="23"/>
        <v>5</v>
      </c>
      <c r="L38" s="59" t="str">
        <f t="shared" si="5"/>
        <v>05</v>
      </c>
      <c r="M38" s="59" t="str">
        <f t="shared" si="6"/>
        <v>Week_</v>
      </c>
      <c r="N38" s="59" t="str">
        <f t="shared" si="7"/>
        <v>Week_05</v>
      </c>
      <c r="O38" s="59">
        <f t="shared" si="24"/>
        <v>0</v>
      </c>
      <c r="P38" s="59" t="str">
        <f t="shared" si="25"/>
        <v/>
      </c>
      <c r="Q38" s="59" t="str">
        <f t="shared" si="8"/>
        <v/>
      </c>
      <c r="R38" s="59" t="str">
        <f t="shared" si="9"/>
        <v>January 2021</v>
      </c>
      <c r="S38" s="61">
        <f t="shared" si="10"/>
        <v>44225</v>
      </c>
      <c r="U38" s="15" t="s">
        <v>381</v>
      </c>
      <c r="V38" s="16">
        <f t="shared" si="11"/>
        <v>7</v>
      </c>
      <c r="W38" s="62">
        <f t="shared" si="12"/>
        <v>44389</v>
      </c>
      <c r="X38" s="62">
        <f t="shared" si="13"/>
        <v>44395</v>
      </c>
      <c r="Z38" s="62">
        <f t="shared" si="14"/>
        <v>44225</v>
      </c>
      <c r="AA38" s="63" t="s">
        <v>253</v>
      </c>
      <c r="AC38" s="69">
        <f t="shared" si="26"/>
        <v>28</v>
      </c>
      <c r="AD38" s="21">
        <f>VLOOKUP($AC$8,dbmonthly[[Monthy]:[Start Month]],4,0)+Monthly_Filter_Date[[#This Row],[No]]</f>
        <v>44498</v>
      </c>
      <c r="AF38" s="15">
        <v>29</v>
      </c>
      <c r="AG38" s="15" t="s">
        <v>348</v>
      </c>
      <c r="AH38" s="106" t="s">
        <v>348</v>
      </c>
      <c r="AI38" s="15" t="s">
        <v>547</v>
      </c>
      <c r="AJ38" s="107">
        <v>0.41666666666666702</v>
      </c>
      <c r="AK38" s="107">
        <v>0.45833333333333298</v>
      </c>
      <c r="AN38" s="71"/>
      <c r="BA38" s="18" t="s">
        <v>507</v>
      </c>
      <c r="BB38" s="18" t="s">
        <v>504</v>
      </c>
      <c r="BC38" s="18" t="s">
        <v>505</v>
      </c>
      <c r="BD38" s="18" t="s">
        <v>290</v>
      </c>
      <c r="BS38" s="15" t="s">
        <v>504</v>
      </c>
      <c r="BT38" s="15" t="s">
        <v>361</v>
      </c>
      <c r="BU38" s="97" t="str">
        <f>+haulerpayload[[#This Row],[Hauler/loader]]&amp;haulerpayload[[#This Row],[Materi]]</f>
        <v>P460XTMD</v>
      </c>
      <c r="BV38" s="15">
        <f>+BV37*0.7</f>
        <v>11.2</v>
      </c>
      <c r="CC38" s="15" t="s">
        <v>928</v>
      </c>
      <c r="CD38" s="15" t="s">
        <v>929</v>
      </c>
      <c r="CE38" s="15" t="str">
        <f t="shared" si="32"/>
        <v>50721091-Germanus Juprianto Dara</v>
      </c>
      <c r="CF38" s="15" t="s">
        <v>929</v>
      </c>
      <c r="CW38"/>
      <c r="CX38"/>
      <c r="CY38"/>
      <c r="CZ38"/>
      <c r="DA38" t="s">
        <v>535</v>
      </c>
      <c r="DB38" t="s">
        <v>1065</v>
      </c>
      <c r="DC38"/>
      <c r="DD38"/>
      <c r="DE38"/>
      <c r="DF38"/>
    </row>
    <row r="39" spans="2:110" ht="14.5" x14ac:dyDescent="0.35">
      <c r="B39" s="58">
        <f t="shared" si="19"/>
        <v>44226</v>
      </c>
      <c r="C39" s="59" t="str">
        <f t="shared" si="0"/>
        <v>30</v>
      </c>
      <c r="D39" s="59" t="str">
        <f t="shared" si="1"/>
        <v>Saturday</v>
      </c>
      <c r="E39" s="59" t="str">
        <f t="shared" si="2"/>
        <v>January</v>
      </c>
      <c r="F39" s="59" t="str">
        <f t="shared" si="3"/>
        <v>2021</v>
      </c>
      <c r="G39" s="59" t="str">
        <f t="shared" si="20"/>
        <v>Week_05</v>
      </c>
      <c r="H39" s="59" t="str">
        <f t="shared" si="21"/>
        <v>January 2021</v>
      </c>
      <c r="I39" s="59" t="str">
        <f t="shared" si="22"/>
        <v>Week_05</v>
      </c>
      <c r="J39" s="60">
        <f t="shared" si="4"/>
        <v>44226</v>
      </c>
      <c r="K39" s="59">
        <f t="shared" si="23"/>
        <v>5</v>
      </c>
      <c r="L39" s="59" t="str">
        <f t="shared" si="5"/>
        <v>05</v>
      </c>
      <c r="M39" s="59" t="str">
        <f t="shared" si="6"/>
        <v>Week_</v>
      </c>
      <c r="N39" s="59" t="str">
        <f t="shared" si="7"/>
        <v>Week_05</v>
      </c>
      <c r="O39" s="59">
        <f t="shared" si="24"/>
        <v>0</v>
      </c>
      <c r="P39" s="59" t="str">
        <f t="shared" si="25"/>
        <v/>
      </c>
      <c r="Q39" s="59" t="str">
        <f t="shared" si="8"/>
        <v/>
      </c>
      <c r="R39" s="59" t="str">
        <f t="shared" si="9"/>
        <v>January 2021</v>
      </c>
      <c r="S39" s="61">
        <f t="shared" si="10"/>
        <v>44226</v>
      </c>
      <c r="U39" s="15" t="s">
        <v>382</v>
      </c>
      <c r="V39" s="16">
        <f t="shared" si="11"/>
        <v>7</v>
      </c>
      <c r="W39" s="62">
        <f t="shared" si="12"/>
        <v>44396</v>
      </c>
      <c r="X39" s="62">
        <f t="shared" si="13"/>
        <v>44402</v>
      </c>
      <c r="Z39" s="62">
        <f t="shared" si="14"/>
        <v>44226</v>
      </c>
      <c r="AA39" s="63" t="s">
        <v>253</v>
      </c>
      <c r="AC39" s="69">
        <f t="shared" si="26"/>
        <v>29</v>
      </c>
      <c r="AD39" s="21">
        <f>VLOOKUP($AC$8,dbmonthly[[Monthy]:[Start Month]],4,0)+Monthly_Filter_Date[[#This Row],[No]]</f>
        <v>44499</v>
      </c>
      <c r="AF39" s="15">
        <v>30</v>
      </c>
      <c r="AG39" s="15" t="s">
        <v>364</v>
      </c>
      <c r="AH39" s="106" t="s">
        <v>364</v>
      </c>
      <c r="AI39" s="15" t="s">
        <v>547</v>
      </c>
      <c r="AJ39" s="107">
        <v>0.45833333333333298</v>
      </c>
      <c r="AK39" s="107">
        <v>0.5</v>
      </c>
      <c r="AN39" s="71"/>
      <c r="BA39" s="18" t="s">
        <v>508</v>
      </c>
      <c r="BB39" s="18" t="s">
        <v>504</v>
      </c>
      <c r="BC39" s="18" t="s">
        <v>505</v>
      </c>
      <c r="BD39" s="18" t="s">
        <v>290</v>
      </c>
      <c r="BS39" s="15" t="s">
        <v>504</v>
      </c>
      <c r="BT39" s="15" t="s">
        <v>434</v>
      </c>
      <c r="BU39" s="97" t="str">
        <f>+haulerpayload[[#This Row],[Hauler/loader]]&amp;haulerpayload[[#This Row],[Materi]]</f>
        <v>P460XTCO</v>
      </c>
      <c r="BV39" s="15">
        <v>34</v>
      </c>
      <c r="CC39" s="15" t="s">
        <v>930</v>
      </c>
      <c r="CD39" s="15" t="s">
        <v>931</v>
      </c>
      <c r="CE39" s="15" t="str">
        <f t="shared" si="32"/>
        <v>50721092-Petrus Ringgi</v>
      </c>
      <c r="CF39" s="15" t="s">
        <v>931</v>
      </c>
      <c r="CW39"/>
      <c r="CX39"/>
      <c r="CY39"/>
      <c r="CZ39"/>
      <c r="DA39" t="s">
        <v>1016</v>
      </c>
      <c r="DB39" t="s">
        <v>1066</v>
      </c>
      <c r="DC39"/>
      <c r="DD39"/>
      <c r="DE39"/>
      <c r="DF39"/>
    </row>
    <row r="40" spans="2:110" ht="14.5" x14ac:dyDescent="0.35">
      <c r="B40" s="58">
        <f t="shared" si="19"/>
        <v>44227</v>
      </c>
      <c r="C40" s="59" t="str">
        <f t="shared" si="0"/>
        <v>31</v>
      </c>
      <c r="D40" s="59" t="str">
        <f t="shared" si="1"/>
        <v>Sunday</v>
      </c>
      <c r="E40" s="59" t="str">
        <f t="shared" si="2"/>
        <v>January</v>
      </c>
      <c r="F40" s="59" t="str">
        <f t="shared" si="3"/>
        <v>2021</v>
      </c>
      <c r="G40" s="59" t="str">
        <f t="shared" si="20"/>
        <v>Week_05</v>
      </c>
      <c r="H40" s="59" t="str">
        <f t="shared" si="21"/>
        <v>January 2021</v>
      </c>
      <c r="I40" s="59" t="str">
        <f t="shared" si="22"/>
        <v>Week_05</v>
      </c>
      <c r="J40" s="60">
        <f t="shared" si="4"/>
        <v>44227</v>
      </c>
      <c r="K40" s="59">
        <f t="shared" si="23"/>
        <v>5</v>
      </c>
      <c r="L40" s="59" t="str">
        <f t="shared" si="5"/>
        <v>05</v>
      </c>
      <c r="M40" s="59" t="str">
        <f t="shared" si="6"/>
        <v>Week_</v>
      </c>
      <c r="N40" s="59" t="str">
        <f t="shared" si="7"/>
        <v>Week_05</v>
      </c>
      <c r="O40" s="59">
        <f t="shared" si="24"/>
        <v>0</v>
      </c>
      <c r="P40" s="59" t="str">
        <f t="shared" si="25"/>
        <v/>
      </c>
      <c r="Q40" s="59" t="str">
        <f t="shared" si="8"/>
        <v/>
      </c>
      <c r="R40" s="59" t="str">
        <f t="shared" si="9"/>
        <v>January 2021</v>
      </c>
      <c r="S40" s="61">
        <f t="shared" si="10"/>
        <v>44227</v>
      </c>
      <c r="U40" s="15" t="s">
        <v>383</v>
      </c>
      <c r="V40" s="16">
        <f t="shared" si="11"/>
        <v>7</v>
      </c>
      <c r="W40" s="62">
        <f t="shared" si="12"/>
        <v>44403</v>
      </c>
      <c r="X40" s="62">
        <f t="shared" si="13"/>
        <v>44409</v>
      </c>
      <c r="Z40" s="62">
        <f t="shared" si="14"/>
        <v>44227</v>
      </c>
      <c r="AA40" s="63" t="s">
        <v>253</v>
      </c>
      <c r="AC40" s="69">
        <f t="shared" si="26"/>
        <v>30</v>
      </c>
      <c r="AD40" s="21">
        <f>VLOOKUP($AC$8,dbmonthly[[Monthy]:[Start Month]],4,0)+Monthly_Filter_Date[[#This Row],[No]]</f>
        <v>44500</v>
      </c>
      <c r="AF40" s="15">
        <v>31</v>
      </c>
      <c r="AG40" s="15" t="s">
        <v>378</v>
      </c>
      <c r="AH40" s="106" t="s">
        <v>378</v>
      </c>
      <c r="AI40" s="15" t="s">
        <v>547</v>
      </c>
      <c r="AJ40" s="107">
        <v>0.5</v>
      </c>
      <c r="AK40" s="107">
        <v>0.54166666666666696</v>
      </c>
      <c r="AN40" s="71"/>
      <c r="BA40" s="18" t="s">
        <v>561</v>
      </c>
      <c r="BB40" s="18" t="s">
        <v>562</v>
      </c>
      <c r="BC40" s="18" t="s">
        <v>562</v>
      </c>
      <c r="BD40" s="18" t="s">
        <v>290</v>
      </c>
      <c r="CC40" s="15" t="s">
        <v>932</v>
      </c>
      <c r="CD40" s="15" t="s">
        <v>933</v>
      </c>
      <c r="CE40" s="15" t="str">
        <f t="shared" si="32"/>
        <v>50721093-Usman Kao</v>
      </c>
      <c r="CF40" s="15" t="s">
        <v>933</v>
      </c>
      <c r="CW40"/>
      <c r="CX40"/>
      <c r="CY40"/>
      <c r="CZ40"/>
      <c r="DA40" t="s">
        <v>264</v>
      </c>
      <c r="DB40" t="s">
        <v>1066</v>
      </c>
      <c r="DC40"/>
      <c r="DD40"/>
      <c r="DE40"/>
      <c r="DF40"/>
    </row>
    <row r="41" spans="2:110" ht="14.5" x14ac:dyDescent="0.35">
      <c r="B41" s="58">
        <f t="shared" si="19"/>
        <v>44228</v>
      </c>
      <c r="C41" s="59" t="str">
        <f t="shared" si="0"/>
        <v>01</v>
      </c>
      <c r="D41" s="59" t="str">
        <f t="shared" si="1"/>
        <v>Monday</v>
      </c>
      <c r="E41" s="59" t="str">
        <f t="shared" si="2"/>
        <v>February</v>
      </c>
      <c r="F41" s="59" t="str">
        <f t="shared" si="3"/>
        <v>2021</v>
      </c>
      <c r="G41" s="59" t="str">
        <f t="shared" si="20"/>
        <v>Week_06</v>
      </c>
      <c r="H41" s="59" t="str">
        <f t="shared" si="21"/>
        <v>February 2021</v>
      </c>
      <c r="I41" s="59" t="str">
        <f t="shared" si="22"/>
        <v>Start WeekWeek_06</v>
      </c>
      <c r="J41" s="60">
        <f t="shared" si="4"/>
        <v>44228</v>
      </c>
      <c r="K41" s="59">
        <f t="shared" si="23"/>
        <v>6</v>
      </c>
      <c r="L41" s="59" t="str">
        <f t="shared" si="5"/>
        <v>06</v>
      </c>
      <c r="M41" s="59" t="str">
        <f t="shared" si="6"/>
        <v>Week_</v>
      </c>
      <c r="N41" s="59" t="str">
        <f t="shared" si="7"/>
        <v>Week_06</v>
      </c>
      <c r="O41" s="59">
        <f t="shared" si="24"/>
        <v>1</v>
      </c>
      <c r="P41" s="59" t="str">
        <f t="shared" si="25"/>
        <v>Start Week</v>
      </c>
      <c r="Q41" s="59" t="str">
        <f t="shared" si="8"/>
        <v>Start Month</v>
      </c>
      <c r="R41" s="59" t="str">
        <f t="shared" si="9"/>
        <v>Start MonthFebruary 2021</v>
      </c>
      <c r="S41" s="61">
        <f t="shared" si="10"/>
        <v>44228</v>
      </c>
      <c r="U41" s="15" t="s">
        <v>394</v>
      </c>
      <c r="V41" s="16">
        <f t="shared" si="11"/>
        <v>7</v>
      </c>
      <c r="W41" s="62">
        <f t="shared" si="12"/>
        <v>44410</v>
      </c>
      <c r="X41" s="62">
        <f t="shared" si="13"/>
        <v>44416</v>
      </c>
      <c r="Z41" s="62">
        <f t="shared" si="14"/>
        <v>44228</v>
      </c>
      <c r="AA41" s="63" t="s">
        <v>253</v>
      </c>
      <c r="AC41" s="108">
        <v>6</v>
      </c>
      <c r="AD41" s="109" t="str">
        <f>IFERROR(VLOOKUP($AD$47,dbmonthly[[Monthy]:[7]],AC41,0),"")</f>
        <v>Week_40</v>
      </c>
      <c r="AF41" s="15">
        <v>32</v>
      </c>
      <c r="AG41" s="15" t="s">
        <v>392</v>
      </c>
      <c r="AH41" s="106" t="s">
        <v>392</v>
      </c>
      <c r="AI41" s="15" t="s">
        <v>547</v>
      </c>
      <c r="AJ41" s="107">
        <v>0.54166666666666696</v>
      </c>
      <c r="AK41" s="107">
        <v>0.58333333333333304</v>
      </c>
      <c r="AN41" s="71"/>
      <c r="BA41" s="18" t="s">
        <v>563</v>
      </c>
      <c r="BB41" s="18" t="s">
        <v>564</v>
      </c>
      <c r="BC41" s="18" t="s">
        <v>564</v>
      </c>
      <c r="BD41" s="18" t="s">
        <v>290</v>
      </c>
      <c r="CC41" s="15" t="s">
        <v>934</v>
      </c>
      <c r="CD41" s="15" t="s">
        <v>935</v>
      </c>
      <c r="CE41" s="15" t="str">
        <f t="shared" ref="CE41:CE47" si="33">+CC41&amp;"-"&amp;CD41</f>
        <v>50721075-Mohammad Fendik</v>
      </c>
      <c r="CF41" s="15" t="s">
        <v>935</v>
      </c>
      <c r="CW41"/>
      <c r="CX41"/>
      <c r="CY41"/>
      <c r="CZ41"/>
      <c r="DA41" t="s">
        <v>1017</v>
      </c>
      <c r="DB41" t="s">
        <v>1066</v>
      </c>
      <c r="DC41"/>
      <c r="DE41"/>
      <c r="DF41"/>
    </row>
    <row r="42" spans="2:110" ht="14.5" x14ac:dyDescent="0.35">
      <c r="B42" s="58">
        <f t="shared" si="19"/>
        <v>44229</v>
      </c>
      <c r="C42" s="59" t="str">
        <f t="shared" si="0"/>
        <v>02</v>
      </c>
      <c r="D42" s="59" t="str">
        <f t="shared" si="1"/>
        <v>Tuesday</v>
      </c>
      <c r="E42" s="59" t="str">
        <f t="shared" si="2"/>
        <v>February</v>
      </c>
      <c r="F42" s="59" t="str">
        <f t="shared" si="3"/>
        <v>2021</v>
      </c>
      <c r="G42" s="59" t="str">
        <f t="shared" si="20"/>
        <v>Week_06</v>
      </c>
      <c r="H42" s="59" t="str">
        <f t="shared" si="21"/>
        <v>February 2021</v>
      </c>
      <c r="I42" s="59" t="str">
        <f t="shared" si="22"/>
        <v>Week_06</v>
      </c>
      <c r="J42" s="60">
        <f t="shared" si="4"/>
        <v>44229</v>
      </c>
      <c r="K42" s="59">
        <f t="shared" si="23"/>
        <v>6</v>
      </c>
      <c r="L42" s="59" t="str">
        <f t="shared" si="5"/>
        <v>06</v>
      </c>
      <c r="M42" s="59" t="str">
        <f t="shared" si="6"/>
        <v>Week_</v>
      </c>
      <c r="N42" s="59" t="str">
        <f t="shared" si="7"/>
        <v>Week_06</v>
      </c>
      <c r="O42" s="59">
        <f t="shared" si="24"/>
        <v>0</v>
      </c>
      <c r="P42" s="59" t="str">
        <f t="shared" si="25"/>
        <v/>
      </c>
      <c r="Q42" s="59" t="str">
        <f t="shared" si="8"/>
        <v/>
      </c>
      <c r="R42" s="59" t="str">
        <f t="shared" si="9"/>
        <v>February 2021</v>
      </c>
      <c r="S42" s="61">
        <f t="shared" si="10"/>
        <v>44229</v>
      </c>
      <c r="U42" s="15" t="s">
        <v>395</v>
      </c>
      <c r="V42" s="16">
        <f t="shared" si="11"/>
        <v>7</v>
      </c>
      <c r="W42" s="62">
        <f t="shared" si="12"/>
        <v>44417</v>
      </c>
      <c r="X42" s="62">
        <f t="shared" si="13"/>
        <v>44423</v>
      </c>
      <c r="Z42" s="62">
        <f t="shared" si="14"/>
        <v>44229</v>
      </c>
      <c r="AA42" s="63" t="s">
        <v>253</v>
      </c>
      <c r="AC42" s="108">
        <v>7</v>
      </c>
      <c r="AD42" s="109" t="str">
        <f>IFERROR(VLOOKUP($AD$47,dbmonthly[[Monthy]:[7]],AC42,0),"")</f>
        <v>Week_41</v>
      </c>
      <c r="AF42" s="15">
        <v>33</v>
      </c>
      <c r="AG42" s="15" t="s">
        <v>402</v>
      </c>
      <c r="AH42" s="106" t="s">
        <v>402</v>
      </c>
      <c r="AI42" s="15" t="s">
        <v>547</v>
      </c>
      <c r="AJ42" s="107">
        <v>0.58333333333333304</v>
      </c>
      <c r="AK42" s="107">
        <v>0.625</v>
      </c>
      <c r="AN42" s="71"/>
      <c r="BA42" s="18" t="s">
        <v>565</v>
      </c>
      <c r="BB42" s="18" t="s">
        <v>564</v>
      </c>
      <c r="BC42" s="18" t="s">
        <v>564</v>
      </c>
      <c r="BD42" s="18" t="s">
        <v>290</v>
      </c>
      <c r="CC42" s="15" t="s">
        <v>936</v>
      </c>
      <c r="CD42" s="15" t="s">
        <v>937</v>
      </c>
      <c r="CE42" s="15" t="str">
        <f t="shared" si="33"/>
        <v>50721076-Dhirar San</v>
      </c>
      <c r="CF42" s="15" t="s">
        <v>937</v>
      </c>
      <c r="CW42"/>
      <c r="CX42"/>
      <c r="CY42"/>
      <c r="CZ42"/>
      <c r="DA42" t="s">
        <v>1018</v>
      </c>
      <c r="DB42" t="s">
        <v>1066</v>
      </c>
      <c r="DC42"/>
      <c r="DE42"/>
      <c r="DF42"/>
    </row>
    <row r="43" spans="2:110" ht="14.5" x14ac:dyDescent="0.35">
      <c r="B43" s="58">
        <f t="shared" si="19"/>
        <v>44230</v>
      </c>
      <c r="C43" s="59" t="str">
        <f t="shared" si="0"/>
        <v>03</v>
      </c>
      <c r="D43" s="59" t="str">
        <f t="shared" si="1"/>
        <v>Wednesday</v>
      </c>
      <c r="E43" s="59" t="str">
        <f t="shared" si="2"/>
        <v>February</v>
      </c>
      <c r="F43" s="59" t="str">
        <f t="shared" si="3"/>
        <v>2021</v>
      </c>
      <c r="G43" s="59" t="str">
        <f t="shared" si="20"/>
        <v>Week_06</v>
      </c>
      <c r="H43" s="59" t="str">
        <f t="shared" si="21"/>
        <v>February 2021</v>
      </c>
      <c r="I43" s="59" t="str">
        <f t="shared" si="22"/>
        <v>Week_06</v>
      </c>
      <c r="J43" s="60">
        <f t="shared" si="4"/>
        <v>44230</v>
      </c>
      <c r="K43" s="59">
        <f t="shared" si="23"/>
        <v>6</v>
      </c>
      <c r="L43" s="59" t="str">
        <f t="shared" si="5"/>
        <v>06</v>
      </c>
      <c r="M43" s="59" t="str">
        <f t="shared" si="6"/>
        <v>Week_</v>
      </c>
      <c r="N43" s="59" t="str">
        <f t="shared" si="7"/>
        <v>Week_06</v>
      </c>
      <c r="O43" s="59">
        <f t="shared" si="24"/>
        <v>0</v>
      </c>
      <c r="P43" s="59" t="str">
        <f t="shared" si="25"/>
        <v/>
      </c>
      <c r="Q43" s="59" t="str">
        <f t="shared" si="8"/>
        <v/>
      </c>
      <c r="R43" s="59" t="str">
        <f t="shared" si="9"/>
        <v>February 2021</v>
      </c>
      <c r="S43" s="61">
        <f t="shared" si="10"/>
        <v>44230</v>
      </c>
      <c r="U43" s="15" t="s">
        <v>396</v>
      </c>
      <c r="V43" s="16">
        <f t="shared" si="11"/>
        <v>7</v>
      </c>
      <c r="W43" s="62">
        <f t="shared" si="12"/>
        <v>44424</v>
      </c>
      <c r="X43" s="62">
        <f t="shared" si="13"/>
        <v>44430</v>
      </c>
      <c r="Z43" s="62">
        <f t="shared" si="14"/>
        <v>44230</v>
      </c>
      <c r="AA43" s="63" t="s">
        <v>253</v>
      </c>
      <c r="AC43" s="108">
        <v>8</v>
      </c>
      <c r="AD43" s="109" t="str">
        <f>IFERROR(VLOOKUP($AD$47,dbmonthly[[Monthy]:[7]],AC43,0),"")</f>
        <v>Week_42</v>
      </c>
      <c r="AF43" s="15">
        <v>34</v>
      </c>
      <c r="AG43" s="15" t="s">
        <v>412</v>
      </c>
      <c r="AH43" s="106" t="s">
        <v>412</v>
      </c>
      <c r="AI43" s="15" t="s">
        <v>547</v>
      </c>
      <c r="AJ43" s="107">
        <v>0.625</v>
      </c>
      <c r="AK43" s="107">
        <v>0.66666666666666696</v>
      </c>
      <c r="AN43" s="71"/>
      <c r="BA43" s="18" t="s">
        <v>566</v>
      </c>
      <c r="BB43" s="18" t="s">
        <v>567</v>
      </c>
      <c r="BC43" s="18" t="s">
        <v>567</v>
      </c>
      <c r="BD43" s="18" t="s">
        <v>290</v>
      </c>
      <c r="CC43" s="15" t="s">
        <v>938</v>
      </c>
      <c r="CD43" s="15" t="s">
        <v>939</v>
      </c>
      <c r="CE43" s="15" t="str">
        <f t="shared" si="33"/>
        <v>50721077-Sande David Blt</v>
      </c>
      <c r="CF43" s="15" t="s">
        <v>939</v>
      </c>
      <c r="CW43"/>
      <c r="CX43"/>
      <c r="CY43"/>
      <c r="CZ43"/>
      <c r="DA43" t="s">
        <v>71</v>
      </c>
      <c r="DB43" t="s">
        <v>1066</v>
      </c>
      <c r="DC43"/>
      <c r="DD43"/>
      <c r="DE43"/>
      <c r="DF43"/>
    </row>
    <row r="44" spans="2:110" ht="14.5" x14ac:dyDescent="0.35">
      <c r="B44" s="58">
        <f t="shared" si="19"/>
        <v>44231</v>
      </c>
      <c r="C44" s="59" t="str">
        <f t="shared" si="0"/>
        <v>04</v>
      </c>
      <c r="D44" s="59" t="str">
        <f t="shared" si="1"/>
        <v>Thursday</v>
      </c>
      <c r="E44" s="59" t="str">
        <f t="shared" si="2"/>
        <v>February</v>
      </c>
      <c r="F44" s="59" t="str">
        <f t="shared" si="3"/>
        <v>2021</v>
      </c>
      <c r="G44" s="59" t="str">
        <f t="shared" si="20"/>
        <v>Week_06</v>
      </c>
      <c r="H44" s="59" t="str">
        <f t="shared" si="21"/>
        <v>February 2021</v>
      </c>
      <c r="I44" s="59" t="str">
        <f t="shared" si="22"/>
        <v>Week_06</v>
      </c>
      <c r="J44" s="60">
        <f t="shared" si="4"/>
        <v>44231</v>
      </c>
      <c r="K44" s="59">
        <f t="shared" si="23"/>
        <v>6</v>
      </c>
      <c r="L44" s="59" t="str">
        <f t="shared" si="5"/>
        <v>06</v>
      </c>
      <c r="M44" s="59" t="str">
        <f t="shared" si="6"/>
        <v>Week_</v>
      </c>
      <c r="N44" s="59" t="str">
        <f t="shared" si="7"/>
        <v>Week_06</v>
      </c>
      <c r="O44" s="59">
        <f t="shared" si="24"/>
        <v>0</v>
      </c>
      <c r="P44" s="59" t="str">
        <f t="shared" si="25"/>
        <v/>
      </c>
      <c r="Q44" s="59" t="str">
        <f t="shared" si="8"/>
        <v/>
      </c>
      <c r="R44" s="59" t="str">
        <f t="shared" si="9"/>
        <v>February 2021</v>
      </c>
      <c r="S44" s="61">
        <f t="shared" si="10"/>
        <v>44231</v>
      </c>
      <c r="U44" s="15" t="s">
        <v>397</v>
      </c>
      <c r="V44" s="16">
        <f t="shared" si="11"/>
        <v>7</v>
      </c>
      <c r="W44" s="62">
        <f t="shared" si="12"/>
        <v>44431</v>
      </c>
      <c r="X44" s="62">
        <f t="shared" si="13"/>
        <v>44437</v>
      </c>
      <c r="Z44" s="62">
        <f t="shared" si="14"/>
        <v>44231</v>
      </c>
      <c r="AA44" s="63" t="s">
        <v>253</v>
      </c>
      <c r="AC44" s="108">
        <v>9</v>
      </c>
      <c r="AD44" s="109" t="str">
        <f>IFERROR(VLOOKUP($AD$47,dbmonthly[[Monthy]:[7]],AC44,0),"")</f>
        <v>Week_43</v>
      </c>
      <c r="AF44" s="15">
        <v>35</v>
      </c>
      <c r="AG44" s="15" t="s">
        <v>424</v>
      </c>
      <c r="AH44" s="106" t="s">
        <v>424</v>
      </c>
      <c r="AI44" s="15" t="s">
        <v>547</v>
      </c>
      <c r="AJ44" s="107">
        <v>0.66666666666666696</v>
      </c>
      <c r="AK44" s="107">
        <v>0.70833333333333304</v>
      </c>
      <c r="AN44" s="71"/>
      <c r="BA44" s="18" t="s">
        <v>568</v>
      </c>
      <c r="BB44" s="18" t="s">
        <v>567</v>
      </c>
      <c r="BC44" s="18" t="s">
        <v>567</v>
      </c>
      <c r="BD44" s="18" t="s">
        <v>290</v>
      </c>
      <c r="CC44" s="15" t="s">
        <v>940</v>
      </c>
      <c r="CD44" s="15" t="s">
        <v>941</v>
      </c>
      <c r="CE44" s="15" t="str">
        <f t="shared" si="33"/>
        <v>50721078-Ayub Ibrahim Dandan</v>
      </c>
      <c r="CF44" s="15" t="s">
        <v>941</v>
      </c>
      <c r="CW44"/>
      <c r="CX44"/>
      <c r="CY44"/>
      <c r="CZ44"/>
      <c r="DA44" t="s">
        <v>72</v>
      </c>
      <c r="DB44" t="s">
        <v>1066</v>
      </c>
      <c r="DC44"/>
      <c r="DD44"/>
      <c r="DE44"/>
      <c r="DF44"/>
    </row>
    <row r="45" spans="2:110" ht="14.5" x14ac:dyDescent="0.35">
      <c r="B45" s="58">
        <f t="shared" si="19"/>
        <v>44232</v>
      </c>
      <c r="C45" s="59" t="str">
        <f t="shared" si="0"/>
        <v>05</v>
      </c>
      <c r="D45" s="59" t="str">
        <f t="shared" si="1"/>
        <v>Friday</v>
      </c>
      <c r="E45" s="59" t="str">
        <f t="shared" si="2"/>
        <v>February</v>
      </c>
      <c r="F45" s="59" t="str">
        <f t="shared" si="3"/>
        <v>2021</v>
      </c>
      <c r="G45" s="59" t="str">
        <f t="shared" si="20"/>
        <v>Week_06</v>
      </c>
      <c r="H45" s="59" t="str">
        <f t="shared" si="21"/>
        <v>February 2021</v>
      </c>
      <c r="I45" s="59" t="str">
        <f t="shared" si="22"/>
        <v>Week_06</v>
      </c>
      <c r="J45" s="60">
        <f t="shared" si="4"/>
        <v>44232</v>
      </c>
      <c r="K45" s="59">
        <f t="shared" si="23"/>
        <v>6</v>
      </c>
      <c r="L45" s="59" t="str">
        <f t="shared" si="5"/>
        <v>06</v>
      </c>
      <c r="M45" s="59" t="str">
        <f t="shared" si="6"/>
        <v>Week_</v>
      </c>
      <c r="N45" s="59" t="str">
        <f t="shared" si="7"/>
        <v>Week_06</v>
      </c>
      <c r="O45" s="59">
        <f t="shared" si="24"/>
        <v>0</v>
      </c>
      <c r="P45" s="59" t="str">
        <f t="shared" si="25"/>
        <v/>
      </c>
      <c r="Q45" s="59" t="str">
        <f t="shared" si="8"/>
        <v/>
      </c>
      <c r="R45" s="59" t="str">
        <f t="shared" si="9"/>
        <v>February 2021</v>
      </c>
      <c r="S45" s="61">
        <f t="shared" si="10"/>
        <v>44232</v>
      </c>
      <c r="U45" s="15" t="s">
        <v>398</v>
      </c>
      <c r="V45" s="16">
        <f t="shared" si="11"/>
        <v>7</v>
      </c>
      <c r="W45" s="62">
        <f t="shared" si="12"/>
        <v>44438</v>
      </c>
      <c r="X45" s="62">
        <f t="shared" si="13"/>
        <v>44444</v>
      </c>
      <c r="Z45" s="62">
        <f t="shared" si="14"/>
        <v>44232</v>
      </c>
      <c r="AA45" s="63" t="s">
        <v>253</v>
      </c>
      <c r="AC45" s="108">
        <v>10</v>
      </c>
      <c r="AD45" s="109" t="str">
        <f>IFERROR(VLOOKUP($AD$47,dbmonthly[[Monthy]:[7]],AC45,0),"")</f>
        <v>Week_44</v>
      </c>
      <c r="AF45" s="15">
        <v>36</v>
      </c>
      <c r="AG45" s="15" t="s">
        <v>437</v>
      </c>
      <c r="AH45" s="106" t="s">
        <v>437</v>
      </c>
      <c r="AI45" s="15" t="s">
        <v>547</v>
      </c>
      <c r="AJ45" s="107">
        <v>0.70833333333333703</v>
      </c>
      <c r="AK45" s="107">
        <v>0.75</v>
      </c>
      <c r="AN45" s="71"/>
      <c r="BA45" s="18" t="s">
        <v>569</v>
      </c>
      <c r="BB45" s="18" t="s">
        <v>564</v>
      </c>
      <c r="BC45" s="18" t="s">
        <v>564</v>
      </c>
      <c r="BD45" s="18" t="s">
        <v>290</v>
      </c>
      <c r="CC45" s="15" t="s">
        <v>942</v>
      </c>
      <c r="CD45" s="15" t="s">
        <v>943</v>
      </c>
      <c r="CE45" s="15" t="str">
        <f t="shared" si="33"/>
        <v>50721079-Harpan</v>
      </c>
      <c r="CF45" s="15" t="s">
        <v>943</v>
      </c>
      <c r="CW45"/>
      <c r="CX45"/>
      <c r="CY45"/>
      <c r="CZ45"/>
      <c r="DA45" t="s">
        <v>73</v>
      </c>
      <c r="DB45" t="s">
        <v>1066</v>
      </c>
      <c r="DC45"/>
      <c r="DD45"/>
      <c r="DE45"/>
      <c r="DF45"/>
    </row>
    <row r="46" spans="2:110" ht="14.5" x14ac:dyDescent="0.35">
      <c r="B46" s="58">
        <f t="shared" si="19"/>
        <v>44233</v>
      </c>
      <c r="C46" s="59" t="str">
        <f t="shared" si="0"/>
        <v>06</v>
      </c>
      <c r="D46" s="59" t="str">
        <f t="shared" si="1"/>
        <v>Saturday</v>
      </c>
      <c r="E46" s="59" t="str">
        <f t="shared" si="2"/>
        <v>February</v>
      </c>
      <c r="F46" s="59" t="str">
        <f t="shared" si="3"/>
        <v>2021</v>
      </c>
      <c r="G46" s="59" t="str">
        <f t="shared" si="20"/>
        <v>Week_06</v>
      </c>
      <c r="H46" s="59" t="str">
        <f t="shared" si="21"/>
        <v>February 2021</v>
      </c>
      <c r="I46" s="59" t="str">
        <f t="shared" si="22"/>
        <v>Week_06</v>
      </c>
      <c r="J46" s="60">
        <f t="shared" si="4"/>
        <v>44233</v>
      </c>
      <c r="K46" s="59">
        <f t="shared" si="23"/>
        <v>6</v>
      </c>
      <c r="L46" s="59" t="str">
        <f t="shared" si="5"/>
        <v>06</v>
      </c>
      <c r="M46" s="59" t="str">
        <f t="shared" si="6"/>
        <v>Week_</v>
      </c>
      <c r="N46" s="59" t="str">
        <f t="shared" si="7"/>
        <v>Week_06</v>
      </c>
      <c r="O46" s="59">
        <f t="shared" si="24"/>
        <v>0</v>
      </c>
      <c r="P46" s="59" t="str">
        <f t="shared" si="25"/>
        <v/>
      </c>
      <c r="Q46" s="59" t="str">
        <f t="shared" si="8"/>
        <v/>
      </c>
      <c r="R46" s="59" t="str">
        <f t="shared" si="9"/>
        <v>February 2021</v>
      </c>
      <c r="S46" s="61">
        <f t="shared" si="10"/>
        <v>44233</v>
      </c>
      <c r="U46" s="15" t="s">
        <v>404</v>
      </c>
      <c r="V46" s="16">
        <f t="shared" si="11"/>
        <v>7</v>
      </c>
      <c r="W46" s="62">
        <f t="shared" si="12"/>
        <v>44445</v>
      </c>
      <c r="X46" s="62">
        <f t="shared" si="13"/>
        <v>44451</v>
      </c>
      <c r="Z46" s="62">
        <f t="shared" si="14"/>
        <v>44233</v>
      </c>
      <c r="AA46" s="63" t="s">
        <v>253</v>
      </c>
      <c r="AC46" s="108">
        <v>11</v>
      </c>
      <c r="AD46" s="109">
        <f>IFERROR(VLOOKUP($AD$47,dbmonthly[[Monthy]:[7]],AC46,0),"")</f>
        <v>0</v>
      </c>
      <c r="AF46" s="15">
        <v>37</v>
      </c>
      <c r="AG46" s="15" t="s">
        <v>448</v>
      </c>
      <c r="AH46" s="106" t="s">
        <v>448</v>
      </c>
      <c r="AI46" s="15" t="s">
        <v>548</v>
      </c>
      <c r="AJ46" s="107">
        <v>0.750000000000004</v>
      </c>
      <c r="AK46" s="107">
        <v>0.79166666666666696</v>
      </c>
      <c r="AN46" s="71"/>
      <c r="BA46" s="18" t="s">
        <v>570</v>
      </c>
      <c r="BB46" s="18" t="s">
        <v>564</v>
      </c>
      <c r="BC46" s="18" t="s">
        <v>564</v>
      </c>
      <c r="BD46" s="18" t="s">
        <v>290</v>
      </c>
      <c r="CC46" s="15" t="s">
        <v>944</v>
      </c>
      <c r="CD46" s="15" t="s">
        <v>945</v>
      </c>
      <c r="CE46" s="15" t="str">
        <f t="shared" si="33"/>
        <v>50721080-Lukman</v>
      </c>
      <c r="CF46" s="15" t="s">
        <v>945</v>
      </c>
      <c r="CW46"/>
      <c r="CX46"/>
      <c r="CY46"/>
      <c r="CZ46"/>
      <c r="DA46" t="s">
        <v>74</v>
      </c>
      <c r="DB46" t="s">
        <v>1066</v>
      </c>
      <c r="DC46"/>
      <c r="DD46"/>
      <c r="DE46"/>
      <c r="DF46"/>
    </row>
    <row r="47" spans="2:110" ht="14.5" x14ac:dyDescent="0.35">
      <c r="B47" s="58">
        <f t="shared" si="19"/>
        <v>44234</v>
      </c>
      <c r="C47" s="59" t="str">
        <f t="shared" si="0"/>
        <v>07</v>
      </c>
      <c r="D47" s="59" t="str">
        <f t="shared" si="1"/>
        <v>Sunday</v>
      </c>
      <c r="E47" s="59" t="str">
        <f t="shared" si="2"/>
        <v>February</v>
      </c>
      <c r="F47" s="59" t="str">
        <f t="shared" si="3"/>
        <v>2021</v>
      </c>
      <c r="G47" s="59" t="str">
        <f t="shared" si="20"/>
        <v>Week_06</v>
      </c>
      <c r="H47" s="59" t="str">
        <f t="shared" si="21"/>
        <v>February 2021</v>
      </c>
      <c r="I47" s="59" t="str">
        <f t="shared" si="22"/>
        <v>Week_06</v>
      </c>
      <c r="J47" s="60">
        <f t="shared" si="4"/>
        <v>44234</v>
      </c>
      <c r="K47" s="59">
        <f t="shared" si="23"/>
        <v>6</v>
      </c>
      <c r="L47" s="59" t="str">
        <f t="shared" si="5"/>
        <v>06</v>
      </c>
      <c r="M47" s="59" t="str">
        <f t="shared" si="6"/>
        <v>Week_</v>
      </c>
      <c r="N47" s="59" t="str">
        <f t="shared" si="7"/>
        <v>Week_06</v>
      </c>
      <c r="O47" s="59">
        <f t="shared" si="24"/>
        <v>0</v>
      </c>
      <c r="P47" s="59" t="str">
        <f t="shared" si="25"/>
        <v/>
      </c>
      <c r="Q47" s="59" t="str">
        <f t="shared" si="8"/>
        <v/>
      </c>
      <c r="R47" s="59" t="str">
        <f t="shared" si="9"/>
        <v>February 2021</v>
      </c>
      <c r="S47" s="61">
        <f t="shared" si="10"/>
        <v>44234</v>
      </c>
      <c r="U47" s="15" t="s">
        <v>405</v>
      </c>
      <c r="V47" s="16">
        <f t="shared" si="11"/>
        <v>7</v>
      </c>
      <c r="W47" s="62">
        <f t="shared" si="12"/>
        <v>44452</v>
      </c>
      <c r="X47" s="62">
        <f t="shared" si="13"/>
        <v>44458</v>
      </c>
      <c r="Z47" s="62">
        <f t="shared" si="14"/>
        <v>44234</v>
      </c>
      <c r="AA47" s="63" t="s">
        <v>253</v>
      </c>
      <c r="AC47" s="108">
        <f>+AC46+1</f>
        <v>12</v>
      </c>
      <c r="AD47" s="109" t="str">
        <f>+AC8</f>
        <v>October 2021</v>
      </c>
      <c r="AF47" s="15">
        <v>38</v>
      </c>
      <c r="AG47" s="15" t="s">
        <v>453</v>
      </c>
      <c r="AH47" s="106" t="s">
        <v>453</v>
      </c>
      <c r="AI47" s="15" t="s">
        <v>548</v>
      </c>
      <c r="AJ47" s="107">
        <v>0.79166666666667096</v>
      </c>
      <c r="AK47" s="107">
        <v>0.83333333333333304</v>
      </c>
      <c r="AN47" s="71"/>
      <c r="BA47" s="18" t="s">
        <v>571</v>
      </c>
      <c r="BB47" s="18" t="s">
        <v>572</v>
      </c>
      <c r="BC47" s="18" t="s">
        <v>572</v>
      </c>
      <c r="BD47" s="18" t="s">
        <v>290</v>
      </c>
      <c r="CC47" s="15" t="s">
        <v>946</v>
      </c>
      <c r="CD47" s="15" t="s">
        <v>947</v>
      </c>
      <c r="CE47" s="15" t="str">
        <f t="shared" si="33"/>
        <v>50721081-Adi Wardana</v>
      </c>
      <c r="CF47" s="15" t="s">
        <v>947</v>
      </c>
      <c r="CW47"/>
      <c r="CX47"/>
      <c r="CY47"/>
      <c r="CZ47"/>
      <c r="DA47" t="s">
        <v>34</v>
      </c>
      <c r="DB47" t="s">
        <v>1066</v>
      </c>
      <c r="DC47"/>
      <c r="DD47"/>
      <c r="DE47"/>
      <c r="DF47"/>
    </row>
    <row r="48" spans="2:110" ht="14.5" x14ac:dyDescent="0.35">
      <c r="B48" s="58">
        <f t="shared" si="19"/>
        <v>44235</v>
      </c>
      <c r="C48" s="59" t="str">
        <f t="shared" si="0"/>
        <v>08</v>
      </c>
      <c r="D48" s="59" t="str">
        <f t="shared" si="1"/>
        <v>Monday</v>
      </c>
      <c r="E48" s="59" t="str">
        <f t="shared" si="2"/>
        <v>February</v>
      </c>
      <c r="F48" s="59" t="str">
        <f t="shared" si="3"/>
        <v>2021</v>
      </c>
      <c r="G48" s="59" t="str">
        <f t="shared" si="20"/>
        <v>Week_07</v>
      </c>
      <c r="H48" s="59" t="str">
        <f t="shared" si="21"/>
        <v>February 2021</v>
      </c>
      <c r="I48" s="59" t="str">
        <f t="shared" si="22"/>
        <v>Start WeekWeek_07</v>
      </c>
      <c r="J48" s="60">
        <f t="shared" si="4"/>
        <v>44235</v>
      </c>
      <c r="K48" s="59">
        <f t="shared" si="23"/>
        <v>7</v>
      </c>
      <c r="L48" s="59" t="str">
        <f t="shared" si="5"/>
        <v>07</v>
      </c>
      <c r="M48" s="59" t="str">
        <f t="shared" si="6"/>
        <v>Week_</v>
      </c>
      <c r="N48" s="59" t="str">
        <f t="shared" si="7"/>
        <v>Week_07</v>
      </c>
      <c r="O48" s="59">
        <f t="shared" si="24"/>
        <v>1</v>
      </c>
      <c r="P48" s="59" t="str">
        <f t="shared" si="25"/>
        <v>Start Week</v>
      </c>
      <c r="Q48" s="59" t="str">
        <f t="shared" si="8"/>
        <v/>
      </c>
      <c r="R48" s="59" t="str">
        <f t="shared" si="9"/>
        <v>February 2021</v>
      </c>
      <c r="S48" s="61">
        <f t="shared" si="10"/>
        <v>44235</v>
      </c>
      <c r="U48" s="15" t="s">
        <v>406</v>
      </c>
      <c r="V48" s="16">
        <f t="shared" si="11"/>
        <v>7</v>
      </c>
      <c r="W48" s="62">
        <f t="shared" si="12"/>
        <v>44459</v>
      </c>
      <c r="X48" s="62">
        <f t="shared" si="13"/>
        <v>44465</v>
      </c>
      <c r="Z48" s="62">
        <f t="shared" si="14"/>
        <v>44235</v>
      </c>
      <c r="AA48" s="63" t="s">
        <v>253</v>
      </c>
      <c r="AC48" s="69">
        <v>0</v>
      </c>
      <c r="AD48" s="21">
        <v>44378</v>
      </c>
      <c r="AF48" s="15">
        <v>39</v>
      </c>
      <c r="AG48" s="15" t="s">
        <v>457</v>
      </c>
      <c r="AH48" s="106" t="s">
        <v>457</v>
      </c>
      <c r="AI48" s="15" t="s">
        <v>548</v>
      </c>
      <c r="AJ48" s="107">
        <v>0.83333333333333803</v>
      </c>
      <c r="AK48" s="107">
        <v>0.874999999999995</v>
      </c>
      <c r="AN48" s="71"/>
      <c r="BA48" s="18" t="s">
        <v>573</v>
      </c>
      <c r="BB48" s="18" t="s">
        <v>574</v>
      </c>
      <c r="BC48" s="18" t="s">
        <v>574</v>
      </c>
      <c r="BD48" s="18" t="s">
        <v>290</v>
      </c>
      <c r="CC48" s="15">
        <v>50121016</v>
      </c>
      <c r="CD48" s="15" t="s">
        <v>948</v>
      </c>
      <c r="CE48" s="15" t="str">
        <f t="shared" ref="CE48:CE60" si="34">+CC48&amp;"-"&amp;CD48</f>
        <v>50121016-Akhmad Rizaldi</v>
      </c>
      <c r="CF48" s="15" t="s">
        <v>948</v>
      </c>
      <c r="CW48"/>
      <c r="CX48"/>
      <c r="CY48"/>
      <c r="CZ48"/>
      <c r="DA48" t="s">
        <v>36</v>
      </c>
      <c r="DB48" t="s">
        <v>1065</v>
      </c>
      <c r="DC48"/>
      <c r="DD48"/>
      <c r="DE48"/>
      <c r="DF48"/>
    </row>
    <row r="49" spans="2:110" ht="14.5" x14ac:dyDescent="0.35">
      <c r="B49" s="58">
        <f t="shared" si="19"/>
        <v>44236</v>
      </c>
      <c r="C49" s="59" t="str">
        <f t="shared" si="0"/>
        <v>09</v>
      </c>
      <c r="D49" s="59" t="str">
        <f t="shared" si="1"/>
        <v>Tuesday</v>
      </c>
      <c r="E49" s="59" t="str">
        <f t="shared" si="2"/>
        <v>February</v>
      </c>
      <c r="F49" s="59" t="str">
        <f t="shared" si="3"/>
        <v>2021</v>
      </c>
      <c r="G49" s="59" t="str">
        <f t="shared" si="20"/>
        <v>Week_07</v>
      </c>
      <c r="H49" s="59" t="str">
        <f t="shared" si="21"/>
        <v>February 2021</v>
      </c>
      <c r="I49" s="59" t="str">
        <f t="shared" si="22"/>
        <v>Week_07</v>
      </c>
      <c r="J49" s="60">
        <f t="shared" si="4"/>
        <v>44236</v>
      </c>
      <c r="K49" s="59">
        <f t="shared" si="23"/>
        <v>7</v>
      </c>
      <c r="L49" s="59" t="str">
        <f t="shared" si="5"/>
        <v>07</v>
      </c>
      <c r="M49" s="59" t="str">
        <f t="shared" si="6"/>
        <v>Week_</v>
      </c>
      <c r="N49" s="59" t="str">
        <f t="shared" si="7"/>
        <v>Week_07</v>
      </c>
      <c r="O49" s="59">
        <f t="shared" si="24"/>
        <v>0</v>
      </c>
      <c r="P49" s="59" t="str">
        <f t="shared" si="25"/>
        <v/>
      </c>
      <c r="Q49" s="59" t="str">
        <f t="shared" si="8"/>
        <v/>
      </c>
      <c r="R49" s="59" t="str">
        <f t="shared" si="9"/>
        <v>February 2021</v>
      </c>
      <c r="S49" s="61">
        <f t="shared" si="10"/>
        <v>44236</v>
      </c>
      <c r="U49" s="15" t="s">
        <v>407</v>
      </c>
      <c r="V49" s="16">
        <f t="shared" si="11"/>
        <v>7</v>
      </c>
      <c r="W49" s="62">
        <f t="shared" si="12"/>
        <v>44466</v>
      </c>
      <c r="X49" s="62">
        <f t="shared" si="13"/>
        <v>44472</v>
      </c>
      <c r="Z49" s="62">
        <f t="shared" si="14"/>
        <v>44236</v>
      </c>
      <c r="AA49" s="63" t="s">
        <v>253</v>
      </c>
      <c r="AF49" s="15">
        <v>40</v>
      </c>
      <c r="AG49" s="15" t="s">
        <v>461</v>
      </c>
      <c r="AH49" s="106" t="s">
        <v>461</v>
      </c>
      <c r="AI49" s="15" t="s">
        <v>548</v>
      </c>
      <c r="AJ49" s="107">
        <v>0.875000000000005</v>
      </c>
      <c r="AK49" s="107">
        <v>0.91666666666666097</v>
      </c>
      <c r="AN49" s="71"/>
      <c r="BA49" s="18" t="s">
        <v>575</v>
      </c>
      <c r="BB49" s="18" t="s">
        <v>576</v>
      </c>
      <c r="BC49" s="18" t="s">
        <v>576</v>
      </c>
      <c r="BD49" s="18" t="s">
        <v>290</v>
      </c>
      <c r="CC49" s="15">
        <v>50121017</v>
      </c>
      <c r="CD49" s="15" t="s">
        <v>949</v>
      </c>
      <c r="CE49" s="15" t="str">
        <f t="shared" si="34"/>
        <v xml:space="preserve">50121017-Erfiandi Bakhtiar </v>
      </c>
      <c r="CF49" s="15" t="s">
        <v>949</v>
      </c>
      <c r="CW49"/>
      <c r="CX49"/>
      <c r="CY49"/>
      <c r="CZ49"/>
      <c r="DA49" t="s">
        <v>975</v>
      </c>
      <c r="DB49" t="s">
        <v>1065</v>
      </c>
      <c r="DC49"/>
      <c r="DD49"/>
      <c r="DE49"/>
      <c r="DF49"/>
    </row>
    <row r="50" spans="2:110" ht="14.5" x14ac:dyDescent="0.35">
      <c r="B50" s="58">
        <f t="shared" si="19"/>
        <v>44237</v>
      </c>
      <c r="C50" s="59" t="str">
        <f t="shared" si="0"/>
        <v>10</v>
      </c>
      <c r="D50" s="59" t="str">
        <f t="shared" si="1"/>
        <v>Wednesday</v>
      </c>
      <c r="E50" s="59" t="str">
        <f t="shared" si="2"/>
        <v>February</v>
      </c>
      <c r="F50" s="59" t="str">
        <f t="shared" si="3"/>
        <v>2021</v>
      </c>
      <c r="G50" s="59" t="str">
        <f t="shared" si="20"/>
        <v>Week_07</v>
      </c>
      <c r="H50" s="59" t="str">
        <f t="shared" si="21"/>
        <v>February 2021</v>
      </c>
      <c r="I50" s="59" t="str">
        <f t="shared" si="22"/>
        <v>Week_07</v>
      </c>
      <c r="J50" s="60">
        <f t="shared" si="4"/>
        <v>44237</v>
      </c>
      <c r="K50" s="59">
        <f t="shared" si="23"/>
        <v>7</v>
      </c>
      <c r="L50" s="59" t="str">
        <f t="shared" si="5"/>
        <v>07</v>
      </c>
      <c r="M50" s="59" t="str">
        <f t="shared" si="6"/>
        <v>Week_</v>
      </c>
      <c r="N50" s="59" t="str">
        <f t="shared" si="7"/>
        <v>Week_07</v>
      </c>
      <c r="O50" s="59">
        <f t="shared" si="24"/>
        <v>0</v>
      </c>
      <c r="P50" s="59" t="str">
        <f t="shared" si="25"/>
        <v/>
      </c>
      <c r="Q50" s="59" t="str">
        <f t="shared" si="8"/>
        <v/>
      </c>
      <c r="R50" s="59" t="str">
        <f t="shared" si="9"/>
        <v>February 2021</v>
      </c>
      <c r="S50" s="61">
        <f t="shared" si="10"/>
        <v>44237</v>
      </c>
      <c r="U50" s="15" t="s">
        <v>414</v>
      </c>
      <c r="V50" s="16">
        <f t="shared" si="11"/>
        <v>7</v>
      </c>
      <c r="W50" s="62">
        <f t="shared" si="12"/>
        <v>44473</v>
      </c>
      <c r="X50" s="62">
        <f t="shared" si="13"/>
        <v>44479</v>
      </c>
      <c r="Z50" s="62">
        <f t="shared" si="14"/>
        <v>44237</v>
      </c>
      <c r="AA50" s="63" t="s">
        <v>253</v>
      </c>
      <c r="AF50" s="15">
        <v>41</v>
      </c>
      <c r="AG50" s="15" t="s">
        <v>466</v>
      </c>
      <c r="AH50" s="106" t="s">
        <v>466</v>
      </c>
      <c r="AI50" s="15" t="s">
        <v>548</v>
      </c>
      <c r="AJ50" s="107">
        <v>0.91666666666667196</v>
      </c>
      <c r="AK50" s="107">
        <v>0.95833333333332804</v>
      </c>
      <c r="AN50" s="71"/>
      <c r="BA50" s="18" t="s">
        <v>577</v>
      </c>
      <c r="BB50" s="18" t="s">
        <v>576</v>
      </c>
      <c r="BC50" s="18" t="s">
        <v>576</v>
      </c>
      <c r="BD50" s="18" t="s">
        <v>290</v>
      </c>
      <c r="CC50" s="15">
        <v>50121018</v>
      </c>
      <c r="CD50" s="15" t="s">
        <v>950</v>
      </c>
      <c r="CE50" s="15" t="str">
        <f t="shared" si="34"/>
        <v>50121018-Sowan Saputra</v>
      </c>
      <c r="CF50" s="15" t="s">
        <v>950</v>
      </c>
      <c r="CW50"/>
      <c r="CX50"/>
      <c r="CY50"/>
      <c r="CZ50"/>
      <c r="DA50" t="s">
        <v>38</v>
      </c>
      <c r="DB50" t="s">
        <v>1065</v>
      </c>
      <c r="DC50"/>
      <c r="DD50"/>
      <c r="DE50"/>
      <c r="DF50"/>
    </row>
    <row r="51" spans="2:110" ht="14.5" x14ac:dyDescent="0.35">
      <c r="B51" s="58">
        <f t="shared" si="19"/>
        <v>44238</v>
      </c>
      <c r="C51" s="59" t="str">
        <f t="shared" si="0"/>
        <v>11</v>
      </c>
      <c r="D51" s="59" t="str">
        <f t="shared" si="1"/>
        <v>Thursday</v>
      </c>
      <c r="E51" s="59" t="str">
        <f t="shared" si="2"/>
        <v>February</v>
      </c>
      <c r="F51" s="59" t="str">
        <f t="shared" si="3"/>
        <v>2021</v>
      </c>
      <c r="G51" s="59" t="str">
        <f t="shared" si="20"/>
        <v>Week_07</v>
      </c>
      <c r="H51" s="59" t="str">
        <f t="shared" si="21"/>
        <v>February 2021</v>
      </c>
      <c r="I51" s="59" t="str">
        <f t="shared" si="22"/>
        <v>Week_07</v>
      </c>
      <c r="J51" s="60">
        <f t="shared" si="4"/>
        <v>44238</v>
      </c>
      <c r="K51" s="59">
        <f t="shared" si="23"/>
        <v>7</v>
      </c>
      <c r="L51" s="59" t="str">
        <f t="shared" si="5"/>
        <v>07</v>
      </c>
      <c r="M51" s="59" t="str">
        <f t="shared" si="6"/>
        <v>Week_</v>
      </c>
      <c r="N51" s="59" t="str">
        <f t="shared" si="7"/>
        <v>Week_07</v>
      </c>
      <c r="O51" s="59">
        <f t="shared" si="24"/>
        <v>0</v>
      </c>
      <c r="P51" s="59" t="str">
        <f t="shared" si="25"/>
        <v/>
      </c>
      <c r="Q51" s="59" t="str">
        <f t="shared" si="8"/>
        <v/>
      </c>
      <c r="R51" s="59" t="str">
        <f t="shared" si="9"/>
        <v>February 2021</v>
      </c>
      <c r="S51" s="61">
        <f t="shared" si="10"/>
        <v>44238</v>
      </c>
      <c r="U51" s="15" t="s">
        <v>415</v>
      </c>
      <c r="V51" s="16">
        <f t="shared" si="11"/>
        <v>7</v>
      </c>
      <c r="W51" s="62">
        <f t="shared" si="12"/>
        <v>44480</v>
      </c>
      <c r="X51" s="62">
        <f t="shared" si="13"/>
        <v>44486</v>
      </c>
      <c r="Z51" s="62">
        <f t="shared" si="14"/>
        <v>44238</v>
      </c>
      <c r="AA51" s="63" t="s">
        <v>253</v>
      </c>
      <c r="AF51" s="15">
        <v>42</v>
      </c>
      <c r="AG51" s="15" t="s">
        <v>469</v>
      </c>
      <c r="AH51" s="106" t="s">
        <v>469</v>
      </c>
      <c r="AI51" s="15" t="s">
        <v>548</v>
      </c>
      <c r="AJ51" s="107">
        <v>0.95833333333333903</v>
      </c>
      <c r="AK51" s="107">
        <v>0.999999999999994</v>
      </c>
      <c r="AN51" s="71"/>
      <c r="BA51" s="18" t="s">
        <v>578</v>
      </c>
      <c r="BB51" s="18" t="s">
        <v>576</v>
      </c>
      <c r="BC51" s="18" t="s">
        <v>576</v>
      </c>
      <c r="BD51" s="18" t="s">
        <v>290</v>
      </c>
      <c r="CC51" s="15" t="s">
        <v>363</v>
      </c>
      <c r="CD51" s="15" t="s">
        <v>951</v>
      </c>
      <c r="CE51" s="15" t="str">
        <f t="shared" si="34"/>
        <v>50121019-Muhamad Zensupriayanto</v>
      </c>
      <c r="CF51" s="15" t="s">
        <v>951</v>
      </c>
      <c r="CW51"/>
      <c r="CX51"/>
      <c r="CY51"/>
      <c r="CZ51"/>
      <c r="DA51" t="s">
        <v>39</v>
      </c>
      <c r="DB51" t="s">
        <v>1065</v>
      </c>
      <c r="DC51"/>
      <c r="DD51"/>
      <c r="DE51"/>
      <c r="DF51"/>
    </row>
    <row r="52" spans="2:110" ht="14.5" x14ac:dyDescent="0.35">
      <c r="B52" s="58">
        <f t="shared" si="19"/>
        <v>44239</v>
      </c>
      <c r="C52" s="59" t="str">
        <f t="shared" si="0"/>
        <v>12</v>
      </c>
      <c r="D52" s="59" t="str">
        <f t="shared" si="1"/>
        <v>Friday</v>
      </c>
      <c r="E52" s="59" t="str">
        <f t="shared" si="2"/>
        <v>February</v>
      </c>
      <c r="F52" s="59" t="str">
        <f t="shared" si="3"/>
        <v>2021</v>
      </c>
      <c r="G52" s="59" t="str">
        <f t="shared" si="20"/>
        <v>Week_07</v>
      </c>
      <c r="H52" s="59" t="str">
        <f t="shared" si="21"/>
        <v>February 2021</v>
      </c>
      <c r="I52" s="59" t="str">
        <f t="shared" si="22"/>
        <v>Week_07</v>
      </c>
      <c r="J52" s="60">
        <f t="shared" si="4"/>
        <v>44239</v>
      </c>
      <c r="K52" s="59">
        <f t="shared" si="23"/>
        <v>7</v>
      </c>
      <c r="L52" s="59" t="str">
        <f t="shared" si="5"/>
        <v>07</v>
      </c>
      <c r="M52" s="59" t="str">
        <f t="shared" si="6"/>
        <v>Week_</v>
      </c>
      <c r="N52" s="59" t="str">
        <f t="shared" si="7"/>
        <v>Week_07</v>
      </c>
      <c r="O52" s="59">
        <f t="shared" si="24"/>
        <v>0</v>
      </c>
      <c r="P52" s="59" t="str">
        <f t="shared" si="25"/>
        <v/>
      </c>
      <c r="Q52" s="59" t="str">
        <f t="shared" si="8"/>
        <v/>
      </c>
      <c r="R52" s="59" t="str">
        <f t="shared" si="9"/>
        <v>February 2021</v>
      </c>
      <c r="S52" s="61">
        <f t="shared" si="10"/>
        <v>44239</v>
      </c>
      <c r="U52" s="15" t="s">
        <v>416</v>
      </c>
      <c r="V52" s="16">
        <f t="shared" si="11"/>
        <v>7</v>
      </c>
      <c r="W52" s="62">
        <f t="shared" si="12"/>
        <v>44487</v>
      </c>
      <c r="X52" s="62">
        <f t="shared" si="13"/>
        <v>44493</v>
      </c>
      <c r="Z52" s="62">
        <f t="shared" si="14"/>
        <v>44239</v>
      </c>
      <c r="AA52" s="63" t="s">
        <v>253</v>
      </c>
      <c r="AF52" s="15">
        <v>43</v>
      </c>
      <c r="AG52" s="15" t="s">
        <v>472</v>
      </c>
      <c r="AH52" s="106" t="s">
        <v>472</v>
      </c>
      <c r="AI52" s="15" t="s">
        <v>548</v>
      </c>
      <c r="AJ52" s="107">
        <v>1.00000000000001</v>
      </c>
      <c r="AK52" s="107">
        <v>1.0416666666666601</v>
      </c>
      <c r="AN52" s="71"/>
      <c r="BA52" s="112" t="s">
        <v>864</v>
      </c>
      <c r="BB52" s="112" t="s">
        <v>865</v>
      </c>
      <c r="BC52" s="112" t="s">
        <v>866</v>
      </c>
      <c r="BD52" s="112" t="s">
        <v>866</v>
      </c>
      <c r="CC52" s="15" t="s">
        <v>377</v>
      </c>
      <c r="CD52" s="15" t="s">
        <v>952</v>
      </c>
      <c r="CE52" s="15" t="str">
        <f t="shared" si="34"/>
        <v>50121020-Fajar Cahyono</v>
      </c>
      <c r="CF52" s="15" t="s">
        <v>952</v>
      </c>
      <c r="CW52"/>
      <c r="CX52"/>
      <c r="CY52"/>
      <c r="CZ52"/>
      <c r="DA52" t="s">
        <v>538</v>
      </c>
      <c r="DB52" t="s">
        <v>1066</v>
      </c>
      <c r="DC52"/>
      <c r="DD52"/>
      <c r="DE52"/>
      <c r="DF52"/>
    </row>
    <row r="53" spans="2:110" ht="14.5" x14ac:dyDescent="0.35">
      <c r="B53" s="58">
        <f t="shared" si="19"/>
        <v>44240</v>
      </c>
      <c r="C53" s="59" t="str">
        <f t="shared" si="0"/>
        <v>13</v>
      </c>
      <c r="D53" s="59" t="str">
        <f t="shared" si="1"/>
        <v>Saturday</v>
      </c>
      <c r="E53" s="59" t="str">
        <f t="shared" si="2"/>
        <v>February</v>
      </c>
      <c r="F53" s="59" t="str">
        <f t="shared" si="3"/>
        <v>2021</v>
      </c>
      <c r="G53" s="59" t="str">
        <f t="shared" si="20"/>
        <v>Week_07</v>
      </c>
      <c r="H53" s="59" t="str">
        <f t="shared" si="21"/>
        <v>February 2021</v>
      </c>
      <c r="I53" s="59" t="str">
        <f t="shared" si="22"/>
        <v>Week_07</v>
      </c>
      <c r="J53" s="60">
        <f t="shared" si="4"/>
        <v>44240</v>
      </c>
      <c r="K53" s="59">
        <f t="shared" si="23"/>
        <v>7</v>
      </c>
      <c r="L53" s="59" t="str">
        <f t="shared" si="5"/>
        <v>07</v>
      </c>
      <c r="M53" s="59" t="str">
        <f t="shared" si="6"/>
        <v>Week_</v>
      </c>
      <c r="N53" s="59" t="str">
        <f t="shared" si="7"/>
        <v>Week_07</v>
      </c>
      <c r="O53" s="59">
        <f t="shared" si="24"/>
        <v>0</v>
      </c>
      <c r="P53" s="59" t="str">
        <f t="shared" si="25"/>
        <v/>
      </c>
      <c r="Q53" s="59" t="str">
        <f t="shared" si="8"/>
        <v/>
      </c>
      <c r="R53" s="59" t="str">
        <f t="shared" si="9"/>
        <v>February 2021</v>
      </c>
      <c r="S53" s="61">
        <f t="shared" si="10"/>
        <v>44240</v>
      </c>
      <c r="U53" s="15" t="s">
        <v>417</v>
      </c>
      <c r="V53" s="16">
        <f t="shared" si="11"/>
        <v>7</v>
      </c>
      <c r="W53" s="62">
        <f t="shared" si="12"/>
        <v>44494</v>
      </c>
      <c r="X53" s="62">
        <f t="shared" si="13"/>
        <v>44500</v>
      </c>
      <c r="Z53" s="62">
        <f t="shared" si="14"/>
        <v>44240</v>
      </c>
      <c r="AA53" s="63" t="s">
        <v>253</v>
      </c>
      <c r="AF53" s="15">
        <v>44</v>
      </c>
      <c r="AG53" s="15" t="s">
        <v>478</v>
      </c>
      <c r="AH53" s="106" t="s">
        <v>478</v>
      </c>
      <c r="AI53" s="15" t="s">
        <v>548</v>
      </c>
      <c r="AJ53" s="107">
        <v>1.0416666666666701</v>
      </c>
      <c r="AK53" s="107">
        <v>1.0833333333333299</v>
      </c>
      <c r="AN53" s="71"/>
      <c r="BA53" s="112" t="s">
        <v>867</v>
      </c>
      <c r="BB53" s="112" t="s">
        <v>868</v>
      </c>
      <c r="BC53" s="112" t="s">
        <v>866</v>
      </c>
      <c r="BD53" s="112" t="s">
        <v>866</v>
      </c>
      <c r="CC53" s="15" t="s">
        <v>391</v>
      </c>
      <c r="CD53" s="15" t="s">
        <v>945</v>
      </c>
      <c r="CE53" s="15" t="str">
        <f t="shared" si="34"/>
        <v>50121021-Lukman</v>
      </c>
      <c r="CF53" s="15" t="s">
        <v>945</v>
      </c>
      <c r="CW53"/>
      <c r="CX53"/>
      <c r="CY53"/>
      <c r="CZ53"/>
      <c r="DA53" t="s">
        <v>539</v>
      </c>
      <c r="DB53" t="s">
        <v>1066</v>
      </c>
      <c r="DC53"/>
      <c r="DD53"/>
      <c r="DE53"/>
      <c r="DF53"/>
    </row>
    <row r="54" spans="2:110" ht="14.5" x14ac:dyDescent="0.35">
      <c r="B54" s="58">
        <f t="shared" si="19"/>
        <v>44241</v>
      </c>
      <c r="C54" s="59" t="str">
        <f t="shared" si="0"/>
        <v>14</v>
      </c>
      <c r="D54" s="59" t="str">
        <f t="shared" si="1"/>
        <v>Sunday</v>
      </c>
      <c r="E54" s="59" t="str">
        <f t="shared" si="2"/>
        <v>February</v>
      </c>
      <c r="F54" s="59" t="str">
        <f t="shared" si="3"/>
        <v>2021</v>
      </c>
      <c r="G54" s="59" t="str">
        <f t="shared" si="20"/>
        <v>Week_07</v>
      </c>
      <c r="H54" s="59" t="str">
        <f t="shared" si="21"/>
        <v>February 2021</v>
      </c>
      <c r="I54" s="59" t="str">
        <f t="shared" si="22"/>
        <v>Week_07</v>
      </c>
      <c r="J54" s="60">
        <f t="shared" si="4"/>
        <v>44241</v>
      </c>
      <c r="K54" s="59">
        <f t="shared" si="23"/>
        <v>7</v>
      </c>
      <c r="L54" s="59" t="str">
        <f t="shared" si="5"/>
        <v>07</v>
      </c>
      <c r="M54" s="59" t="str">
        <f t="shared" si="6"/>
        <v>Week_</v>
      </c>
      <c r="N54" s="59" t="str">
        <f t="shared" si="7"/>
        <v>Week_07</v>
      </c>
      <c r="O54" s="59">
        <f t="shared" si="24"/>
        <v>0</v>
      </c>
      <c r="P54" s="59" t="str">
        <f t="shared" si="25"/>
        <v/>
      </c>
      <c r="Q54" s="59" t="str">
        <f t="shared" si="8"/>
        <v/>
      </c>
      <c r="R54" s="59" t="str">
        <f t="shared" si="9"/>
        <v>February 2021</v>
      </c>
      <c r="S54" s="61">
        <f t="shared" si="10"/>
        <v>44241</v>
      </c>
      <c r="U54" s="15" t="s">
        <v>426</v>
      </c>
      <c r="V54" s="16">
        <f t="shared" si="11"/>
        <v>7</v>
      </c>
      <c r="W54" s="62">
        <f t="shared" si="12"/>
        <v>44501</v>
      </c>
      <c r="X54" s="62">
        <f t="shared" si="13"/>
        <v>44507</v>
      </c>
      <c r="Z54" s="62">
        <f t="shared" si="14"/>
        <v>44241</v>
      </c>
      <c r="AA54" s="63" t="s">
        <v>253</v>
      </c>
      <c r="AF54" s="15">
        <v>45</v>
      </c>
      <c r="AG54" s="15" t="s">
        <v>482</v>
      </c>
      <c r="AH54" s="106" t="s">
        <v>482</v>
      </c>
      <c r="AI54" s="15" t="s">
        <v>548</v>
      </c>
      <c r="AJ54" s="107">
        <v>1.0833333333333399</v>
      </c>
      <c r="AK54" s="107">
        <v>1.12499999999999</v>
      </c>
      <c r="AN54" s="71"/>
      <c r="BA54" s="112" t="s">
        <v>872</v>
      </c>
      <c r="BB54" s="112" t="s">
        <v>873</v>
      </c>
      <c r="BC54" s="112" t="s">
        <v>866</v>
      </c>
      <c r="BD54" s="112" t="s">
        <v>866</v>
      </c>
      <c r="CC54" s="15" t="s">
        <v>401</v>
      </c>
      <c r="CD54" s="15" t="s">
        <v>953</v>
      </c>
      <c r="CE54" s="15" t="str">
        <f t="shared" si="34"/>
        <v>50121022-Tri Wibowo</v>
      </c>
      <c r="CF54" s="15" t="s">
        <v>953</v>
      </c>
      <c r="CW54"/>
      <c r="CX54"/>
      <c r="CY54"/>
      <c r="CZ54"/>
      <c r="DA54" t="s">
        <v>537</v>
      </c>
      <c r="DB54" t="s">
        <v>1066</v>
      </c>
      <c r="DC54"/>
      <c r="DD54"/>
      <c r="DE54"/>
      <c r="DF54"/>
    </row>
    <row r="55" spans="2:110" ht="14.5" x14ac:dyDescent="0.35">
      <c r="B55" s="58">
        <f t="shared" si="19"/>
        <v>44242</v>
      </c>
      <c r="C55" s="59" t="str">
        <f t="shared" si="0"/>
        <v>15</v>
      </c>
      <c r="D55" s="59" t="str">
        <f t="shared" si="1"/>
        <v>Monday</v>
      </c>
      <c r="E55" s="59" t="str">
        <f t="shared" si="2"/>
        <v>February</v>
      </c>
      <c r="F55" s="59" t="str">
        <f t="shared" si="3"/>
        <v>2021</v>
      </c>
      <c r="G55" s="59" t="str">
        <f t="shared" si="20"/>
        <v>Week_08</v>
      </c>
      <c r="H55" s="59" t="str">
        <f t="shared" si="21"/>
        <v>February 2021</v>
      </c>
      <c r="I55" s="59" t="str">
        <f t="shared" si="22"/>
        <v>Start WeekWeek_08</v>
      </c>
      <c r="J55" s="60">
        <f t="shared" si="4"/>
        <v>44242</v>
      </c>
      <c r="K55" s="59">
        <f t="shared" si="23"/>
        <v>8</v>
      </c>
      <c r="L55" s="59" t="str">
        <f t="shared" si="5"/>
        <v>08</v>
      </c>
      <c r="M55" s="59" t="str">
        <f t="shared" si="6"/>
        <v>Week_</v>
      </c>
      <c r="N55" s="59" t="str">
        <f t="shared" si="7"/>
        <v>Week_08</v>
      </c>
      <c r="O55" s="59">
        <f t="shared" si="24"/>
        <v>1</v>
      </c>
      <c r="P55" s="59" t="str">
        <f t="shared" si="25"/>
        <v>Start Week</v>
      </c>
      <c r="Q55" s="59" t="str">
        <f t="shared" si="8"/>
        <v/>
      </c>
      <c r="R55" s="59" t="str">
        <f t="shared" si="9"/>
        <v>February 2021</v>
      </c>
      <c r="S55" s="61">
        <f t="shared" si="10"/>
        <v>44242</v>
      </c>
      <c r="U55" s="15" t="s">
        <v>427</v>
      </c>
      <c r="V55" s="16">
        <f t="shared" si="11"/>
        <v>7</v>
      </c>
      <c r="W55" s="62">
        <f t="shared" si="12"/>
        <v>44508</v>
      </c>
      <c r="X55" s="62">
        <f t="shared" si="13"/>
        <v>44514</v>
      </c>
      <c r="Z55" s="62">
        <f t="shared" si="14"/>
        <v>44242</v>
      </c>
      <c r="AA55" s="63" t="s">
        <v>253</v>
      </c>
      <c r="AF55" s="15">
        <v>46</v>
      </c>
      <c r="AG55" s="15" t="s">
        <v>487</v>
      </c>
      <c r="AH55" s="106" t="s">
        <v>487</v>
      </c>
      <c r="AI55" s="15" t="s">
        <v>548</v>
      </c>
      <c r="AJ55" s="107">
        <v>1.12500000000001</v>
      </c>
      <c r="AK55" s="107">
        <v>1.1666666666666601</v>
      </c>
      <c r="AN55" s="71"/>
      <c r="BA55" s="121" t="s">
        <v>979</v>
      </c>
      <c r="BB55" s="121"/>
      <c r="BC55" s="121"/>
      <c r="BD55" s="121"/>
      <c r="CC55" s="15" t="s">
        <v>411</v>
      </c>
      <c r="CD55" s="15" t="s">
        <v>954</v>
      </c>
      <c r="CE55" s="15" t="str">
        <f t="shared" si="34"/>
        <v>50121023-Asliadi</v>
      </c>
      <c r="CF55" s="15" t="s">
        <v>954</v>
      </c>
      <c r="DA55" t="s">
        <v>1133</v>
      </c>
      <c r="DB55" t="s">
        <v>1066</v>
      </c>
      <c r="DC55"/>
      <c r="DD55"/>
      <c r="DE55"/>
      <c r="DF55"/>
    </row>
    <row r="56" spans="2:110" ht="14.5" x14ac:dyDescent="0.35">
      <c r="B56" s="58">
        <f t="shared" si="19"/>
        <v>44243</v>
      </c>
      <c r="C56" s="59" t="str">
        <f t="shared" si="0"/>
        <v>16</v>
      </c>
      <c r="D56" s="59" t="str">
        <f t="shared" si="1"/>
        <v>Tuesday</v>
      </c>
      <c r="E56" s="59" t="str">
        <f t="shared" si="2"/>
        <v>February</v>
      </c>
      <c r="F56" s="59" t="str">
        <f t="shared" si="3"/>
        <v>2021</v>
      </c>
      <c r="G56" s="59" t="str">
        <f t="shared" si="20"/>
        <v>Week_08</v>
      </c>
      <c r="H56" s="59" t="str">
        <f t="shared" si="21"/>
        <v>February 2021</v>
      </c>
      <c r="I56" s="59" t="str">
        <f t="shared" si="22"/>
        <v>Week_08</v>
      </c>
      <c r="J56" s="60">
        <f t="shared" si="4"/>
        <v>44243</v>
      </c>
      <c r="K56" s="59">
        <f t="shared" si="23"/>
        <v>8</v>
      </c>
      <c r="L56" s="59" t="str">
        <f t="shared" si="5"/>
        <v>08</v>
      </c>
      <c r="M56" s="59" t="str">
        <f t="shared" si="6"/>
        <v>Week_</v>
      </c>
      <c r="N56" s="59" t="str">
        <f t="shared" si="7"/>
        <v>Week_08</v>
      </c>
      <c r="O56" s="59">
        <f t="shared" si="24"/>
        <v>0</v>
      </c>
      <c r="P56" s="59" t="str">
        <f t="shared" si="25"/>
        <v/>
      </c>
      <c r="Q56" s="59" t="str">
        <f t="shared" si="8"/>
        <v/>
      </c>
      <c r="R56" s="59" t="str">
        <f t="shared" si="9"/>
        <v>February 2021</v>
      </c>
      <c r="S56" s="61">
        <f t="shared" si="10"/>
        <v>44243</v>
      </c>
      <c r="U56" s="15" t="s">
        <v>428</v>
      </c>
      <c r="V56" s="16">
        <f t="shared" si="11"/>
        <v>7</v>
      </c>
      <c r="W56" s="62">
        <f t="shared" si="12"/>
        <v>44515</v>
      </c>
      <c r="X56" s="62">
        <f t="shared" si="13"/>
        <v>44521</v>
      </c>
      <c r="Z56" s="62">
        <f t="shared" si="14"/>
        <v>44243</v>
      </c>
      <c r="AA56" s="63" t="s">
        <v>253</v>
      </c>
      <c r="AF56" s="15">
        <v>47</v>
      </c>
      <c r="AG56" s="15" t="s">
        <v>492</v>
      </c>
      <c r="AH56" s="106" t="s">
        <v>492</v>
      </c>
      <c r="AI56" s="15" t="s">
        <v>548</v>
      </c>
      <c r="AJ56" s="107">
        <v>1.1666666666666701</v>
      </c>
      <c r="AK56" s="107">
        <v>1.2083333333333299</v>
      </c>
      <c r="AN56" s="71"/>
      <c r="CC56" s="15" t="s">
        <v>423</v>
      </c>
      <c r="CD56" s="15" t="s">
        <v>955</v>
      </c>
      <c r="CE56" s="15" t="str">
        <f t="shared" si="34"/>
        <v>50121024-Tarmono</v>
      </c>
      <c r="CF56" s="15" t="s">
        <v>955</v>
      </c>
      <c r="DA56" s="13" t="s">
        <v>46</v>
      </c>
      <c r="DB56" t="s">
        <v>1066</v>
      </c>
    </row>
    <row r="57" spans="2:110" ht="14.5" x14ac:dyDescent="0.35">
      <c r="B57" s="58">
        <f t="shared" si="19"/>
        <v>44244</v>
      </c>
      <c r="C57" s="59" t="str">
        <f t="shared" si="0"/>
        <v>17</v>
      </c>
      <c r="D57" s="59" t="str">
        <f t="shared" si="1"/>
        <v>Wednesday</v>
      </c>
      <c r="E57" s="59" t="str">
        <f t="shared" si="2"/>
        <v>February</v>
      </c>
      <c r="F57" s="59" t="str">
        <f t="shared" si="3"/>
        <v>2021</v>
      </c>
      <c r="G57" s="59" t="str">
        <f t="shared" si="20"/>
        <v>Week_08</v>
      </c>
      <c r="H57" s="59" t="str">
        <f t="shared" si="21"/>
        <v>February 2021</v>
      </c>
      <c r="I57" s="59" t="str">
        <f t="shared" si="22"/>
        <v>Week_08</v>
      </c>
      <c r="J57" s="60">
        <f t="shared" si="4"/>
        <v>44244</v>
      </c>
      <c r="K57" s="59">
        <f t="shared" si="23"/>
        <v>8</v>
      </c>
      <c r="L57" s="59" t="str">
        <f t="shared" si="5"/>
        <v>08</v>
      </c>
      <c r="M57" s="59" t="str">
        <f t="shared" si="6"/>
        <v>Week_</v>
      </c>
      <c r="N57" s="59" t="str">
        <f t="shared" si="7"/>
        <v>Week_08</v>
      </c>
      <c r="O57" s="59">
        <f t="shared" si="24"/>
        <v>0</v>
      </c>
      <c r="P57" s="59" t="str">
        <f t="shared" si="25"/>
        <v/>
      </c>
      <c r="Q57" s="59" t="str">
        <f t="shared" si="8"/>
        <v/>
      </c>
      <c r="R57" s="59" t="str">
        <f t="shared" si="9"/>
        <v>February 2021</v>
      </c>
      <c r="S57" s="61">
        <f t="shared" si="10"/>
        <v>44244</v>
      </c>
      <c r="U57" s="15" t="s">
        <v>429</v>
      </c>
      <c r="V57" s="16">
        <f t="shared" si="11"/>
        <v>7</v>
      </c>
      <c r="W57" s="62">
        <f t="shared" si="12"/>
        <v>44522</v>
      </c>
      <c r="X57" s="62">
        <f t="shared" si="13"/>
        <v>44528</v>
      </c>
      <c r="Z57" s="62">
        <f t="shared" si="14"/>
        <v>44244</v>
      </c>
      <c r="AA57" s="63" t="s">
        <v>253</v>
      </c>
      <c r="AF57" s="15">
        <v>48</v>
      </c>
      <c r="AG57" s="15" t="s">
        <v>497</v>
      </c>
      <c r="AH57" s="106" t="s">
        <v>497</v>
      </c>
      <c r="AI57" s="15" t="s">
        <v>548</v>
      </c>
      <c r="AJ57" s="107">
        <v>1.2083333333333399</v>
      </c>
      <c r="AK57" s="107">
        <v>1.24999999999999</v>
      </c>
      <c r="AN57" s="71"/>
      <c r="CC57" s="15" t="s">
        <v>956</v>
      </c>
      <c r="CD57" s="15" t="s">
        <v>957</v>
      </c>
      <c r="CE57" s="15" t="str">
        <f t="shared" si="34"/>
        <v xml:space="preserve">50621039-Rangga Hario Kharisma </v>
      </c>
      <c r="CF57" s="15" t="s">
        <v>957</v>
      </c>
      <c r="DA57" t="s">
        <v>42</v>
      </c>
      <c r="DB57" t="s">
        <v>1065</v>
      </c>
    </row>
    <row r="58" spans="2:110" ht="14.5" x14ac:dyDescent="0.35">
      <c r="B58" s="58">
        <f t="shared" si="19"/>
        <v>44245</v>
      </c>
      <c r="C58" s="59" t="str">
        <f t="shared" si="0"/>
        <v>18</v>
      </c>
      <c r="D58" s="59" t="str">
        <f t="shared" si="1"/>
        <v>Thursday</v>
      </c>
      <c r="E58" s="59" t="str">
        <f t="shared" si="2"/>
        <v>February</v>
      </c>
      <c r="F58" s="59" t="str">
        <f t="shared" si="3"/>
        <v>2021</v>
      </c>
      <c r="G58" s="59" t="str">
        <f t="shared" si="20"/>
        <v>Week_08</v>
      </c>
      <c r="H58" s="59" t="str">
        <f t="shared" si="21"/>
        <v>February 2021</v>
      </c>
      <c r="I58" s="59" t="str">
        <f t="shared" si="22"/>
        <v>Week_08</v>
      </c>
      <c r="J58" s="60">
        <f t="shared" si="4"/>
        <v>44245</v>
      </c>
      <c r="K58" s="59">
        <f t="shared" si="23"/>
        <v>8</v>
      </c>
      <c r="L58" s="59" t="str">
        <f t="shared" si="5"/>
        <v>08</v>
      </c>
      <c r="M58" s="59" t="str">
        <f t="shared" si="6"/>
        <v>Week_</v>
      </c>
      <c r="N58" s="59" t="str">
        <f t="shared" si="7"/>
        <v>Week_08</v>
      </c>
      <c r="O58" s="59">
        <f t="shared" si="24"/>
        <v>0</v>
      </c>
      <c r="P58" s="59" t="str">
        <f t="shared" si="25"/>
        <v/>
      </c>
      <c r="Q58" s="59" t="str">
        <f t="shared" si="8"/>
        <v/>
      </c>
      <c r="R58" s="59" t="str">
        <f t="shared" si="9"/>
        <v>February 2021</v>
      </c>
      <c r="S58" s="61">
        <f t="shared" si="10"/>
        <v>44245</v>
      </c>
      <c r="U58" s="15" t="s">
        <v>430</v>
      </c>
      <c r="V58" s="16">
        <f t="shared" si="11"/>
        <v>7</v>
      </c>
      <c r="W58" s="62">
        <f t="shared" si="12"/>
        <v>44529</v>
      </c>
      <c r="X58" s="62">
        <f t="shared" si="13"/>
        <v>44535</v>
      </c>
      <c r="Z58" s="62">
        <f t="shared" si="14"/>
        <v>44245</v>
      </c>
      <c r="AA58" s="63" t="s">
        <v>253</v>
      </c>
      <c r="AN58" s="71"/>
      <c r="CC58" s="15" t="s">
        <v>958</v>
      </c>
      <c r="CD58" s="15" t="s">
        <v>959</v>
      </c>
      <c r="CE58" s="15" t="str">
        <f t="shared" si="34"/>
        <v>50621040-Hasri</v>
      </c>
      <c r="CF58" s="15" t="s">
        <v>959</v>
      </c>
      <c r="DA58" t="s">
        <v>44</v>
      </c>
      <c r="DB58" t="s">
        <v>1065</v>
      </c>
    </row>
    <row r="59" spans="2:110" ht="14.5" x14ac:dyDescent="0.35">
      <c r="B59" s="58">
        <f t="shared" si="19"/>
        <v>44246</v>
      </c>
      <c r="C59" s="59" t="str">
        <f t="shared" si="0"/>
        <v>19</v>
      </c>
      <c r="D59" s="59" t="str">
        <f t="shared" si="1"/>
        <v>Friday</v>
      </c>
      <c r="E59" s="59" t="str">
        <f t="shared" si="2"/>
        <v>February</v>
      </c>
      <c r="F59" s="59" t="str">
        <f t="shared" si="3"/>
        <v>2021</v>
      </c>
      <c r="G59" s="59" t="str">
        <f t="shared" si="20"/>
        <v>Week_08</v>
      </c>
      <c r="H59" s="59" t="str">
        <f t="shared" si="21"/>
        <v>February 2021</v>
      </c>
      <c r="I59" s="59" t="str">
        <f t="shared" si="22"/>
        <v>Week_08</v>
      </c>
      <c r="J59" s="60">
        <f t="shared" si="4"/>
        <v>44246</v>
      </c>
      <c r="K59" s="59">
        <f t="shared" si="23"/>
        <v>8</v>
      </c>
      <c r="L59" s="59" t="str">
        <f t="shared" si="5"/>
        <v>08</v>
      </c>
      <c r="M59" s="59" t="str">
        <f t="shared" si="6"/>
        <v>Week_</v>
      </c>
      <c r="N59" s="59" t="str">
        <f t="shared" si="7"/>
        <v>Week_08</v>
      </c>
      <c r="O59" s="59">
        <f t="shared" si="24"/>
        <v>0</v>
      </c>
      <c r="P59" s="59" t="str">
        <f t="shared" si="25"/>
        <v/>
      </c>
      <c r="Q59" s="59" t="str">
        <f t="shared" si="8"/>
        <v/>
      </c>
      <c r="R59" s="59" t="str">
        <f t="shared" si="9"/>
        <v>February 2021</v>
      </c>
      <c r="S59" s="61">
        <f t="shared" si="10"/>
        <v>44246</v>
      </c>
      <c r="U59" s="15" t="s">
        <v>439</v>
      </c>
      <c r="V59" s="16">
        <f t="shared" si="11"/>
        <v>7</v>
      </c>
      <c r="W59" s="62">
        <f t="shared" si="12"/>
        <v>44536</v>
      </c>
      <c r="X59" s="62">
        <f t="shared" si="13"/>
        <v>44542</v>
      </c>
      <c r="Z59" s="62">
        <f t="shared" si="14"/>
        <v>44246</v>
      </c>
      <c r="AA59" s="63" t="s">
        <v>253</v>
      </c>
      <c r="AN59" s="71"/>
      <c r="CC59" s="15" t="s">
        <v>960</v>
      </c>
      <c r="CD59" s="15" t="s">
        <v>961</v>
      </c>
      <c r="CE59" s="15" t="str">
        <f t="shared" si="34"/>
        <v>50621041-Rinol Nurcahyo</v>
      </c>
      <c r="CF59" s="15" t="s">
        <v>961</v>
      </c>
      <c r="DA59" t="s">
        <v>45</v>
      </c>
      <c r="DB59" t="s">
        <v>1065</v>
      </c>
    </row>
    <row r="60" spans="2:110" ht="14.5" x14ac:dyDescent="0.35">
      <c r="B60" s="58">
        <f t="shared" si="19"/>
        <v>44247</v>
      </c>
      <c r="C60" s="59" t="str">
        <f t="shared" si="0"/>
        <v>20</v>
      </c>
      <c r="D60" s="59" t="str">
        <f t="shared" si="1"/>
        <v>Saturday</v>
      </c>
      <c r="E60" s="59" t="str">
        <f t="shared" si="2"/>
        <v>February</v>
      </c>
      <c r="F60" s="59" t="str">
        <f t="shared" si="3"/>
        <v>2021</v>
      </c>
      <c r="G60" s="59" t="str">
        <f t="shared" si="20"/>
        <v>Week_08</v>
      </c>
      <c r="H60" s="59" t="str">
        <f t="shared" si="21"/>
        <v>February 2021</v>
      </c>
      <c r="I60" s="59" t="str">
        <f t="shared" si="22"/>
        <v>Week_08</v>
      </c>
      <c r="J60" s="60">
        <f t="shared" si="4"/>
        <v>44247</v>
      </c>
      <c r="K60" s="59">
        <f t="shared" si="23"/>
        <v>8</v>
      </c>
      <c r="L60" s="59" t="str">
        <f t="shared" si="5"/>
        <v>08</v>
      </c>
      <c r="M60" s="59" t="str">
        <f t="shared" si="6"/>
        <v>Week_</v>
      </c>
      <c r="N60" s="59" t="str">
        <f t="shared" si="7"/>
        <v>Week_08</v>
      </c>
      <c r="O60" s="59">
        <f t="shared" si="24"/>
        <v>0</v>
      </c>
      <c r="P60" s="59" t="str">
        <f t="shared" si="25"/>
        <v/>
      </c>
      <c r="Q60" s="59" t="str">
        <f t="shared" si="8"/>
        <v/>
      </c>
      <c r="R60" s="59" t="str">
        <f t="shared" si="9"/>
        <v>February 2021</v>
      </c>
      <c r="S60" s="61">
        <f t="shared" si="10"/>
        <v>44247</v>
      </c>
      <c r="U60" s="15" t="s">
        <v>440</v>
      </c>
      <c r="V60" s="16">
        <f t="shared" si="11"/>
        <v>7</v>
      </c>
      <c r="W60" s="62">
        <f t="shared" si="12"/>
        <v>44543</v>
      </c>
      <c r="X60" s="62">
        <f t="shared" si="13"/>
        <v>44549</v>
      </c>
      <c r="Z60" s="62">
        <f t="shared" si="14"/>
        <v>44247</v>
      </c>
      <c r="AA60" s="63" t="s">
        <v>253</v>
      </c>
      <c r="AN60" s="71"/>
      <c r="CC60" s="15" t="s">
        <v>962</v>
      </c>
      <c r="CD60" s="15" t="s">
        <v>963</v>
      </c>
      <c r="CE60" s="15" t="str">
        <f t="shared" si="34"/>
        <v>50621048-Arfawan</v>
      </c>
      <c r="CF60" s="15" t="s">
        <v>963</v>
      </c>
      <c r="DA60" t="s">
        <v>842</v>
      </c>
      <c r="DB60" t="s">
        <v>1065</v>
      </c>
    </row>
    <row r="61" spans="2:110" ht="14.5" x14ac:dyDescent="0.35">
      <c r="B61" s="58">
        <f t="shared" si="19"/>
        <v>44248</v>
      </c>
      <c r="C61" s="59" t="str">
        <f t="shared" si="0"/>
        <v>21</v>
      </c>
      <c r="D61" s="59" t="str">
        <f t="shared" si="1"/>
        <v>Sunday</v>
      </c>
      <c r="E61" s="59" t="str">
        <f t="shared" si="2"/>
        <v>February</v>
      </c>
      <c r="F61" s="59" t="str">
        <f t="shared" si="3"/>
        <v>2021</v>
      </c>
      <c r="G61" s="59" t="str">
        <f t="shared" si="20"/>
        <v>Week_08</v>
      </c>
      <c r="H61" s="59" t="str">
        <f t="shared" si="21"/>
        <v>February 2021</v>
      </c>
      <c r="I61" s="59" t="str">
        <f t="shared" si="22"/>
        <v>Week_08</v>
      </c>
      <c r="J61" s="60">
        <f t="shared" si="4"/>
        <v>44248</v>
      </c>
      <c r="K61" s="59">
        <f t="shared" si="23"/>
        <v>8</v>
      </c>
      <c r="L61" s="59" t="str">
        <f t="shared" si="5"/>
        <v>08</v>
      </c>
      <c r="M61" s="59" t="str">
        <f t="shared" si="6"/>
        <v>Week_</v>
      </c>
      <c r="N61" s="59" t="str">
        <f t="shared" si="7"/>
        <v>Week_08</v>
      </c>
      <c r="O61" s="59">
        <f t="shared" si="24"/>
        <v>0</v>
      </c>
      <c r="P61" s="59" t="str">
        <f t="shared" si="25"/>
        <v/>
      </c>
      <c r="Q61" s="59" t="str">
        <f t="shared" si="8"/>
        <v/>
      </c>
      <c r="R61" s="59" t="str">
        <f t="shared" si="9"/>
        <v>February 2021</v>
      </c>
      <c r="S61" s="61">
        <f t="shared" si="10"/>
        <v>44248</v>
      </c>
      <c r="U61" s="15" t="s">
        <v>441</v>
      </c>
      <c r="V61" s="16">
        <f t="shared" si="11"/>
        <v>7</v>
      </c>
      <c r="W61" s="62">
        <f t="shared" si="12"/>
        <v>44550</v>
      </c>
      <c r="X61" s="62">
        <f t="shared" si="13"/>
        <v>44556</v>
      </c>
      <c r="Z61" s="62">
        <f t="shared" si="14"/>
        <v>44248</v>
      </c>
      <c r="AA61" s="63" t="s">
        <v>253</v>
      </c>
      <c r="DA61" t="s">
        <v>113</v>
      </c>
      <c r="DB61" t="s">
        <v>1065</v>
      </c>
    </row>
    <row r="62" spans="2:110" x14ac:dyDescent="0.2">
      <c r="B62" s="58">
        <f t="shared" si="19"/>
        <v>44249</v>
      </c>
      <c r="C62" s="59" t="str">
        <f t="shared" si="0"/>
        <v>22</v>
      </c>
      <c r="D62" s="59" t="str">
        <f t="shared" si="1"/>
        <v>Monday</v>
      </c>
      <c r="E62" s="59" t="str">
        <f t="shared" si="2"/>
        <v>February</v>
      </c>
      <c r="F62" s="59" t="str">
        <f t="shared" si="3"/>
        <v>2021</v>
      </c>
      <c r="G62" s="59" t="str">
        <f t="shared" si="20"/>
        <v>Week_09</v>
      </c>
      <c r="H62" s="59" t="str">
        <f t="shared" si="21"/>
        <v>February 2021</v>
      </c>
      <c r="I62" s="59" t="str">
        <f t="shared" si="22"/>
        <v>Start WeekWeek_09</v>
      </c>
      <c r="J62" s="60">
        <f t="shared" si="4"/>
        <v>44249</v>
      </c>
      <c r="K62" s="59">
        <f t="shared" si="23"/>
        <v>9</v>
      </c>
      <c r="L62" s="59" t="str">
        <f t="shared" si="5"/>
        <v>09</v>
      </c>
      <c r="M62" s="59" t="str">
        <f t="shared" si="6"/>
        <v>Week_</v>
      </c>
      <c r="N62" s="59" t="str">
        <f t="shared" si="7"/>
        <v>Week_09</v>
      </c>
      <c r="O62" s="59">
        <f t="shared" si="24"/>
        <v>1</v>
      </c>
      <c r="P62" s="59" t="str">
        <f t="shared" si="25"/>
        <v>Start Week</v>
      </c>
      <c r="Q62" s="59" t="str">
        <f t="shared" si="8"/>
        <v/>
      </c>
      <c r="R62" s="59" t="str">
        <f t="shared" si="9"/>
        <v>February 2021</v>
      </c>
      <c r="S62" s="61">
        <f t="shared" si="10"/>
        <v>44249</v>
      </c>
      <c r="U62" s="15" t="s">
        <v>442</v>
      </c>
      <c r="V62" s="16">
        <f t="shared" si="11"/>
        <v>6</v>
      </c>
      <c r="W62" s="62">
        <f t="shared" si="12"/>
        <v>44557</v>
      </c>
      <c r="X62" s="62">
        <f t="shared" si="13"/>
        <v>44196</v>
      </c>
      <c r="Z62" s="62">
        <f t="shared" si="14"/>
        <v>44249</v>
      </c>
      <c r="AA62" s="63" t="s">
        <v>253</v>
      </c>
    </row>
    <row r="63" spans="2:110" x14ac:dyDescent="0.2">
      <c r="B63" s="58">
        <f t="shared" si="19"/>
        <v>44250</v>
      </c>
      <c r="C63" s="59" t="str">
        <f t="shared" si="0"/>
        <v>23</v>
      </c>
      <c r="D63" s="59" t="str">
        <f t="shared" si="1"/>
        <v>Tuesday</v>
      </c>
      <c r="E63" s="59" t="str">
        <f t="shared" si="2"/>
        <v>February</v>
      </c>
      <c r="F63" s="59" t="str">
        <f t="shared" si="3"/>
        <v>2021</v>
      </c>
      <c r="G63" s="59" t="str">
        <f t="shared" si="20"/>
        <v>Week_09</v>
      </c>
      <c r="H63" s="59" t="str">
        <f t="shared" si="21"/>
        <v>February 2021</v>
      </c>
      <c r="I63" s="59" t="str">
        <f t="shared" si="22"/>
        <v>Week_09</v>
      </c>
      <c r="J63" s="60">
        <f t="shared" si="4"/>
        <v>44250</v>
      </c>
      <c r="K63" s="59">
        <f t="shared" si="23"/>
        <v>9</v>
      </c>
      <c r="L63" s="59" t="str">
        <f t="shared" si="5"/>
        <v>09</v>
      </c>
      <c r="M63" s="59" t="str">
        <f t="shared" si="6"/>
        <v>Week_</v>
      </c>
      <c r="N63" s="59" t="str">
        <f t="shared" si="7"/>
        <v>Week_09</v>
      </c>
      <c r="O63" s="59">
        <f t="shared" si="24"/>
        <v>0</v>
      </c>
      <c r="P63" s="59" t="str">
        <f t="shared" si="25"/>
        <v/>
      </c>
      <c r="Q63" s="59" t="str">
        <f t="shared" si="8"/>
        <v/>
      </c>
      <c r="R63" s="59" t="str">
        <f t="shared" si="9"/>
        <v>February 2021</v>
      </c>
      <c r="S63" s="61">
        <f t="shared" si="10"/>
        <v>44250</v>
      </c>
      <c r="U63" s="15" t="s">
        <v>509</v>
      </c>
      <c r="V63" s="16">
        <f t="shared" si="11"/>
        <v>0</v>
      </c>
      <c r="W63" s="62">
        <v>44197</v>
      </c>
      <c r="X63" s="62"/>
      <c r="Z63" s="62">
        <f t="shared" si="14"/>
        <v>44250</v>
      </c>
      <c r="AA63" s="63" t="s">
        <v>253</v>
      </c>
    </row>
    <row r="64" spans="2:110" x14ac:dyDescent="0.2">
      <c r="B64" s="58">
        <f t="shared" si="19"/>
        <v>44251</v>
      </c>
      <c r="C64" s="59" t="str">
        <f t="shared" si="0"/>
        <v>24</v>
      </c>
      <c r="D64" s="59" t="str">
        <f t="shared" si="1"/>
        <v>Wednesday</v>
      </c>
      <c r="E64" s="59" t="str">
        <f t="shared" si="2"/>
        <v>February</v>
      </c>
      <c r="F64" s="59" t="str">
        <f t="shared" si="3"/>
        <v>2021</v>
      </c>
      <c r="G64" s="59" t="str">
        <f t="shared" si="20"/>
        <v>Week_09</v>
      </c>
      <c r="H64" s="59" t="str">
        <f t="shared" si="21"/>
        <v>February 2021</v>
      </c>
      <c r="I64" s="59" t="str">
        <f t="shared" si="22"/>
        <v>Week_09</v>
      </c>
      <c r="J64" s="60">
        <f t="shared" si="4"/>
        <v>44251</v>
      </c>
      <c r="K64" s="59">
        <f t="shared" si="23"/>
        <v>9</v>
      </c>
      <c r="L64" s="59" t="str">
        <f t="shared" si="5"/>
        <v>09</v>
      </c>
      <c r="M64" s="59" t="str">
        <f t="shared" si="6"/>
        <v>Week_</v>
      </c>
      <c r="N64" s="59" t="str">
        <f t="shared" si="7"/>
        <v>Week_09</v>
      </c>
      <c r="O64" s="59">
        <f t="shared" si="24"/>
        <v>0</v>
      </c>
      <c r="P64" s="59" t="str">
        <f t="shared" si="25"/>
        <v/>
      </c>
      <c r="Q64" s="59" t="str">
        <f t="shared" si="8"/>
        <v/>
      </c>
      <c r="R64" s="59" t="str">
        <f t="shared" si="9"/>
        <v>February 2021</v>
      </c>
      <c r="S64" s="61">
        <f t="shared" si="10"/>
        <v>44251</v>
      </c>
      <c r="Z64" s="62">
        <f t="shared" si="14"/>
        <v>44251</v>
      </c>
      <c r="AA64" s="63" t="s">
        <v>253</v>
      </c>
    </row>
    <row r="65" spans="2:27" x14ac:dyDescent="0.2">
      <c r="B65" s="58">
        <f t="shared" si="19"/>
        <v>44252</v>
      </c>
      <c r="C65" s="59" t="str">
        <f t="shared" si="0"/>
        <v>25</v>
      </c>
      <c r="D65" s="59" t="str">
        <f t="shared" si="1"/>
        <v>Thursday</v>
      </c>
      <c r="E65" s="59" t="str">
        <f t="shared" si="2"/>
        <v>February</v>
      </c>
      <c r="F65" s="59" t="str">
        <f t="shared" si="3"/>
        <v>2021</v>
      </c>
      <c r="G65" s="59" t="str">
        <f t="shared" si="20"/>
        <v>Week_09</v>
      </c>
      <c r="H65" s="59" t="str">
        <f t="shared" si="21"/>
        <v>February 2021</v>
      </c>
      <c r="I65" s="59" t="str">
        <f t="shared" si="22"/>
        <v>Week_09</v>
      </c>
      <c r="J65" s="60">
        <f t="shared" si="4"/>
        <v>44252</v>
      </c>
      <c r="K65" s="59">
        <f t="shared" si="23"/>
        <v>9</v>
      </c>
      <c r="L65" s="59" t="str">
        <f t="shared" si="5"/>
        <v>09</v>
      </c>
      <c r="M65" s="59" t="str">
        <f t="shared" si="6"/>
        <v>Week_</v>
      </c>
      <c r="N65" s="59" t="str">
        <f t="shared" si="7"/>
        <v>Week_09</v>
      </c>
      <c r="O65" s="59">
        <f t="shared" si="24"/>
        <v>0</v>
      </c>
      <c r="P65" s="59" t="str">
        <f t="shared" si="25"/>
        <v/>
      </c>
      <c r="Q65" s="59" t="str">
        <f t="shared" si="8"/>
        <v/>
      </c>
      <c r="R65" s="59" t="str">
        <f t="shared" si="9"/>
        <v>February 2021</v>
      </c>
      <c r="S65" s="61">
        <f t="shared" si="10"/>
        <v>44252</v>
      </c>
      <c r="Z65" s="62">
        <f t="shared" si="14"/>
        <v>44252</v>
      </c>
      <c r="AA65" s="63" t="s">
        <v>253</v>
      </c>
    </row>
    <row r="66" spans="2:27" x14ac:dyDescent="0.2">
      <c r="B66" s="58">
        <f t="shared" si="19"/>
        <v>44253</v>
      </c>
      <c r="C66" s="59" t="str">
        <f t="shared" si="0"/>
        <v>26</v>
      </c>
      <c r="D66" s="59" t="str">
        <f t="shared" si="1"/>
        <v>Friday</v>
      </c>
      <c r="E66" s="59" t="str">
        <f t="shared" si="2"/>
        <v>February</v>
      </c>
      <c r="F66" s="59" t="str">
        <f t="shared" si="3"/>
        <v>2021</v>
      </c>
      <c r="G66" s="59" t="str">
        <f t="shared" si="20"/>
        <v>Week_09</v>
      </c>
      <c r="H66" s="59" t="str">
        <f t="shared" si="21"/>
        <v>February 2021</v>
      </c>
      <c r="I66" s="59" t="str">
        <f t="shared" si="22"/>
        <v>Week_09</v>
      </c>
      <c r="J66" s="60">
        <f t="shared" si="4"/>
        <v>44253</v>
      </c>
      <c r="K66" s="59">
        <f t="shared" si="23"/>
        <v>9</v>
      </c>
      <c r="L66" s="59" t="str">
        <f t="shared" si="5"/>
        <v>09</v>
      </c>
      <c r="M66" s="59" t="str">
        <f t="shared" si="6"/>
        <v>Week_</v>
      </c>
      <c r="N66" s="59" t="str">
        <f t="shared" si="7"/>
        <v>Week_09</v>
      </c>
      <c r="O66" s="59">
        <f t="shared" si="24"/>
        <v>0</v>
      </c>
      <c r="P66" s="59" t="str">
        <f t="shared" si="25"/>
        <v/>
      </c>
      <c r="Q66" s="59" t="str">
        <f t="shared" si="8"/>
        <v/>
      </c>
      <c r="R66" s="59" t="str">
        <f t="shared" si="9"/>
        <v>February 2021</v>
      </c>
      <c r="S66" s="61">
        <f t="shared" si="10"/>
        <v>44253</v>
      </c>
      <c r="Z66" s="62">
        <f t="shared" si="14"/>
        <v>44253</v>
      </c>
      <c r="AA66" s="63" t="s">
        <v>253</v>
      </c>
    </row>
    <row r="67" spans="2:27" x14ac:dyDescent="0.2">
      <c r="B67" s="58">
        <f t="shared" si="19"/>
        <v>44254</v>
      </c>
      <c r="C67" s="59" t="str">
        <f t="shared" si="0"/>
        <v>27</v>
      </c>
      <c r="D67" s="59" t="str">
        <f t="shared" si="1"/>
        <v>Saturday</v>
      </c>
      <c r="E67" s="59" t="str">
        <f t="shared" si="2"/>
        <v>February</v>
      </c>
      <c r="F67" s="59" t="str">
        <f t="shared" si="3"/>
        <v>2021</v>
      </c>
      <c r="G67" s="59" t="str">
        <f t="shared" si="20"/>
        <v>Week_09</v>
      </c>
      <c r="H67" s="59" t="str">
        <f t="shared" si="21"/>
        <v>February 2021</v>
      </c>
      <c r="I67" s="59" t="str">
        <f t="shared" si="22"/>
        <v>Week_09</v>
      </c>
      <c r="J67" s="60">
        <f t="shared" si="4"/>
        <v>44254</v>
      </c>
      <c r="K67" s="59">
        <f t="shared" si="23"/>
        <v>9</v>
      </c>
      <c r="L67" s="59" t="str">
        <f t="shared" si="5"/>
        <v>09</v>
      </c>
      <c r="M67" s="59" t="str">
        <f t="shared" si="6"/>
        <v>Week_</v>
      </c>
      <c r="N67" s="59" t="str">
        <f t="shared" si="7"/>
        <v>Week_09</v>
      </c>
      <c r="O67" s="59">
        <f t="shared" si="24"/>
        <v>0</v>
      </c>
      <c r="P67" s="59" t="str">
        <f t="shared" si="25"/>
        <v/>
      </c>
      <c r="Q67" s="59" t="str">
        <f t="shared" si="8"/>
        <v/>
      </c>
      <c r="R67" s="59" t="str">
        <f t="shared" si="9"/>
        <v>February 2021</v>
      </c>
      <c r="S67" s="61">
        <f t="shared" si="10"/>
        <v>44254</v>
      </c>
      <c r="Z67" s="62">
        <f t="shared" si="14"/>
        <v>44254</v>
      </c>
      <c r="AA67" s="63" t="s">
        <v>253</v>
      </c>
    </row>
    <row r="68" spans="2:27" x14ac:dyDescent="0.2">
      <c r="B68" s="58">
        <f t="shared" si="19"/>
        <v>44255</v>
      </c>
      <c r="C68" s="59" t="str">
        <f t="shared" si="0"/>
        <v>28</v>
      </c>
      <c r="D68" s="59" t="str">
        <f t="shared" si="1"/>
        <v>Sunday</v>
      </c>
      <c r="E68" s="59" t="str">
        <f t="shared" si="2"/>
        <v>February</v>
      </c>
      <c r="F68" s="59" t="str">
        <f t="shared" si="3"/>
        <v>2021</v>
      </c>
      <c r="G68" s="59" t="str">
        <f t="shared" si="20"/>
        <v>Week_09</v>
      </c>
      <c r="H68" s="59" t="str">
        <f t="shared" si="21"/>
        <v>February 2021</v>
      </c>
      <c r="I68" s="59" t="str">
        <f t="shared" si="22"/>
        <v>Week_09</v>
      </c>
      <c r="J68" s="60">
        <f t="shared" si="4"/>
        <v>44255</v>
      </c>
      <c r="K68" s="59">
        <f t="shared" si="23"/>
        <v>9</v>
      </c>
      <c r="L68" s="59" t="str">
        <f t="shared" si="5"/>
        <v>09</v>
      </c>
      <c r="M68" s="59" t="str">
        <f t="shared" si="6"/>
        <v>Week_</v>
      </c>
      <c r="N68" s="59" t="str">
        <f t="shared" si="7"/>
        <v>Week_09</v>
      </c>
      <c r="O68" s="59">
        <f t="shared" si="24"/>
        <v>0</v>
      </c>
      <c r="P68" s="59" t="str">
        <f t="shared" si="25"/>
        <v/>
      </c>
      <c r="Q68" s="59" t="str">
        <f t="shared" si="8"/>
        <v/>
      </c>
      <c r="R68" s="59" t="str">
        <f t="shared" si="9"/>
        <v>February 2021</v>
      </c>
      <c r="S68" s="61">
        <f t="shared" si="10"/>
        <v>44255</v>
      </c>
      <c r="Z68" s="62">
        <f t="shared" si="14"/>
        <v>44255</v>
      </c>
      <c r="AA68" s="63" t="s">
        <v>253</v>
      </c>
    </row>
    <row r="69" spans="2:27" x14ac:dyDescent="0.2">
      <c r="B69" s="58">
        <f t="shared" si="19"/>
        <v>44256</v>
      </c>
      <c r="C69" s="59" t="str">
        <f t="shared" si="0"/>
        <v>01</v>
      </c>
      <c r="D69" s="59" t="str">
        <f t="shared" si="1"/>
        <v>Monday</v>
      </c>
      <c r="E69" s="59" t="str">
        <f t="shared" si="2"/>
        <v>March</v>
      </c>
      <c r="F69" s="59" t="str">
        <f t="shared" si="3"/>
        <v>2021</v>
      </c>
      <c r="G69" s="59" t="str">
        <f t="shared" si="20"/>
        <v>Week_10</v>
      </c>
      <c r="H69" s="59" t="str">
        <f t="shared" si="21"/>
        <v>March 2021</v>
      </c>
      <c r="I69" s="59" t="str">
        <f t="shared" si="22"/>
        <v>Start WeekWeek_10</v>
      </c>
      <c r="J69" s="60">
        <f t="shared" si="4"/>
        <v>44256</v>
      </c>
      <c r="K69" s="59">
        <f t="shared" si="23"/>
        <v>10</v>
      </c>
      <c r="L69" s="59">
        <f t="shared" si="5"/>
        <v>10</v>
      </c>
      <c r="M69" s="59" t="str">
        <f t="shared" si="6"/>
        <v>Week_</v>
      </c>
      <c r="N69" s="59" t="str">
        <f t="shared" si="7"/>
        <v>Week_10</v>
      </c>
      <c r="O69" s="59">
        <f t="shared" si="24"/>
        <v>1</v>
      </c>
      <c r="P69" s="59" t="str">
        <f t="shared" si="25"/>
        <v>Start Week</v>
      </c>
      <c r="Q69" s="59" t="str">
        <f t="shared" si="8"/>
        <v>Start Month</v>
      </c>
      <c r="R69" s="59" t="str">
        <f t="shared" si="9"/>
        <v>Start MonthMarch 2021</v>
      </c>
      <c r="S69" s="61">
        <f t="shared" si="10"/>
        <v>44256</v>
      </c>
      <c r="Z69" s="62">
        <f t="shared" si="14"/>
        <v>44256</v>
      </c>
      <c r="AA69" s="63" t="s">
        <v>253</v>
      </c>
    </row>
    <row r="70" spans="2:27" x14ac:dyDescent="0.2">
      <c r="B70" s="58">
        <f t="shared" si="19"/>
        <v>44257</v>
      </c>
      <c r="C70" s="59" t="str">
        <f t="shared" si="0"/>
        <v>02</v>
      </c>
      <c r="D70" s="59" t="str">
        <f t="shared" si="1"/>
        <v>Tuesday</v>
      </c>
      <c r="E70" s="59" t="str">
        <f t="shared" si="2"/>
        <v>March</v>
      </c>
      <c r="F70" s="59" t="str">
        <f t="shared" si="3"/>
        <v>2021</v>
      </c>
      <c r="G70" s="59" t="str">
        <f t="shared" si="20"/>
        <v>Week_10</v>
      </c>
      <c r="H70" s="59" t="str">
        <f t="shared" si="21"/>
        <v>March 2021</v>
      </c>
      <c r="I70" s="59" t="str">
        <f t="shared" si="22"/>
        <v>Week_10</v>
      </c>
      <c r="J70" s="60">
        <f t="shared" si="4"/>
        <v>44257</v>
      </c>
      <c r="K70" s="59">
        <f t="shared" si="23"/>
        <v>10</v>
      </c>
      <c r="L70" s="59">
        <f t="shared" si="5"/>
        <v>10</v>
      </c>
      <c r="M70" s="59" t="str">
        <f t="shared" si="6"/>
        <v>Week_</v>
      </c>
      <c r="N70" s="59" t="str">
        <f t="shared" si="7"/>
        <v>Week_10</v>
      </c>
      <c r="O70" s="59">
        <f t="shared" si="24"/>
        <v>0</v>
      </c>
      <c r="P70" s="59" t="str">
        <f t="shared" si="25"/>
        <v/>
      </c>
      <c r="Q70" s="59" t="str">
        <f t="shared" si="8"/>
        <v/>
      </c>
      <c r="R70" s="59" t="str">
        <f t="shared" si="9"/>
        <v>March 2021</v>
      </c>
      <c r="S70" s="61">
        <f t="shared" si="10"/>
        <v>44257</v>
      </c>
      <c r="Z70" s="62">
        <f t="shared" si="14"/>
        <v>44257</v>
      </c>
      <c r="AA70" s="63" t="s">
        <v>253</v>
      </c>
    </row>
    <row r="71" spans="2:27" x14ac:dyDescent="0.2">
      <c r="B71" s="58">
        <f t="shared" si="19"/>
        <v>44258</v>
      </c>
      <c r="C71" s="59" t="str">
        <f t="shared" si="0"/>
        <v>03</v>
      </c>
      <c r="D71" s="59" t="str">
        <f t="shared" si="1"/>
        <v>Wednesday</v>
      </c>
      <c r="E71" s="59" t="str">
        <f t="shared" si="2"/>
        <v>March</v>
      </c>
      <c r="F71" s="59" t="str">
        <f t="shared" si="3"/>
        <v>2021</v>
      </c>
      <c r="G71" s="59" t="str">
        <f t="shared" si="20"/>
        <v>Week_10</v>
      </c>
      <c r="H71" s="59" t="str">
        <f t="shared" si="21"/>
        <v>March 2021</v>
      </c>
      <c r="I71" s="59" t="str">
        <f t="shared" si="22"/>
        <v>Week_10</v>
      </c>
      <c r="J71" s="60">
        <f t="shared" si="4"/>
        <v>44258</v>
      </c>
      <c r="K71" s="59">
        <f t="shared" si="23"/>
        <v>10</v>
      </c>
      <c r="L71" s="59">
        <f t="shared" si="5"/>
        <v>10</v>
      </c>
      <c r="M71" s="59" t="str">
        <f t="shared" si="6"/>
        <v>Week_</v>
      </c>
      <c r="N71" s="59" t="str">
        <f t="shared" si="7"/>
        <v>Week_10</v>
      </c>
      <c r="O71" s="59">
        <f t="shared" si="24"/>
        <v>0</v>
      </c>
      <c r="P71" s="59" t="str">
        <f t="shared" si="25"/>
        <v/>
      </c>
      <c r="Q71" s="59" t="str">
        <f t="shared" si="8"/>
        <v/>
      </c>
      <c r="R71" s="59" t="str">
        <f t="shared" si="9"/>
        <v>March 2021</v>
      </c>
      <c r="S71" s="61">
        <f t="shared" si="10"/>
        <v>44258</v>
      </c>
      <c r="Z71" s="62">
        <f t="shared" si="14"/>
        <v>44258</v>
      </c>
      <c r="AA71" s="63" t="s">
        <v>253</v>
      </c>
    </row>
    <row r="72" spans="2:27" x14ac:dyDescent="0.2">
      <c r="B72" s="58">
        <f t="shared" si="19"/>
        <v>44259</v>
      </c>
      <c r="C72" s="59" t="str">
        <f t="shared" si="0"/>
        <v>04</v>
      </c>
      <c r="D72" s="59" t="str">
        <f t="shared" si="1"/>
        <v>Thursday</v>
      </c>
      <c r="E72" s="59" t="str">
        <f t="shared" si="2"/>
        <v>March</v>
      </c>
      <c r="F72" s="59" t="str">
        <f t="shared" si="3"/>
        <v>2021</v>
      </c>
      <c r="G72" s="59" t="str">
        <f t="shared" si="20"/>
        <v>Week_10</v>
      </c>
      <c r="H72" s="59" t="str">
        <f t="shared" si="21"/>
        <v>March 2021</v>
      </c>
      <c r="I72" s="59" t="str">
        <f t="shared" si="22"/>
        <v>Week_10</v>
      </c>
      <c r="J72" s="60">
        <f t="shared" si="4"/>
        <v>44259</v>
      </c>
      <c r="K72" s="59">
        <f t="shared" si="23"/>
        <v>10</v>
      </c>
      <c r="L72" s="59">
        <f t="shared" si="5"/>
        <v>10</v>
      </c>
      <c r="M72" s="59" t="str">
        <f t="shared" si="6"/>
        <v>Week_</v>
      </c>
      <c r="N72" s="59" t="str">
        <f t="shared" si="7"/>
        <v>Week_10</v>
      </c>
      <c r="O72" s="59">
        <f t="shared" si="24"/>
        <v>0</v>
      </c>
      <c r="P72" s="59" t="str">
        <f t="shared" si="25"/>
        <v/>
      </c>
      <c r="Q72" s="59" t="str">
        <f t="shared" si="8"/>
        <v/>
      </c>
      <c r="R72" s="59" t="str">
        <f t="shared" si="9"/>
        <v>March 2021</v>
      </c>
      <c r="S72" s="61">
        <f t="shared" si="10"/>
        <v>44259</v>
      </c>
      <c r="Z72" s="62">
        <f t="shared" si="14"/>
        <v>44259</v>
      </c>
      <c r="AA72" s="63" t="s">
        <v>253</v>
      </c>
    </row>
    <row r="73" spans="2:27" x14ac:dyDescent="0.2">
      <c r="B73" s="58">
        <f t="shared" si="19"/>
        <v>44260</v>
      </c>
      <c r="C73" s="59" t="str">
        <f t="shared" si="0"/>
        <v>05</v>
      </c>
      <c r="D73" s="59" t="str">
        <f t="shared" si="1"/>
        <v>Friday</v>
      </c>
      <c r="E73" s="59" t="str">
        <f t="shared" si="2"/>
        <v>March</v>
      </c>
      <c r="F73" s="59" t="str">
        <f t="shared" si="3"/>
        <v>2021</v>
      </c>
      <c r="G73" s="59" t="str">
        <f t="shared" si="20"/>
        <v>Week_10</v>
      </c>
      <c r="H73" s="59" t="str">
        <f t="shared" si="21"/>
        <v>March 2021</v>
      </c>
      <c r="I73" s="59" t="str">
        <f t="shared" si="22"/>
        <v>Week_10</v>
      </c>
      <c r="J73" s="60">
        <f t="shared" si="4"/>
        <v>44260</v>
      </c>
      <c r="K73" s="59">
        <f t="shared" si="23"/>
        <v>10</v>
      </c>
      <c r="L73" s="59">
        <f t="shared" si="5"/>
        <v>10</v>
      </c>
      <c r="M73" s="59" t="str">
        <f t="shared" si="6"/>
        <v>Week_</v>
      </c>
      <c r="N73" s="59" t="str">
        <f t="shared" si="7"/>
        <v>Week_10</v>
      </c>
      <c r="O73" s="59">
        <f t="shared" si="24"/>
        <v>0</v>
      </c>
      <c r="P73" s="59" t="str">
        <f t="shared" si="25"/>
        <v/>
      </c>
      <c r="Q73" s="59" t="str">
        <f t="shared" si="8"/>
        <v/>
      </c>
      <c r="R73" s="59" t="str">
        <f t="shared" si="9"/>
        <v>March 2021</v>
      </c>
      <c r="S73" s="61">
        <f t="shared" si="10"/>
        <v>44260</v>
      </c>
      <c r="Z73" s="62">
        <f t="shared" si="14"/>
        <v>44260</v>
      </c>
      <c r="AA73" s="63" t="s">
        <v>253</v>
      </c>
    </row>
    <row r="74" spans="2:27" x14ac:dyDescent="0.2">
      <c r="B74" s="58">
        <f t="shared" si="19"/>
        <v>44261</v>
      </c>
      <c r="C74" s="59" t="str">
        <f t="shared" ref="C74:C137" si="35">IF($B74="","",TEXT($B74,"dd"))</f>
        <v>06</v>
      </c>
      <c r="D74" s="59" t="str">
        <f t="shared" ref="D74:D137" si="36">IF($B74="","",TEXT($B74,"dddd"))</f>
        <v>Saturday</v>
      </c>
      <c r="E74" s="59" t="str">
        <f t="shared" ref="E74:E137" si="37">IF($B74="","",TEXT($B74,"mmmm"))</f>
        <v>March</v>
      </c>
      <c r="F74" s="59" t="str">
        <f t="shared" ref="F74:F137" si="38">IF($B74="","",TEXT($B74,"yyyy"))</f>
        <v>2021</v>
      </c>
      <c r="G74" s="59" t="str">
        <f t="shared" si="20"/>
        <v>Week_10</v>
      </c>
      <c r="H74" s="59" t="str">
        <f t="shared" si="21"/>
        <v>March 2021</v>
      </c>
      <c r="I74" s="59" t="str">
        <f t="shared" si="22"/>
        <v>Week_10</v>
      </c>
      <c r="J74" s="60">
        <f t="shared" ref="J74:J137" si="39">+B74</f>
        <v>44261</v>
      </c>
      <c r="K74" s="59">
        <f t="shared" si="23"/>
        <v>10</v>
      </c>
      <c r="L74" s="59">
        <f t="shared" ref="L74:L137" si="40">IF(K74=1,"01",IF(K74=2,"02",IF(K74=3,"03",IF(K74=4,"04",IF(K74=5,"05",IF(K74=6,"06",IF(K74=7,"07",IF(K74=8,"08",IF(K74=9,"09",K74)))))))))</f>
        <v>10</v>
      </c>
      <c r="M74" s="59" t="str">
        <f t="shared" ref="M74:M137" si="41">IF(K74="","","Week_")</f>
        <v>Week_</v>
      </c>
      <c r="N74" s="59" t="str">
        <f t="shared" ref="N74:N137" si="42">CONCATENATE(M74,L74)</f>
        <v>Week_10</v>
      </c>
      <c r="O74" s="59">
        <f t="shared" si="24"/>
        <v>0</v>
      </c>
      <c r="P74" s="59" t="str">
        <f t="shared" si="25"/>
        <v/>
      </c>
      <c r="Q74" s="59" t="str">
        <f t="shared" ref="Q74:Q137" si="43">IF(C74="01","Start Month","")</f>
        <v/>
      </c>
      <c r="R74" s="59" t="str">
        <f t="shared" ref="R74:R137" si="44">+Q74&amp;H74</f>
        <v>March 2021</v>
      </c>
      <c r="S74" s="61">
        <f t="shared" ref="S74:S137" si="45">+B74</f>
        <v>44261</v>
      </c>
      <c r="Z74" s="62">
        <f t="shared" ref="Z74:Z137" si="46">+B74</f>
        <v>44261</v>
      </c>
      <c r="AA74" s="63" t="s">
        <v>253</v>
      </c>
    </row>
    <row r="75" spans="2:27" x14ac:dyDescent="0.2">
      <c r="B75" s="58">
        <f t="shared" ref="B75:B138" si="47">1+B74</f>
        <v>44262</v>
      </c>
      <c r="C75" s="59" t="str">
        <f t="shared" si="35"/>
        <v>07</v>
      </c>
      <c r="D75" s="59" t="str">
        <f t="shared" si="36"/>
        <v>Sunday</v>
      </c>
      <c r="E75" s="59" t="str">
        <f t="shared" si="37"/>
        <v>March</v>
      </c>
      <c r="F75" s="59" t="str">
        <f t="shared" si="38"/>
        <v>2021</v>
      </c>
      <c r="G75" s="59" t="str">
        <f t="shared" ref="G75:G138" si="48">+N75</f>
        <v>Week_10</v>
      </c>
      <c r="H75" s="59" t="str">
        <f t="shared" ref="H75:H138" si="49">E75&amp;" "&amp;F75</f>
        <v>March 2021</v>
      </c>
      <c r="I75" s="59" t="str">
        <f t="shared" ref="I75:I138" si="50">+P75&amp;N75</f>
        <v>Week_10</v>
      </c>
      <c r="J75" s="60">
        <f t="shared" si="39"/>
        <v>44262</v>
      </c>
      <c r="K75" s="59">
        <f t="shared" ref="K75:K138" si="51">IF($D75=$C$3,K74+1,K74)</f>
        <v>10</v>
      </c>
      <c r="L75" s="59">
        <f t="shared" si="40"/>
        <v>10</v>
      </c>
      <c r="M75" s="59" t="str">
        <f t="shared" si="41"/>
        <v>Week_</v>
      </c>
      <c r="N75" s="59" t="str">
        <f t="shared" si="42"/>
        <v>Week_10</v>
      </c>
      <c r="O75" s="59">
        <f t="shared" ref="O75:O138" si="52">K75-K74</f>
        <v>0</v>
      </c>
      <c r="P75" s="59" t="str">
        <f t="shared" ref="P75:P138" si="53">IF(O75=1,"Start Week","")</f>
        <v/>
      </c>
      <c r="Q75" s="59" t="str">
        <f t="shared" si="43"/>
        <v/>
      </c>
      <c r="R75" s="59" t="str">
        <f t="shared" si="44"/>
        <v>March 2021</v>
      </c>
      <c r="S75" s="61">
        <f t="shared" si="45"/>
        <v>44262</v>
      </c>
      <c r="Z75" s="62">
        <f t="shared" si="46"/>
        <v>44262</v>
      </c>
      <c r="AA75" s="63" t="s">
        <v>253</v>
      </c>
    </row>
    <row r="76" spans="2:27" x14ac:dyDescent="0.2">
      <c r="B76" s="58">
        <f t="shared" si="47"/>
        <v>44263</v>
      </c>
      <c r="C76" s="59" t="str">
        <f t="shared" si="35"/>
        <v>08</v>
      </c>
      <c r="D76" s="59" t="str">
        <f t="shared" si="36"/>
        <v>Monday</v>
      </c>
      <c r="E76" s="59" t="str">
        <f t="shared" si="37"/>
        <v>March</v>
      </c>
      <c r="F76" s="59" t="str">
        <f t="shared" si="38"/>
        <v>2021</v>
      </c>
      <c r="G76" s="59" t="str">
        <f t="shared" si="48"/>
        <v>Week_11</v>
      </c>
      <c r="H76" s="59" t="str">
        <f t="shared" si="49"/>
        <v>March 2021</v>
      </c>
      <c r="I76" s="59" t="str">
        <f t="shared" si="50"/>
        <v>Start WeekWeek_11</v>
      </c>
      <c r="J76" s="60">
        <f t="shared" si="39"/>
        <v>44263</v>
      </c>
      <c r="K76" s="59">
        <f t="shared" si="51"/>
        <v>11</v>
      </c>
      <c r="L76" s="59">
        <f t="shared" si="40"/>
        <v>11</v>
      </c>
      <c r="M76" s="59" t="str">
        <f t="shared" si="41"/>
        <v>Week_</v>
      </c>
      <c r="N76" s="59" t="str">
        <f t="shared" si="42"/>
        <v>Week_11</v>
      </c>
      <c r="O76" s="59">
        <f t="shared" si="52"/>
        <v>1</v>
      </c>
      <c r="P76" s="59" t="str">
        <f t="shared" si="53"/>
        <v>Start Week</v>
      </c>
      <c r="Q76" s="59" t="str">
        <f t="shared" si="43"/>
        <v/>
      </c>
      <c r="R76" s="59" t="str">
        <f t="shared" si="44"/>
        <v>March 2021</v>
      </c>
      <c r="S76" s="61">
        <f t="shared" si="45"/>
        <v>44263</v>
      </c>
      <c r="Z76" s="62">
        <f t="shared" si="46"/>
        <v>44263</v>
      </c>
      <c r="AA76" s="63" t="s">
        <v>253</v>
      </c>
    </row>
    <row r="77" spans="2:27" x14ac:dyDescent="0.2">
      <c r="B77" s="58">
        <f t="shared" si="47"/>
        <v>44264</v>
      </c>
      <c r="C77" s="59" t="str">
        <f t="shared" si="35"/>
        <v>09</v>
      </c>
      <c r="D77" s="59" t="str">
        <f t="shared" si="36"/>
        <v>Tuesday</v>
      </c>
      <c r="E77" s="59" t="str">
        <f t="shared" si="37"/>
        <v>March</v>
      </c>
      <c r="F77" s="59" t="str">
        <f t="shared" si="38"/>
        <v>2021</v>
      </c>
      <c r="G77" s="59" t="str">
        <f t="shared" si="48"/>
        <v>Week_11</v>
      </c>
      <c r="H77" s="59" t="str">
        <f t="shared" si="49"/>
        <v>March 2021</v>
      </c>
      <c r="I77" s="59" t="str">
        <f t="shared" si="50"/>
        <v>Week_11</v>
      </c>
      <c r="J77" s="60">
        <f t="shared" si="39"/>
        <v>44264</v>
      </c>
      <c r="K77" s="59">
        <f t="shared" si="51"/>
        <v>11</v>
      </c>
      <c r="L77" s="59">
        <f t="shared" si="40"/>
        <v>11</v>
      </c>
      <c r="M77" s="59" t="str">
        <f t="shared" si="41"/>
        <v>Week_</v>
      </c>
      <c r="N77" s="59" t="str">
        <f t="shared" si="42"/>
        <v>Week_11</v>
      </c>
      <c r="O77" s="59">
        <f t="shared" si="52"/>
        <v>0</v>
      </c>
      <c r="P77" s="59" t="str">
        <f t="shared" si="53"/>
        <v/>
      </c>
      <c r="Q77" s="59" t="str">
        <f t="shared" si="43"/>
        <v/>
      </c>
      <c r="R77" s="59" t="str">
        <f t="shared" si="44"/>
        <v>March 2021</v>
      </c>
      <c r="S77" s="61">
        <f t="shared" si="45"/>
        <v>44264</v>
      </c>
      <c r="Z77" s="62">
        <f t="shared" si="46"/>
        <v>44264</v>
      </c>
      <c r="AA77" s="63" t="s">
        <v>253</v>
      </c>
    </row>
    <row r="78" spans="2:27" x14ac:dyDescent="0.2">
      <c r="B78" s="58">
        <f t="shared" si="47"/>
        <v>44265</v>
      </c>
      <c r="C78" s="59" t="str">
        <f t="shared" si="35"/>
        <v>10</v>
      </c>
      <c r="D78" s="59" t="str">
        <f t="shared" si="36"/>
        <v>Wednesday</v>
      </c>
      <c r="E78" s="59" t="str">
        <f t="shared" si="37"/>
        <v>March</v>
      </c>
      <c r="F78" s="59" t="str">
        <f t="shared" si="38"/>
        <v>2021</v>
      </c>
      <c r="G78" s="59" t="str">
        <f t="shared" si="48"/>
        <v>Week_11</v>
      </c>
      <c r="H78" s="59" t="str">
        <f t="shared" si="49"/>
        <v>March 2021</v>
      </c>
      <c r="I78" s="59" t="str">
        <f t="shared" si="50"/>
        <v>Week_11</v>
      </c>
      <c r="J78" s="60">
        <f t="shared" si="39"/>
        <v>44265</v>
      </c>
      <c r="K78" s="59">
        <f t="shared" si="51"/>
        <v>11</v>
      </c>
      <c r="L78" s="59">
        <f t="shared" si="40"/>
        <v>11</v>
      </c>
      <c r="M78" s="59" t="str">
        <f t="shared" si="41"/>
        <v>Week_</v>
      </c>
      <c r="N78" s="59" t="str">
        <f t="shared" si="42"/>
        <v>Week_11</v>
      </c>
      <c r="O78" s="59">
        <f t="shared" si="52"/>
        <v>0</v>
      </c>
      <c r="P78" s="59" t="str">
        <f t="shared" si="53"/>
        <v/>
      </c>
      <c r="Q78" s="59" t="str">
        <f t="shared" si="43"/>
        <v/>
      </c>
      <c r="R78" s="59" t="str">
        <f t="shared" si="44"/>
        <v>March 2021</v>
      </c>
      <c r="S78" s="61">
        <f t="shared" si="45"/>
        <v>44265</v>
      </c>
      <c r="Z78" s="62">
        <f t="shared" si="46"/>
        <v>44265</v>
      </c>
      <c r="AA78" s="63" t="s">
        <v>253</v>
      </c>
    </row>
    <row r="79" spans="2:27" x14ac:dyDescent="0.2">
      <c r="B79" s="58">
        <f t="shared" si="47"/>
        <v>44266</v>
      </c>
      <c r="C79" s="59" t="str">
        <f t="shared" si="35"/>
        <v>11</v>
      </c>
      <c r="D79" s="59" t="str">
        <f t="shared" si="36"/>
        <v>Thursday</v>
      </c>
      <c r="E79" s="59" t="str">
        <f t="shared" si="37"/>
        <v>March</v>
      </c>
      <c r="F79" s="59" t="str">
        <f t="shared" si="38"/>
        <v>2021</v>
      </c>
      <c r="G79" s="59" t="str">
        <f t="shared" si="48"/>
        <v>Week_11</v>
      </c>
      <c r="H79" s="59" t="str">
        <f t="shared" si="49"/>
        <v>March 2021</v>
      </c>
      <c r="I79" s="59" t="str">
        <f t="shared" si="50"/>
        <v>Week_11</v>
      </c>
      <c r="J79" s="60">
        <f t="shared" si="39"/>
        <v>44266</v>
      </c>
      <c r="K79" s="59">
        <f t="shared" si="51"/>
        <v>11</v>
      </c>
      <c r="L79" s="59">
        <f t="shared" si="40"/>
        <v>11</v>
      </c>
      <c r="M79" s="59" t="str">
        <f t="shared" si="41"/>
        <v>Week_</v>
      </c>
      <c r="N79" s="59" t="str">
        <f t="shared" si="42"/>
        <v>Week_11</v>
      </c>
      <c r="O79" s="59">
        <f t="shared" si="52"/>
        <v>0</v>
      </c>
      <c r="P79" s="59" t="str">
        <f t="shared" si="53"/>
        <v/>
      </c>
      <c r="Q79" s="59" t="str">
        <f t="shared" si="43"/>
        <v/>
      </c>
      <c r="R79" s="59" t="str">
        <f t="shared" si="44"/>
        <v>March 2021</v>
      </c>
      <c r="S79" s="61">
        <f t="shared" si="45"/>
        <v>44266</v>
      </c>
      <c r="Z79" s="62">
        <f t="shared" si="46"/>
        <v>44266</v>
      </c>
      <c r="AA79" s="63" t="s">
        <v>253</v>
      </c>
    </row>
    <row r="80" spans="2:27" x14ac:dyDescent="0.2">
      <c r="B80" s="58">
        <f t="shared" si="47"/>
        <v>44267</v>
      </c>
      <c r="C80" s="59" t="str">
        <f t="shared" si="35"/>
        <v>12</v>
      </c>
      <c r="D80" s="59" t="str">
        <f t="shared" si="36"/>
        <v>Friday</v>
      </c>
      <c r="E80" s="59" t="str">
        <f t="shared" si="37"/>
        <v>March</v>
      </c>
      <c r="F80" s="59" t="str">
        <f t="shared" si="38"/>
        <v>2021</v>
      </c>
      <c r="G80" s="59" t="str">
        <f t="shared" si="48"/>
        <v>Week_11</v>
      </c>
      <c r="H80" s="59" t="str">
        <f t="shared" si="49"/>
        <v>March 2021</v>
      </c>
      <c r="I80" s="59" t="str">
        <f t="shared" si="50"/>
        <v>Week_11</v>
      </c>
      <c r="J80" s="60">
        <f t="shared" si="39"/>
        <v>44267</v>
      </c>
      <c r="K80" s="59">
        <f t="shared" si="51"/>
        <v>11</v>
      </c>
      <c r="L80" s="59">
        <f t="shared" si="40"/>
        <v>11</v>
      </c>
      <c r="M80" s="59" t="str">
        <f t="shared" si="41"/>
        <v>Week_</v>
      </c>
      <c r="N80" s="59" t="str">
        <f t="shared" si="42"/>
        <v>Week_11</v>
      </c>
      <c r="O80" s="59">
        <f t="shared" si="52"/>
        <v>0</v>
      </c>
      <c r="P80" s="59" t="str">
        <f t="shared" si="53"/>
        <v/>
      </c>
      <c r="Q80" s="59" t="str">
        <f t="shared" si="43"/>
        <v/>
      </c>
      <c r="R80" s="59" t="str">
        <f t="shared" si="44"/>
        <v>March 2021</v>
      </c>
      <c r="S80" s="61">
        <f t="shared" si="45"/>
        <v>44267</v>
      </c>
      <c r="Z80" s="62">
        <f t="shared" si="46"/>
        <v>44267</v>
      </c>
      <c r="AA80" s="63" t="s">
        <v>253</v>
      </c>
    </row>
    <row r="81" spans="2:27" x14ac:dyDescent="0.2">
      <c r="B81" s="58">
        <f t="shared" si="47"/>
        <v>44268</v>
      </c>
      <c r="C81" s="59" t="str">
        <f t="shared" si="35"/>
        <v>13</v>
      </c>
      <c r="D81" s="59" t="str">
        <f t="shared" si="36"/>
        <v>Saturday</v>
      </c>
      <c r="E81" s="59" t="str">
        <f t="shared" si="37"/>
        <v>March</v>
      </c>
      <c r="F81" s="59" t="str">
        <f t="shared" si="38"/>
        <v>2021</v>
      </c>
      <c r="G81" s="59" t="str">
        <f t="shared" si="48"/>
        <v>Week_11</v>
      </c>
      <c r="H81" s="59" t="str">
        <f t="shared" si="49"/>
        <v>March 2021</v>
      </c>
      <c r="I81" s="59" t="str">
        <f t="shared" si="50"/>
        <v>Week_11</v>
      </c>
      <c r="J81" s="60">
        <f t="shared" si="39"/>
        <v>44268</v>
      </c>
      <c r="K81" s="59">
        <f t="shared" si="51"/>
        <v>11</v>
      </c>
      <c r="L81" s="59">
        <f t="shared" si="40"/>
        <v>11</v>
      </c>
      <c r="M81" s="59" t="str">
        <f t="shared" si="41"/>
        <v>Week_</v>
      </c>
      <c r="N81" s="59" t="str">
        <f t="shared" si="42"/>
        <v>Week_11</v>
      </c>
      <c r="O81" s="59">
        <f t="shared" si="52"/>
        <v>0</v>
      </c>
      <c r="P81" s="59" t="str">
        <f t="shared" si="53"/>
        <v/>
      </c>
      <c r="Q81" s="59" t="str">
        <f t="shared" si="43"/>
        <v/>
      </c>
      <c r="R81" s="59" t="str">
        <f t="shared" si="44"/>
        <v>March 2021</v>
      </c>
      <c r="S81" s="61">
        <f t="shared" si="45"/>
        <v>44268</v>
      </c>
      <c r="Z81" s="62">
        <f t="shared" si="46"/>
        <v>44268</v>
      </c>
      <c r="AA81" s="63" t="s">
        <v>253</v>
      </c>
    </row>
    <row r="82" spans="2:27" x14ac:dyDescent="0.2">
      <c r="B82" s="58">
        <f t="shared" si="47"/>
        <v>44269</v>
      </c>
      <c r="C82" s="59" t="str">
        <f t="shared" si="35"/>
        <v>14</v>
      </c>
      <c r="D82" s="59" t="str">
        <f t="shared" si="36"/>
        <v>Sunday</v>
      </c>
      <c r="E82" s="59" t="str">
        <f t="shared" si="37"/>
        <v>March</v>
      </c>
      <c r="F82" s="59" t="str">
        <f t="shared" si="38"/>
        <v>2021</v>
      </c>
      <c r="G82" s="59" t="str">
        <f t="shared" si="48"/>
        <v>Week_11</v>
      </c>
      <c r="H82" s="59" t="str">
        <f t="shared" si="49"/>
        <v>March 2021</v>
      </c>
      <c r="I82" s="59" t="str">
        <f t="shared" si="50"/>
        <v>Week_11</v>
      </c>
      <c r="J82" s="60">
        <f t="shared" si="39"/>
        <v>44269</v>
      </c>
      <c r="K82" s="59">
        <f t="shared" si="51"/>
        <v>11</v>
      </c>
      <c r="L82" s="59">
        <f t="shared" si="40"/>
        <v>11</v>
      </c>
      <c r="M82" s="59" t="str">
        <f t="shared" si="41"/>
        <v>Week_</v>
      </c>
      <c r="N82" s="59" t="str">
        <f t="shared" si="42"/>
        <v>Week_11</v>
      </c>
      <c r="O82" s="59">
        <f t="shared" si="52"/>
        <v>0</v>
      </c>
      <c r="P82" s="59" t="str">
        <f t="shared" si="53"/>
        <v/>
      </c>
      <c r="Q82" s="59" t="str">
        <f t="shared" si="43"/>
        <v/>
      </c>
      <c r="R82" s="59" t="str">
        <f t="shared" si="44"/>
        <v>March 2021</v>
      </c>
      <c r="S82" s="61">
        <f t="shared" si="45"/>
        <v>44269</v>
      </c>
      <c r="Z82" s="62">
        <f t="shared" si="46"/>
        <v>44269</v>
      </c>
      <c r="AA82" s="63" t="s">
        <v>253</v>
      </c>
    </row>
    <row r="83" spans="2:27" x14ac:dyDescent="0.2">
      <c r="B83" s="58">
        <f t="shared" si="47"/>
        <v>44270</v>
      </c>
      <c r="C83" s="59" t="str">
        <f t="shared" si="35"/>
        <v>15</v>
      </c>
      <c r="D83" s="59" t="str">
        <f t="shared" si="36"/>
        <v>Monday</v>
      </c>
      <c r="E83" s="59" t="str">
        <f t="shared" si="37"/>
        <v>March</v>
      </c>
      <c r="F83" s="59" t="str">
        <f t="shared" si="38"/>
        <v>2021</v>
      </c>
      <c r="G83" s="59" t="str">
        <f t="shared" si="48"/>
        <v>Week_12</v>
      </c>
      <c r="H83" s="59" t="str">
        <f t="shared" si="49"/>
        <v>March 2021</v>
      </c>
      <c r="I83" s="59" t="str">
        <f t="shared" si="50"/>
        <v>Start WeekWeek_12</v>
      </c>
      <c r="J83" s="60">
        <f t="shared" si="39"/>
        <v>44270</v>
      </c>
      <c r="K83" s="59">
        <f t="shared" si="51"/>
        <v>12</v>
      </c>
      <c r="L83" s="59">
        <f t="shared" si="40"/>
        <v>12</v>
      </c>
      <c r="M83" s="59" t="str">
        <f t="shared" si="41"/>
        <v>Week_</v>
      </c>
      <c r="N83" s="59" t="str">
        <f t="shared" si="42"/>
        <v>Week_12</v>
      </c>
      <c r="O83" s="59">
        <f t="shared" si="52"/>
        <v>1</v>
      </c>
      <c r="P83" s="59" t="str">
        <f t="shared" si="53"/>
        <v>Start Week</v>
      </c>
      <c r="Q83" s="59" t="str">
        <f t="shared" si="43"/>
        <v/>
      </c>
      <c r="R83" s="59" t="str">
        <f t="shared" si="44"/>
        <v>March 2021</v>
      </c>
      <c r="S83" s="61">
        <f t="shared" si="45"/>
        <v>44270</v>
      </c>
      <c r="Z83" s="62">
        <f t="shared" si="46"/>
        <v>44270</v>
      </c>
      <c r="AA83" s="63" t="s">
        <v>253</v>
      </c>
    </row>
    <row r="84" spans="2:27" x14ac:dyDescent="0.2">
      <c r="B84" s="58">
        <f t="shared" si="47"/>
        <v>44271</v>
      </c>
      <c r="C84" s="59" t="str">
        <f t="shared" si="35"/>
        <v>16</v>
      </c>
      <c r="D84" s="59" t="str">
        <f t="shared" si="36"/>
        <v>Tuesday</v>
      </c>
      <c r="E84" s="59" t="str">
        <f t="shared" si="37"/>
        <v>March</v>
      </c>
      <c r="F84" s="59" t="str">
        <f t="shared" si="38"/>
        <v>2021</v>
      </c>
      <c r="G84" s="59" t="str">
        <f t="shared" si="48"/>
        <v>Week_12</v>
      </c>
      <c r="H84" s="59" t="str">
        <f t="shared" si="49"/>
        <v>March 2021</v>
      </c>
      <c r="I84" s="59" t="str">
        <f t="shared" si="50"/>
        <v>Week_12</v>
      </c>
      <c r="J84" s="60">
        <f t="shared" si="39"/>
        <v>44271</v>
      </c>
      <c r="K84" s="59">
        <f t="shared" si="51"/>
        <v>12</v>
      </c>
      <c r="L84" s="59">
        <f t="shared" si="40"/>
        <v>12</v>
      </c>
      <c r="M84" s="59" t="str">
        <f t="shared" si="41"/>
        <v>Week_</v>
      </c>
      <c r="N84" s="59" t="str">
        <f t="shared" si="42"/>
        <v>Week_12</v>
      </c>
      <c r="O84" s="59">
        <f t="shared" si="52"/>
        <v>0</v>
      </c>
      <c r="P84" s="59" t="str">
        <f t="shared" si="53"/>
        <v/>
      </c>
      <c r="Q84" s="59" t="str">
        <f t="shared" si="43"/>
        <v/>
      </c>
      <c r="R84" s="59" t="str">
        <f t="shared" si="44"/>
        <v>March 2021</v>
      </c>
      <c r="S84" s="61">
        <f t="shared" si="45"/>
        <v>44271</v>
      </c>
      <c r="Z84" s="62">
        <f t="shared" si="46"/>
        <v>44271</v>
      </c>
      <c r="AA84" s="63" t="s">
        <v>253</v>
      </c>
    </row>
    <row r="85" spans="2:27" x14ac:dyDescent="0.2">
      <c r="B85" s="58">
        <f t="shared" si="47"/>
        <v>44272</v>
      </c>
      <c r="C85" s="59" t="str">
        <f t="shared" si="35"/>
        <v>17</v>
      </c>
      <c r="D85" s="59" t="str">
        <f t="shared" si="36"/>
        <v>Wednesday</v>
      </c>
      <c r="E85" s="59" t="str">
        <f t="shared" si="37"/>
        <v>March</v>
      </c>
      <c r="F85" s="59" t="str">
        <f t="shared" si="38"/>
        <v>2021</v>
      </c>
      <c r="G85" s="59" t="str">
        <f t="shared" si="48"/>
        <v>Week_12</v>
      </c>
      <c r="H85" s="59" t="str">
        <f t="shared" si="49"/>
        <v>March 2021</v>
      </c>
      <c r="I85" s="59" t="str">
        <f t="shared" si="50"/>
        <v>Week_12</v>
      </c>
      <c r="J85" s="60">
        <f t="shared" si="39"/>
        <v>44272</v>
      </c>
      <c r="K85" s="59">
        <f t="shared" si="51"/>
        <v>12</v>
      </c>
      <c r="L85" s="59">
        <f t="shared" si="40"/>
        <v>12</v>
      </c>
      <c r="M85" s="59" t="str">
        <f t="shared" si="41"/>
        <v>Week_</v>
      </c>
      <c r="N85" s="59" t="str">
        <f t="shared" si="42"/>
        <v>Week_12</v>
      </c>
      <c r="O85" s="59">
        <f t="shared" si="52"/>
        <v>0</v>
      </c>
      <c r="P85" s="59" t="str">
        <f t="shared" si="53"/>
        <v/>
      </c>
      <c r="Q85" s="59" t="str">
        <f t="shared" si="43"/>
        <v/>
      </c>
      <c r="R85" s="59" t="str">
        <f t="shared" si="44"/>
        <v>March 2021</v>
      </c>
      <c r="S85" s="61">
        <f t="shared" si="45"/>
        <v>44272</v>
      </c>
      <c r="Z85" s="62">
        <f t="shared" si="46"/>
        <v>44272</v>
      </c>
      <c r="AA85" s="63" t="s">
        <v>253</v>
      </c>
    </row>
    <row r="86" spans="2:27" x14ac:dyDescent="0.2">
      <c r="B86" s="58">
        <f t="shared" si="47"/>
        <v>44273</v>
      </c>
      <c r="C86" s="59" t="str">
        <f t="shared" si="35"/>
        <v>18</v>
      </c>
      <c r="D86" s="59" t="str">
        <f t="shared" si="36"/>
        <v>Thursday</v>
      </c>
      <c r="E86" s="59" t="str">
        <f t="shared" si="37"/>
        <v>March</v>
      </c>
      <c r="F86" s="59" t="str">
        <f t="shared" si="38"/>
        <v>2021</v>
      </c>
      <c r="G86" s="59" t="str">
        <f t="shared" si="48"/>
        <v>Week_12</v>
      </c>
      <c r="H86" s="59" t="str">
        <f t="shared" si="49"/>
        <v>March 2021</v>
      </c>
      <c r="I86" s="59" t="str">
        <f t="shared" si="50"/>
        <v>Week_12</v>
      </c>
      <c r="J86" s="60">
        <f t="shared" si="39"/>
        <v>44273</v>
      </c>
      <c r="K86" s="59">
        <f t="shared" si="51"/>
        <v>12</v>
      </c>
      <c r="L86" s="59">
        <f t="shared" si="40"/>
        <v>12</v>
      </c>
      <c r="M86" s="59" t="str">
        <f t="shared" si="41"/>
        <v>Week_</v>
      </c>
      <c r="N86" s="59" t="str">
        <f t="shared" si="42"/>
        <v>Week_12</v>
      </c>
      <c r="O86" s="59">
        <f t="shared" si="52"/>
        <v>0</v>
      </c>
      <c r="P86" s="59" t="str">
        <f t="shared" si="53"/>
        <v/>
      </c>
      <c r="Q86" s="59" t="str">
        <f t="shared" si="43"/>
        <v/>
      </c>
      <c r="R86" s="59" t="str">
        <f t="shared" si="44"/>
        <v>March 2021</v>
      </c>
      <c r="S86" s="61">
        <f t="shared" si="45"/>
        <v>44273</v>
      </c>
      <c r="Z86" s="62">
        <f t="shared" si="46"/>
        <v>44273</v>
      </c>
      <c r="AA86" s="63" t="s">
        <v>253</v>
      </c>
    </row>
    <row r="87" spans="2:27" x14ac:dyDescent="0.2">
      <c r="B87" s="58">
        <f t="shared" si="47"/>
        <v>44274</v>
      </c>
      <c r="C87" s="59" t="str">
        <f t="shared" si="35"/>
        <v>19</v>
      </c>
      <c r="D87" s="59" t="str">
        <f t="shared" si="36"/>
        <v>Friday</v>
      </c>
      <c r="E87" s="59" t="str">
        <f t="shared" si="37"/>
        <v>March</v>
      </c>
      <c r="F87" s="59" t="str">
        <f t="shared" si="38"/>
        <v>2021</v>
      </c>
      <c r="G87" s="59" t="str">
        <f t="shared" si="48"/>
        <v>Week_12</v>
      </c>
      <c r="H87" s="59" t="str">
        <f t="shared" si="49"/>
        <v>March 2021</v>
      </c>
      <c r="I87" s="59" t="str">
        <f t="shared" si="50"/>
        <v>Week_12</v>
      </c>
      <c r="J87" s="60">
        <f t="shared" si="39"/>
        <v>44274</v>
      </c>
      <c r="K87" s="59">
        <f t="shared" si="51"/>
        <v>12</v>
      </c>
      <c r="L87" s="59">
        <f t="shared" si="40"/>
        <v>12</v>
      </c>
      <c r="M87" s="59" t="str">
        <f t="shared" si="41"/>
        <v>Week_</v>
      </c>
      <c r="N87" s="59" t="str">
        <f t="shared" si="42"/>
        <v>Week_12</v>
      </c>
      <c r="O87" s="59">
        <f t="shared" si="52"/>
        <v>0</v>
      </c>
      <c r="P87" s="59" t="str">
        <f t="shared" si="53"/>
        <v/>
      </c>
      <c r="Q87" s="59" t="str">
        <f t="shared" si="43"/>
        <v/>
      </c>
      <c r="R87" s="59" t="str">
        <f t="shared" si="44"/>
        <v>March 2021</v>
      </c>
      <c r="S87" s="61">
        <f t="shared" si="45"/>
        <v>44274</v>
      </c>
      <c r="Z87" s="62">
        <f t="shared" si="46"/>
        <v>44274</v>
      </c>
      <c r="AA87" s="63" t="s">
        <v>253</v>
      </c>
    </row>
    <row r="88" spans="2:27" x14ac:dyDescent="0.2">
      <c r="B88" s="58">
        <f t="shared" si="47"/>
        <v>44275</v>
      </c>
      <c r="C88" s="59" t="str">
        <f t="shared" si="35"/>
        <v>20</v>
      </c>
      <c r="D88" s="59" t="str">
        <f t="shared" si="36"/>
        <v>Saturday</v>
      </c>
      <c r="E88" s="59" t="str">
        <f t="shared" si="37"/>
        <v>March</v>
      </c>
      <c r="F88" s="59" t="str">
        <f t="shared" si="38"/>
        <v>2021</v>
      </c>
      <c r="G88" s="59" t="str">
        <f t="shared" si="48"/>
        <v>Week_12</v>
      </c>
      <c r="H88" s="59" t="str">
        <f t="shared" si="49"/>
        <v>March 2021</v>
      </c>
      <c r="I88" s="59" t="str">
        <f t="shared" si="50"/>
        <v>Week_12</v>
      </c>
      <c r="J88" s="60">
        <f t="shared" si="39"/>
        <v>44275</v>
      </c>
      <c r="K88" s="59">
        <f t="shared" si="51"/>
        <v>12</v>
      </c>
      <c r="L88" s="59">
        <f t="shared" si="40"/>
        <v>12</v>
      </c>
      <c r="M88" s="59" t="str">
        <f t="shared" si="41"/>
        <v>Week_</v>
      </c>
      <c r="N88" s="59" t="str">
        <f t="shared" si="42"/>
        <v>Week_12</v>
      </c>
      <c r="O88" s="59">
        <f t="shared" si="52"/>
        <v>0</v>
      </c>
      <c r="P88" s="59" t="str">
        <f t="shared" si="53"/>
        <v/>
      </c>
      <c r="Q88" s="59" t="str">
        <f t="shared" si="43"/>
        <v/>
      </c>
      <c r="R88" s="59" t="str">
        <f t="shared" si="44"/>
        <v>March 2021</v>
      </c>
      <c r="S88" s="61">
        <f t="shared" si="45"/>
        <v>44275</v>
      </c>
      <c r="Z88" s="62">
        <f t="shared" si="46"/>
        <v>44275</v>
      </c>
      <c r="AA88" s="63" t="s">
        <v>253</v>
      </c>
    </row>
    <row r="89" spans="2:27" x14ac:dyDescent="0.2">
      <c r="B89" s="58">
        <f t="shared" si="47"/>
        <v>44276</v>
      </c>
      <c r="C89" s="59" t="str">
        <f t="shared" si="35"/>
        <v>21</v>
      </c>
      <c r="D89" s="59" t="str">
        <f t="shared" si="36"/>
        <v>Sunday</v>
      </c>
      <c r="E89" s="59" t="str">
        <f t="shared" si="37"/>
        <v>March</v>
      </c>
      <c r="F89" s="59" t="str">
        <f t="shared" si="38"/>
        <v>2021</v>
      </c>
      <c r="G89" s="59" t="str">
        <f t="shared" si="48"/>
        <v>Week_12</v>
      </c>
      <c r="H89" s="59" t="str">
        <f t="shared" si="49"/>
        <v>March 2021</v>
      </c>
      <c r="I89" s="59" t="str">
        <f t="shared" si="50"/>
        <v>Week_12</v>
      </c>
      <c r="J89" s="60">
        <f t="shared" si="39"/>
        <v>44276</v>
      </c>
      <c r="K89" s="59">
        <f t="shared" si="51"/>
        <v>12</v>
      </c>
      <c r="L89" s="59">
        <f t="shared" si="40"/>
        <v>12</v>
      </c>
      <c r="M89" s="59" t="str">
        <f t="shared" si="41"/>
        <v>Week_</v>
      </c>
      <c r="N89" s="59" t="str">
        <f t="shared" si="42"/>
        <v>Week_12</v>
      </c>
      <c r="O89" s="59">
        <f t="shared" si="52"/>
        <v>0</v>
      </c>
      <c r="P89" s="59" t="str">
        <f t="shared" si="53"/>
        <v/>
      </c>
      <c r="Q89" s="59" t="str">
        <f t="shared" si="43"/>
        <v/>
      </c>
      <c r="R89" s="59" t="str">
        <f t="shared" si="44"/>
        <v>March 2021</v>
      </c>
      <c r="S89" s="61">
        <f t="shared" si="45"/>
        <v>44276</v>
      </c>
      <c r="Z89" s="62">
        <f t="shared" si="46"/>
        <v>44276</v>
      </c>
      <c r="AA89" s="63" t="s">
        <v>253</v>
      </c>
    </row>
    <row r="90" spans="2:27" x14ac:dyDescent="0.2">
      <c r="B90" s="58">
        <f t="shared" si="47"/>
        <v>44277</v>
      </c>
      <c r="C90" s="59" t="str">
        <f t="shared" si="35"/>
        <v>22</v>
      </c>
      <c r="D90" s="59" t="str">
        <f t="shared" si="36"/>
        <v>Monday</v>
      </c>
      <c r="E90" s="59" t="str">
        <f t="shared" si="37"/>
        <v>March</v>
      </c>
      <c r="F90" s="59" t="str">
        <f t="shared" si="38"/>
        <v>2021</v>
      </c>
      <c r="G90" s="59" t="str">
        <f t="shared" si="48"/>
        <v>Week_13</v>
      </c>
      <c r="H90" s="59" t="str">
        <f t="shared" si="49"/>
        <v>March 2021</v>
      </c>
      <c r="I90" s="59" t="str">
        <f t="shared" si="50"/>
        <v>Start WeekWeek_13</v>
      </c>
      <c r="J90" s="60">
        <f t="shared" si="39"/>
        <v>44277</v>
      </c>
      <c r="K90" s="59">
        <f t="shared" si="51"/>
        <v>13</v>
      </c>
      <c r="L90" s="59">
        <f t="shared" si="40"/>
        <v>13</v>
      </c>
      <c r="M90" s="59" t="str">
        <f t="shared" si="41"/>
        <v>Week_</v>
      </c>
      <c r="N90" s="59" t="str">
        <f t="shared" si="42"/>
        <v>Week_13</v>
      </c>
      <c r="O90" s="59">
        <f t="shared" si="52"/>
        <v>1</v>
      </c>
      <c r="P90" s="59" t="str">
        <f t="shared" si="53"/>
        <v>Start Week</v>
      </c>
      <c r="Q90" s="59" t="str">
        <f t="shared" si="43"/>
        <v/>
      </c>
      <c r="R90" s="59" t="str">
        <f t="shared" si="44"/>
        <v>March 2021</v>
      </c>
      <c r="S90" s="61">
        <f t="shared" si="45"/>
        <v>44277</v>
      </c>
      <c r="Z90" s="62">
        <f t="shared" si="46"/>
        <v>44277</v>
      </c>
      <c r="AA90" s="63" t="s">
        <v>253</v>
      </c>
    </row>
    <row r="91" spans="2:27" x14ac:dyDescent="0.2">
      <c r="B91" s="58">
        <f t="shared" si="47"/>
        <v>44278</v>
      </c>
      <c r="C91" s="59" t="str">
        <f t="shared" si="35"/>
        <v>23</v>
      </c>
      <c r="D91" s="59" t="str">
        <f t="shared" si="36"/>
        <v>Tuesday</v>
      </c>
      <c r="E91" s="59" t="str">
        <f t="shared" si="37"/>
        <v>March</v>
      </c>
      <c r="F91" s="59" t="str">
        <f t="shared" si="38"/>
        <v>2021</v>
      </c>
      <c r="G91" s="59" t="str">
        <f t="shared" si="48"/>
        <v>Week_13</v>
      </c>
      <c r="H91" s="59" t="str">
        <f t="shared" si="49"/>
        <v>March 2021</v>
      </c>
      <c r="I91" s="59" t="str">
        <f t="shared" si="50"/>
        <v>Week_13</v>
      </c>
      <c r="J91" s="60">
        <f t="shared" si="39"/>
        <v>44278</v>
      </c>
      <c r="K91" s="59">
        <f t="shared" si="51"/>
        <v>13</v>
      </c>
      <c r="L91" s="59">
        <f t="shared" si="40"/>
        <v>13</v>
      </c>
      <c r="M91" s="59" t="str">
        <f t="shared" si="41"/>
        <v>Week_</v>
      </c>
      <c r="N91" s="59" t="str">
        <f t="shared" si="42"/>
        <v>Week_13</v>
      </c>
      <c r="O91" s="59">
        <f t="shared" si="52"/>
        <v>0</v>
      </c>
      <c r="P91" s="59" t="str">
        <f t="shared" si="53"/>
        <v/>
      </c>
      <c r="Q91" s="59" t="str">
        <f t="shared" si="43"/>
        <v/>
      </c>
      <c r="R91" s="59" t="str">
        <f t="shared" si="44"/>
        <v>March 2021</v>
      </c>
      <c r="S91" s="61">
        <f t="shared" si="45"/>
        <v>44278</v>
      </c>
      <c r="Z91" s="62">
        <f t="shared" si="46"/>
        <v>44278</v>
      </c>
      <c r="AA91" s="63" t="s">
        <v>253</v>
      </c>
    </row>
    <row r="92" spans="2:27" x14ac:dyDescent="0.2">
      <c r="B92" s="58">
        <f t="shared" si="47"/>
        <v>44279</v>
      </c>
      <c r="C92" s="59" t="str">
        <f t="shared" si="35"/>
        <v>24</v>
      </c>
      <c r="D92" s="59" t="str">
        <f t="shared" si="36"/>
        <v>Wednesday</v>
      </c>
      <c r="E92" s="59" t="str">
        <f t="shared" si="37"/>
        <v>March</v>
      </c>
      <c r="F92" s="59" t="str">
        <f t="shared" si="38"/>
        <v>2021</v>
      </c>
      <c r="G92" s="59" t="str">
        <f t="shared" si="48"/>
        <v>Week_13</v>
      </c>
      <c r="H92" s="59" t="str">
        <f t="shared" si="49"/>
        <v>March 2021</v>
      </c>
      <c r="I92" s="59" t="str">
        <f t="shared" si="50"/>
        <v>Week_13</v>
      </c>
      <c r="J92" s="60">
        <f t="shared" si="39"/>
        <v>44279</v>
      </c>
      <c r="K92" s="59">
        <f t="shared" si="51"/>
        <v>13</v>
      </c>
      <c r="L92" s="59">
        <f t="shared" si="40"/>
        <v>13</v>
      </c>
      <c r="M92" s="59" t="str">
        <f t="shared" si="41"/>
        <v>Week_</v>
      </c>
      <c r="N92" s="59" t="str">
        <f t="shared" si="42"/>
        <v>Week_13</v>
      </c>
      <c r="O92" s="59">
        <f t="shared" si="52"/>
        <v>0</v>
      </c>
      <c r="P92" s="59" t="str">
        <f t="shared" si="53"/>
        <v/>
      </c>
      <c r="Q92" s="59" t="str">
        <f t="shared" si="43"/>
        <v/>
      </c>
      <c r="R92" s="59" t="str">
        <f t="shared" si="44"/>
        <v>March 2021</v>
      </c>
      <c r="S92" s="61">
        <f t="shared" si="45"/>
        <v>44279</v>
      </c>
      <c r="Z92" s="62">
        <f t="shared" si="46"/>
        <v>44279</v>
      </c>
      <c r="AA92" s="63" t="s">
        <v>253</v>
      </c>
    </row>
    <row r="93" spans="2:27" x14ac:dyDescent="0.2">
      <c r="B93" s="58">
        <f t="shared" si="47"/>
        <v>44280</v>
      </c>
      <c r="C93" s="59" t="str">
        <f t="shared" si="35"/>
        <v>25</v>
      </c>
      <c r="D93" s="59" t="str">
        <f t="shared" si="36"/>
        <v>Thursday</v>
      </c>
      <c r="E93" s="59" t="str">
        <f t="shared" si="37"/>
        <v>March</v>
      </c>
      <c r="F93" s="59" t="str">
        <f t="shared" si="38"/>
        <v>2021</v>
      </c>
      <c r="G93" s="59" t="str">
        <f t="shared" si="48"/>
        <v>Week_13</v>
      </c>
      <c r="H93" s="59" t="str">
        <f t="shared" si="49"/>
        <v>March 2021</v>
      </c>
      <c r="I93" s="59" t="str">
        <f t="shared" si="50"/>
        <v>Week_13</v>
      </c>
      <c r="J93" s="60">
        <f t="shared" si="39"/>
        <v>44280</v>
      </c>
      <c r="K93" s="59">
        <f t="shared" si="51"/>
        <v>13</v>
      </c>
      <c r="L93" s="59">
        <f t="shared" si="40"/>
        <v>13</v>
      </c>
      <c r="M93" s="59" t="str">
        <f t="shared" si="41"/>
        <v>Week_</v>
      </c>
      <c r="N93" s="59" t="str">
        <f t="shared" si="42"/>
        <v>Week_13</v>
      </c>
      <c r="O93" s="59">
        <f t="shared" si="52"/>
        <v>0</v>
      </c>
      <c r="P93" s="59" t="str">
        <f t="shared" si="53"/>
        <v/>
      </c>
      <c r="Q93" s="59" t="str">
        <f t="shared" si="43"/>
        <v/>
      </c>
      <c r="R93" s="59" t="str">
        <f t="shared" si="44"/>
        <v>March 2021</v>
      </c>
      <c r="S93" s="61">
        <f t="shared" si="45"/>
        <v>44280</v>
      </c>
      <c r="Z93" s="62">
        <f t="shared" si="46"/>
        <v>44280</v>
      </c>
      <c r="AA93" s="63" t="s">
        <v>253</v>
      </c>
    </row>
    <row r="94" spans="2:27" x14ac:dyDescent="0.2">
      <c r="B94" s="58">
        <f t="shared" si="47"/>
        <v>44281</v>
      </c>
      <c r="C94" s="59" t="str">
        <f t="shared" si="35"/>
        <v>26</v>
      </c>
      <c r="D94" s="59" t="str">
        <f t="shared" si="36"/>
        <v>Friday</v>
      </c>
      <c r="E94" s="59" t="str">
        <f t="shared" si="37"/>
        <v>March</v>
      </c>
      <c r="F94" s="59" t="str">
        <f t="shared" si="38"/>
        <v>2021</v>
      </c>
      <c r="G94" s="59" t="str">
        <f t="shared" si="48"/>
        <v>Week_13</v>
      </c>
      <c r="H94" s="59" t="str">
        <f t="shared" si="49"/>
        <v>March 2021</v>
      </c>
      <c r="I94" s="59" t="str">
        <f t="shared" si="50"/>
        <v>Week_13</v>
      </c>
      <c r="J94" s="60">
        <f t="shared" si="39"/>
        <v>44281</v>
      </c>
      <c r="K94" s="59">
        <f t="shared" si="51"/>
        <v>13</v>
      </c>
      <c r="L94" s="59">
        <f t="shared" si="40"/>
        <v>13</v>
      </c>
      <c r="M94" s="59" t="str">
        <f t="shared" si="41"/>
        <v>Week_</v>
      </c>
      <c r="N94" s="59" t="str">
        <f t="shared" si="42"/>
        <v>Week_13</v>
      </c>
      <c r="O94" s="59">
        <f t="shared" si="52"/>
        <v>0</v>
      </c>
      <c r="P94" s="59" t="str">
        <f t="shared" si="53"/>
        <v/>
      </c>
      <c r="Q94" s="59" t="str">
        <f t="shared" si="43"/>
        <v/>
      </c>
      <c r="R94" s="59" t="str">
        <f t="shared" si="44"/>
        <v>March 2021</v>
      </c>
      <c r="S94" s="61">
        <f t="shared" si="45"/>
        <v>44281</v>
      </c>
      <c r="Z94" s="62">
        <f t="shared" si="46"/>
        <v>44281</v>
      </c>
      <c r="AA94" s="63" t="s">
        <v>253</v>
      </c>
    </row>
    <row r="95" spans="2:27" x14ac:dyDescent="0.2">
      <c r="B95" s="58">
        <f t="shared" si="47"/>
        <v>44282</v>
      </c>
      <c r="C95" s="59" t="str">
        <f t="shared" si="35"/>
        <v>27</v>
      </c>
      <c r="D95" s="59" t="str">
        <f t="shared" si="36"/>
        <v>Saturday</v>
      </c>
      <c r="E95" s="59" t="str">
        <f t="shared" si="37"/>
        <v>March</v>
      </c>
      <c r="F95" s="59" t="str">
        <f t="shared" si="38"/>
        <v>2021</v>
      </c>
      <c r="G95" s="59" t="str">
        <f t="shared" si="48"/>
        <v>Week_13</v>
      </c>
      <c r="H95" s="59" t="str">
        <f t="shared" si="49"/>
        <v>March 2021</v>
      </c>
      <c r="I95" s="59" t="str">
        <f t="shared" si="50"/>
        <v>Week_13</v>
      </c>
      <c r="J95" s="60">
        <f t="shared" si="39"/>
        <v>44282</v>
      </c>
      <c r="K95" s="59">
        <f t="shared" si="51"/>
        <v>13</v>
      </c>
      <c r="L95" s="59">
        <f t="shared" si="40"/>
        <v>13</v>
      </c>
      <c r="M95" s="59" t="str">
        <f t="shared" si="41"/>
        <v>Week_</v>
      </c>
      <c r="N95" s="59" t="str">
        <f t="shared" si="42"/>
        <v>Week_13</v>
      </c>
      <c r="O95" s="59">
        <f t="shared" si="52"/>
        <v>0</v>
      </c>
      <c r="P95" s="59" t="str">
        <f t="shared" si="53"/>
        <v/>
      </c>
      <c r="Q95" s="59" t="str">
        <f t="shared" si="43"/>
        <v/>
      </c>
      <c r="R95" s="59" t="str">
        <f t="shared" si="44"/>
        <v>March 2021</v>
      </c>
      <c r="S95" s="61">
        <f t="shared" si="45"/>
        <v>44282</v>
      </c>
      <c r="Z95" s="62">
        <f t="shared" si="46"/>
        <v>44282</v>
      </c>
      <c r="AA95" s="63" t="s">
        <v>253</v>
      </c>
    </row>
    <row r="96" spans="2:27" x14ac:dyDescent="0.2">
      <c r="B96" s="58">
        <f t="shared" si="47"/>
        <v>44283</v>
      </c>
      <c r="C96" s="59" t="str">
        <f t="shared" si="35"/>
        <v>28</v>
      </c>
      <c r="D96" s="59" t="str">
        <f t="shared" si="36"/>
        <v>Sunday</v>
      </c>
      <c r="E96" s="59" t="str">
        <f t="shared" si="37"/>
        <v>March</v>
      </c>
      <c r="F96" s="59" t="str">
        <f t="shared" si="38"/>
        <v>2021</v>
      </c>
      <c r="G96" s="59" t="str">
        <f t="shared" si="48"/>
        <v>Week_13</v>
      </c>
      <c r="H96" s="59" t="str">
        <f t="shared" si="49"/>
        <v>March 2021</v>
      </c>
      <c r="I96" s="59" t="str">
        <f t="shared" si="50"/>
        <v>Week_13</v>
      </c>
      <c r="J96" s="60">
        <f t="shared" si="39"/>
        <v>44283</v>
      </c>
      <c r="K96" s="59">
        <f t="shared" si="51"/>
        <v>13</v>
      </c>
      <c r="L96" s="59">
        <f t="shared" si="40"/>
        <v>13</v>
      </c>
      <c r="M96" s="59" t="str">
        <f t="shared" si="41"/>
        <v>Week_</v>
      </c>
      <c r="N96" s="59" t="str">
        <f t="shared" si="42"/>
        <v>Week_13</v>
      </c>
      <c r="O96" s="59">
        <f t="shared" si="52"/>
        <v>0</v>
      </c>
      <c r="P96" s="59" t="str">
        <f t="shared" si="53"/>
        <v/>
      </c>
      <c r="Q96" s="59" t="str">
        <f t="shared" si="43"/>
        <v/>
      </c>
      <c r="R96" s="59" t="str">
        <f t="shared" si="44"/>
        <v>March 2021</v>
      </c>
      <c r="S96" s="61">
        <f t="shared" si="45"/>
        <v>44283</v>
      </c>
      <c r="Z96" s="62">
        <f t="shared" si="46"/>
        <v>44283</v>
      </c>
      <c r="AA96" s="63" t="s">
        <v>253</v>
      </c>
    </row>
    <row r="97" spans="2:27" x14ac:dyDescent="0.2">
      <c r="B97" s="58">
        <f t="shared" si="47"/>
        <v>44284</v>
      </c>
      <c r="C97" s="59" t="str">
        <f t="shared" si="35"/>
        <v>29</v>
      </c>
      <c r="D97" s="59" t="str">
        <f t="shared" si="36"/>
        <v>Monday</v>
      </c>
      <c r="E97" s="59" t="str">
        <f t="shared" si="37"/>
        <v>March</v>
      </c>
      <c r="F97" s="59" t="str">
        <f t="shared" si="38"/>
        <v>2021</v>
      </c>
      <c r="G97" s="59" t="str">
        <f t="shared" si="48"/>
        <v>Week_14</v>
      </c>
      <c r="H97" s="59" t="str">
        <f t="shared" si="49"/>
        <v>March 2021</v>
      </c>
      <c r="I97" s="59" t="str">
        <f t="shared" si="50"/>
        <v>Start WeekWeek_14</v>
      </c>
      <c r="J97" s="60">
        <f t="shared" si="39"/>
        <v>44284</v>
      </c>
      <c r="K97" s="59">
        <f t="shared" si="51"/>
        <v>14</v>
      </c>
      <c r="L97" s="59">
        <f t="shared" si="40"/>
        <v>14</v>
      </c>
      <c r="M97" s="59" t="str">
        <f t="shared" si="41"/>
        <v>Week_</v>
      </c>
      <c r="N97" s="59" t="str">
        <f t="shared" si="42"/>
        <v>Week_14</v>
      </c>
      <c r="O97" s="59">
        <f t="shared" si="52"/>
        <v>1</v>
      </c>
      <c r="P97" s="59" t="str">
        <f t="shared" si="53"/>
        <v>Start Week</v>
      </c>
      <c r="Q97" s="59" t="str">
        <f t="shared" si="43"/>
        <v/>
      </c>
      <c r="R97" s="59" t="str">
        <f t="shared" si="44"/>
        <v>March 2021</v>
      </c>
      <c r="S97" s="61">
        <f t="shared" si="45"/>
        <v>44284</v>
      </c>
      <c r="Z97" s="62">
        <f t="shared" si="46"/>
        <v>44284</v>
      </c>
      <c r="AA97" s="63" t="s">
        <v>253</v>
      </c>
    </row>
    <row r="98" spans="2:27" x14ac:dyDescent="0.2">
      <c r="B98" s="58">
        <f t="shared" si="47"/>
        <v>44285</v>
      </c>
      <c r="C98" s="59" t="str">
        <f t="shared" si="35"/>
        <v>30</v>
      </c>
      <c r="D98" s="59" t="str">
        <f t="shared" si="36"/>
        <v>Tuesday</v>
      </c>
      <c r="E98" s="59" t="str">
        <f t="shared" si="37"/>
        <v>March</v>
      </c>
      <c r="F98" s="59" t="str">
        <f t="shared" si="38"/>
        <v>2021</v>
      </c>
      <c r="G98" s="59" t="str">
        <f t="shared" si="48"/>
        <v>Week_14</v>
      </c>
      <c r="H98" s="59" t="str">
        <f t="shared" si="49"/>
        <v>March 2021</v>
      </c>
      <c r="I98" s="59" t="str">
        <f t="shared" si="50"/>
        <v>Week_14</v>
      </c>
      <c r="J98" s="60">
        <f t="shared" si="39"/>
        <v>44285</v>
      </c>
      <c r="K98" s="59">
        <f t="shared" si="51"/>
        <v>14</v>
      </c>
      <c r="L98" s="59">
        <f t="shared" si="40"/>
        <v>14</v>
      </c>
      <c r="M98" s="59" t="str">
        <f t="shared" si="41"/>
        <v>Week_</v>
      </c>
      <c r="N98" s="59" t="str">
        <f t="shared" si="42"/>
        <v>Week_14</v>
      </c>
      <c r="O98" s="59">
        <f t="shared" si="52"/>
        <v>0</v>
      </c>
      <c r="P98" s="59" t="str">
        <f t="shared" si="53"/>
        <v/>
      </c>
      <c r="Q98" s="59" t="str">
        <f t="shared" si="43"/>
        <v/>
      </c>
      <c r="R98" s="59" t="str">
        <f t="shared" si="44"/>
        <v>March 2021</v>
      </c>
      <c r="S98" s="61">
        <f t="shared" si="45"/>
        <v>44285</v>
      </c>
      <c r="Z98" s="62">
        <f t="shared" si="46"/>
        <v>44285</v>
      </c>
      <c r="AA98" s="63" t="s">
        <v>253</v>
      </c>
    </row>
    <row r="99" spans="2:27" x14ac:dyDescent="0.2">
      <c r="B99" s="58">
        <f t="shared" si="47"/>
        <v>44286</v>
      </c>
      <c r="C99" s="59" t="str">
        <f t="shared" si="35"/>
        <v>31</v>
      </c>
      <c r="D99" s="59" t="str">
        <f t="shared" si="36"/>
        <v>Wednesday</v>
      </c>
      <c r="E99" s="59" t="str">
        <f t="shared" si="37"/>
        <v>March</v>
      </c>
      <c r="F99" s="59" t="str">
        <f t="shared" si="38"/>
        <v>2021</v>
      </c>
      <c r="G99" s="59" t="str">
        <f t="shared" si="48"/>
        <v>Week_14</v>
      </c>
      <c r="H99" s="59" t="str">
        <f t="shared" si="49"/>
        <v>March 2021</v>
      </c>
      <c r="I99" s="59" t="str">
        <f t="shared" si="50"/>
        <v>Week_14</v>
      </c>
      <c r="J99" s="60">
        <f t="shared" si="39"/>
        <v>44286</v>
      </c>
      <c r="K99" s="59">
        <f t="shared" si="51"/>
        <v>14</v>
      </c>
      <c r="L99" s="59">
        <f t="shared" si="40"/>
        <v>14</v>
      </c>
      <c r="M99" s="59" t="str">
        <f t="shared" si="41"/>
        <v>Week_</v>
      </c>
      <c r="N99" s="59" t="str">
        <f t="shared" si="42"/>
        <v>Week_14</v>
      </c>
      <c r="O99" s="59">
        <f t="shared" si="52"/>
        <v>0</v>
      </c>
      <c r="P99" s="59" t="str">
        <f t="shared" si="53"/>
        <v/>
      </c>
      <c r="Q99" s="59" t="str">
        <f t="shared" si="43"/>
        <v/>
      </c>
      <c r="R99" s="59" t="str">
        <f t="shared" si="44"/>
        <v>March 2021</v>
      </c>
      <c r="S99" s="61">
        <f t="shared" si="45"/>
        <v>44286</v>
      </c>
      <c r="Z99" s="62">
        <f t="shared" si="46"/>
        <v>44286</v>
      </c>
      <c r="AA99" s="63" t="s">
        <v>253</v>
      </c>
    </row>
    <row r="100" spans="2:27" x14ac:dyDescent="0.2">
      <c r="B100" s="58">
        <f t="shared" si="47"/>
        <v>44287</v>
      </c>
      <c r="C100" s="59" t="str">
        <f t="shared" si="35"/>
        <v>01</v>
      </c>
      <c r="D100" s="59" t="str">
        <f t="shared" si="36"/>
        <v>Thursday</v>
      </c>
      <c r="E100" s="59" t="str">
        <f t="shared" si="37"/>
        <v>April</v>
      </c>
      <c r="F100" s="59" t="str">
        <f t="shared" si="38"/>
        <v>2021</v>
      </c>
      <c r="G100" s="59" t="str">
        <f t="shared" si="48"/>
        <v>Week_14</v>
      </c>
      <c r="H100" s="59" t="str">
        <f t="shared" si="49"/>
        <v>April 2021</v>
      </c>
      <c r="I100" s="59" t="str">
        <f t="shared" si="50"/>
        <v>Week_14</v>
      </c>
      <c r="J100" s="60">
        <f t="shared" si="39"/>
        <v>44287</v>
      </c>
      <c r="K100" s="59">
        <f t="shared" si="51"/>
        <v>14</v>
      </c>
      <c r="L100" s="59">
        <f t="shared" si="40"/>
        <v>14</v>
      </c>
      <c r="M100" s="59" t="str">
        <f t="shared" si="41"/>
        <v>Week_</v>
      </c>
      <c r="N100" s="59" t="str">
        <f t="shared" si="42"/>
        <v>Week_14</v>
      </c>
      <c r="O100" s="59">
        <f t="shared" si="52"/>
        <v>0</v>
      </c>
      <c r="P100" s="59" t="str">
        <f t="shared" si="53"/>
        <v/>
      </c>
      <c r="Q100" s="59" t="str">
        <f t="shared" si="43"/>
        <v>Start Month</v>
      </c>
      <c r="R100" s="59" t="str">
        <f t="shared" si="44"/>
        <v>Start MonthApril 2021</v>
      </c>
      <c r="S100" s="61">
        <f t="shared" si="45"/>
        <v>44287</v>
      </c>
      <c r="Z100" s="62">
        <f t="shared" si="46"/>
        <v>44287</v>
      </c>
      <c r="AA100" s="63" t="s">
        <v>253</v>
      </c>
    </row>
    <row r="101" spans="2:27" x14ac:dyDescent="0.2">
      <c r="B101" s="58">
        <f t="shared" si="47"/>
        <v>44288</v>
      </c>
      <c r="C101" s="59" t="str">
        <f t="shared" si="35"/>
        <v>02</v>
      </c>
      <c r="D101" s="59" t="str">
        <f t="shared" si="36"/>
        <v>Friday</v>
      </c>
      <c r="E101" s="59" t="str">
        <f t="shared" si="37"/>
        <v>April</v>
      </c>
      <c r="F101" s="59" t="str">
        <f t="shared" si="38"/>
        <v>2021</v>
      </c>
      <c r="G101" s="59" t="str">
        <f t="shared" si="48"/>
        <v>Week_14</v>
      </c>
      <c r="H101" s="59" t="str">
        <f t="shared" si="49"/>
        <v>April 2021</v>
      </c>
      <c r="I101" s="59" t="str">
        <f t="shared" si="50"/>
        <v>Week_14</v>
      </c>
      <c r="J101" s="60">
        <f t="shared" si="39"/>
        <v>44288</v>
      </c>
      <c r="K101" s="59">
        <f t="shared" si="51"/>
        <v>14</v>
      </c>
      <c r="L101" s="59">
        <f t="shared" si="40"/>
        <v>14</v>
      </c>
      <c r="M101" s="59" t="str">
        <f t="shared" si="41"/>
        <v>Week_</v>
      </c>
      <c r="N101" s="59" t="str">
        <f t="shared" si="42"/>
        <v>Week_14</v>
      </c>
      <c r="O101" s="59">
        <f t="shared" si="52"/>
        <v>0</v>
      </c>
      <c r="P101" s="59" t="str">
        <f t="shared" si="53"/>
        <v/>
      </c>
      <c r="Q101" s="59" t="str">
        <f t="shared" si="43"/>
        <v/>
      </c>
      <c r="R101" s="59" t="str">
        <f t="shared" si="44"/>
        <v>April 2021</v>
      </c>
      <c r="S101" s="61">
        <f t="shared" si="45"/>
        <v>44288</v>
      </c>
      <c r="Z101" s="62">
        <f t="shared" si="46"/>
        <v>44288</v>
      </c>
      <c r="AA101" s="63" t="s">
        <v>253</v>
      </c>
    </row>
    <row r="102" spans="2:27" x14ac:dyDescent="0.2">
      <c r="B102" s="58">
        <f t="shared" si="47"/>
        <v>44289</v>
      </c>
      <c r="C102" s="59" t="str">
        <f t="shared" si="35"/>
        <v>03</v>
      </c>
      <c r="D102" s="59" t="str">
        <f t="shared" si="36"/>
        <v>Saturday</v>
      </c>
      <c r="E102" s="59" t="str">
        <f t="shared" si="37"/>
        <v>April</v>
      </c>
      <c r="F102" s="59" t="str">
        <f t="shared" si="38"/>
        <v>2021</v>
      </c>
      <c r="G102" s="59" t="str">
        <f t="shared" si="48"/>
        <v>Week_14</v>
      </c>
      <c r="H102" s="59" t="str">
        <f t="shared" si="49"/>
        <v>April 2021</v>
      </c>
      <c r="I102" s="59" t="str">
        <f t="shared" si="50"/>
        <v>Week_14</v>
      </c>
      <c r="J102" s="60">
        <f t="shared" si="39"/>
        <v>44289</v>
      </c>
      <c r="K102" s="59">
        <f t="shared" si="51"/>
        <v>14</v>
      </c>
      <c r="L102" s="59">
        <f t="shared" si="40"/>
        <v>14</v>
      </c>
      <c r="M102" s="59" t="str">
        <f t="shared" si="41"/>
        <v>Week_</v>
      </c>
      <c r="N102" s="59" t="str">
        <f t="shared" si="42"/>
        <v>Week_14</v>
      </c>
      <c r="O102" s="59">
        <f t="shared" si="52"/>
        <v>0</v>
      </c>
      <c r="P102" s="59" t="str">
        <f t="shared" si="53"/>
        <v/>
      </c>
      <c r="Q102" s="59" t="str">
        <f t="shared" si="43"/>
        <v/>
      </c>
      <c r="R102" s="59" t="str">
        <f t="shared" si="44"/>
        <v>April 2021</v>
      </c>
      <c r="S102" s="61">
        <f t="shared" si="45"/>
        <v>44289</v>
      </c>
      <c r="Z102" s="62">
        <f t="shared" si="46"/>
        <v>44289</v>
      </c>
      <c r="AA102" s="63" t="s">
        <v>253</v>
      </c>
    </row>
    <row r="103" spans="2:27" x14ac:dyDescent="0.2">
      <c r="B103" s="58">
        <f t="shared" si="47"/>
        <v>44290</v>
      </c>
      <c r="C103" s="59" t="str">
        <f t="shared" si="35"/>
        <v>04</v>
      </c>
      <c r="D103" s="59" t="str">
        <f t="shared" si="36"/>
        <v>Sunday</v>
      </c>
      <c r="E103" s="59" t="str">
        <f t="shared" si="37"/>
        <v>April</v>
      </c>
      <c r="F103" s="59" t="str">
        <f t="shared" si="38"/>
        <v>2021</v>
      </c>
      <c r="G103" s="59" t="str">
        <f t="shared" si="48"/>
        <v>Week_14</v>
      </c>
      <c r="H103" s="59" t="str">
        <f t="shared" si="49"/>
        <v>April 2021</v>
      </c>
      <c r="I103" s="59" t="str">
        <f t="shared" si="50"/>
        <v>Week_14</v>
      </c>
      <c r="J103" s="60">
        <f t="shared" si="39"/>
        <v>44290</v>
      </c>
      <c r="K103" s="59">
        <f t="shared" si="51"/>
        <v>14</v>
      </c>
      <c r="L103" s="59">
        <f t="shared" si="40"/>
        <v>14</v>
      </c>
      <c r="M103" s="59" t="str">
        <f t="shared" si="41"/>
        <v>Week_</v>
      </c>
      <c r="N103" s="59" t="str">
        <f t="shared" si="42"/>
        <v>Week_14</v>
      </c>
      <c r="O103" s="59">
        <f t="shared" si="52"/>
        <v>0</v>
      </c>
      <c r="P103" s="59" t="str">
        <f t="shared" si="53"/>
        <v/>
      </c>
      <c r="Q103" s="59" t="str">
        <f t="shared" si="43"/>
        <v/>
      </c>
      <c r="R103" s="59" t="str">
        <f t="shared" si="44"/>
        <v>April 2021</v>
      </c>
      <c r="S103" s="61">
        <f t="shared" si="45"/>
        <v>44290</v>
      </c>
      <c r="Z103" s="62">
        <f t="shared" si="46"/>
        <v>44290</v>
      </c>
      <c r="AA103" s="63" t="s">
        <v>253</v>
      </c>
    </row>
    <row r="104" spans="2:27" x14ac:dyDescent="0.2">
      <c r="B104" s="58">
        <f t="shared" si="47"/>
        <v>44291</v>
      </c>
      <c r="C104" s="59" t="str">
        <f t="shared" si="35"/>
        <v>05</v>
      </c>
      <c r="D104" s="59" t="str">
        <f t="shared" si="36"/>
        <v>Monday</v>
      </c>
      <c r="E104" s="59" t="str">
        <f t="shared" si="37"/>
        <v>April</v>
      </c>
      <c r="F104" s="59" t="str">
        <f t="shared" si="38"/>
        <v>2021</v>
      </c>
      <c r="G104" s="59" t="str">
        <f t="shared" si="48"/>
        <v>Week_15</v>
      </c>
      <c r="H104" s="59" t="str">
        <f t="shared" si="49"/>
        <v>April 2021</v>
      </c>
      <c r="I104" s="59" t="str">
        <f t="shared" si="50"/>
        <v>Start WeekWeek_15</v>
      </c>
      <c r="J104" s="60">
        <f t="shared" si="39"/>
        <v>44291</v>
      </c>
      <c r="K104" s="59">
        <f t="shared" si="51"/>
        <v>15</v>
      </c>
      <c r="L104" s="59">
        <f t="shared" si="40"/>
        <v>15</v>
      </c>
      <c r="M104" s="59" t="str">
        <f t="shared" si="41"/>
        <v>Week_</v>
      </c>
      <c r="N104" s="59" t="str">
        <f t="shared" si="42"/>
        <v>Week_15</v>
      </c>
      <c r="O104" s="59">
        <f t="shared" si="52"/>
        <v>1</v>
      </c>
      <c r="P104" s="59" t="str">
        <f t="shared" si="53"/>
        <v>Start Week</v>
      </c>
      <c r="Q104" s="59" t="str">
        <f t="shared" si="43"/>
        <v/>
      </c>
      <c r="R104" s="59" t="str">
        <f t="shared" si="44"/>
        <v>April 2021</v>
      </c>
      <c r="S104" s="61">
        <f t="shared" si="45"/>
        <v>44291</v>
      </c>
      <c r="Z104" s="62">
        <f t="shared" si="46"/>
        <v>44291</v>
      </c>
      <c r="AA104" s="63" t="s">
        <v>253</v>
      </c>
    </row>
    <row r="105" spans="2:27" x14ac:dyDescent="0.2">
      <c r="B105" s="58">
        <f t="shared" si="47"/>
        <v>44292</v>
      </c>
      <c r="C105" s="59" t="str">
        <f t="shared" si="35"/>
        <v>06</v>
      </c>
      <c r="D105" s="59" t="str">
        <f t="shared" si="36"/>
        <v>Tuesday</v>
      </c>
      <c r="E105" s="59" t="str">
        <f t="shared" si="37"/>
        <v>April</v>
      </c>
      <c r="F105" s="59" t="str">
        <f t="shared" si="38"/>
        <v>2021</v>
      </c>
      <c r="G105" s="59" t="str">
        <f t="shared" si="48"/>
        <v>Week_15</v>
      </c>
      <c r="H105" s="59" t="str">
        <f t="shared" si="49"/>
        <v>April 2021</v>
      </c>
      <c r="I105" s="59" t="str">
        <f t="shared" si="50"/>
        <v>Week_15</v>
      </c>
      <c r="J105" s="60">
        <f t="shared" si="39"/>
        <v>44292</v>
      </c>
      <c r="K105" s="59">
        <f t="shared" si="51"/>
        <v>15</v>
      </c>
      <c r="L105" s="59">
        <f t="shared" si="40"/>
        <v>15</v>
      </c>
      <c r="M105" s="59" t="str">
        <f t="shared" si="41"/>
        <v>Week_</v>
      </c>
      <c r="N105" s="59" t="str">
        <f t="shared" si="42"/>
        <v>Week_15</v>
      </c>
      <c r="O105" s="59">
        <f t="shared" si="52"/>
        <v>0</v>
      </c>
      <c r="P105" s="59" t="str">
        <f t="shared" si="53"/>
        <v/>
      </c>
      <c r="Q105" s="59" t="str">
        <f t="shared" si="43"/>
        <v/>
      </c>
      <c r="R105" s="59" t="str">
        <f t="shared" si="44"/>
        <v>April 2021</v>
      </c>
      <c r="S105" s="61">
        <f t="shared" si="45"/>
        <v>44292</v>
      </c>
      <c r="Z105" s="62">
        <f t="shared" si="46"/>
        <v>44292</v>
      </c>
      <c r="AA105" s="63" t="s">
        <v>253</v>
      </c>
    </row>
    <row r="106" spans="2:27" x14ac:dyDescent="0.2">
      <c r="B106" s="58">
        <f t="shared" si="47"/>
        <v>44293</v>
      </c>
      <c r="C106" s="59" t="str">
        <f t="shared" si="35"/>
        <v>07</v>
      </c>
      <c r="D106" s="59" t="str">
        <f t="shared" si="36"/>
        <v>Wednesday</v>
      </c>
      <c r="E106" s="59" t="str">
        <f t="shared" si="37"/>
        <v>April</v>
      </c>
      <c r="F106" s="59" t="str">
        <f t="shared" si="38"/>
        <v>2021</v>
      </c>
      <c r="G106" s="59" t="str">
        <f t="shared" si="48"/>
        <v>Week_15</v>
      </c>
      <c r="H106" s="59" t="str">
        <f t="shared" si="49"/>
        <v>April 2021</v>
      </c>
      <c r="I106" s="59" t="str">
        <f t="shared" si="50"/>
        <v>Week_15</v>
      </c>
      <c r="J106" s="60">
        <f t="shared" si="39"/>
        <v>44293</v>
      </c>
      <c r="K106" s="59">
        <f t="shared" si="51"/>
        <v>15</v>
      </c>
      <c r="L106" s="59">
        <f t="shared" si="40"/>
        <v>15</v>
      </c>
      <c r="M106" s="59" t="str">
        <f t="shared" si="41"/>
        <v>Week_</v>
      </c>
      <c r="N106" s="59" t="str">
        <f t="shared" si="42"/>
        <v>Week_15</v>
      </c>
      <c r="O106" s="59">
        <f t="shared" si="52"/>
        <v>0</v>
      </c>
      <c r="P106" s="59" t="str">
        <f t="shared" si="53"/>
        <v/>
      </c>
      <c r="Q106" s="59" t="str">
        <f t="shared" si="43"/>
        <v/>
      </c>
      <c r="R106" s="59" t="str">
        <f t="shared" si="44"/>
        <v>April 2021</v>
      </c>
      <c r="S106" s="61">
        <f t="shared" si="45"/>
        <v>44293</v>
      </c>
      <c r="Z106" s="62">
        <f t="shared" si="46"/>
        <v>44293</v>
      </c>
      <c r="AA106" s="63" t="s">
        <v>253</v>
      </c>
    </row>
    <row r="107" spans="2:27" x14ac:dyDescent="0.2">
      <c r="B107" s="58">
        <f t="shared" si="47"/>
        <v>44294</v>
      </c>
      <c r="C107" s="59" t="str">
        <f t="shared" si="35"/>
        <v>08</v>
      </c>
      <c r="D107" s="59" t="str">
        <f t="shared" si="36"/>
        <v>Thursday</v>
      </c>
      <c r="E107" s="59" t="str">
        <f t="shared" si="37"/>
        <v>April</v>
      </c>
      <c r="F107" s="59" t="str">
        <f t="shared" si="38"/>
        <v>2021</v>
      </c>
      <c r="G107" s="59" t="str">
        <f t="shared" si="48"/>
        <v>Week_15</v>
      </c>
      <c r="H107" s="59" t="str">
        <f t="shared" si="49"/>
        <v>April 2021</v>
      </c>
      <c r="I107" s="59" t="str">
        <f t="shared" si="50"/>
        <v>Week_15</v>
      </c>
      <c r="J107" s="60">
        <f t="shared" si="39"/>
        <v>44294</v>
      </c>
      <c r="K107" s="59">
        <f t="shared" si="51"/>
        <v>15</v>
      </c>
      <c r="L107" s="59">
        <f t="shared" si="40"/>
        <v>15</v>
      </c>
      <c r="M107" s="59" t="str">
        <f t="shared" si="41"/>
        <v>Week_</v>
      </c>
      <c r="N107" s="59" t="str">
        <f t="shared" si="42"/>
        <v>Week_15</v>
      </c>
      <c r="O107" s="59">
        <f t="shared" si="52"/>
        <v>0</v>
      </c>
      <c r="P107" s="59" t="str">
        <f t="shared" si="53"/>
        <v/>
      </c>
      <c r="Q107" s="59" t="str">
        <f t="shared" si="43"/>
        <v/>
      </c>
      <c r="R107" s="59" t="str">
        <f t="shared" si="44"/>
        <v>April 2021</v>
      </c>
      <c r="S107" s="61">
        <f t="shared" si="45"/>
        <v>44294</v>
      </c>
      <c r="Z107" s="62">
        <f t="shared" si="46"/>
        <v>44294</v>
      </c>
      <c r="AA107" s="63" t="s">
        <v>253</v>
      </c>
    </row>
    <row r="108" spans="2:27" x14ac:dyDescent="0.2">
      <c r="B108" s="58">
        <f t="shared" si="47"/>
        <v>44295</v>
      </c>
      <c r="C108" s="59" t="str">
        <f t="shared" si="35"/>
        <v>09</v>
      </c>
      <c r="D108" s="59" t="str">
        <f t="shared" si="36"/>
        <v>Friday</v>
      </c>
      <c r="E108" s="59" t="str">
        <f t="shared" si="37"/>
        <v>April</v>
      </c>
      <c r="F108" s="59" t="str">
        <f t="shared" si="38"/>
        <v>2021</v>
      </c>
      <c r="G108" s="59" t="str">
        <f t="shared" si="48"/>
        <v>Week_15</v>
      </c>
      <c r="H108" s="59" t="str">
        <f t="shared" si="49"/>
        <v>April 2021</v>
      </c>
      <c r="I108" s="59" t="str">
        <f t="shared" si="50"/>
        <v>Week_15</v>
      </c>
      <c r="J108" s="60">
        <f t="shared" si="39"/>
        <v>44295</v>
      </c>
      <c r="K108" s="59">
        <f t="shared" si="51"/>
        <v>15</v>
      </c>
      <c r="L108" s="59">
        <f t="shared" si="40"/>
        <v>15</v>
      </c>
      <c r="M108" s="59" t="str">
        <f t="shared" si="41"/>
        <v>Week_</v>
      </c>
      <c r="N108" s="59" t="str">
        <f t="shared" si="42"/>
        <v>Week_15</v>
      </c>
      <c r="O108" s="59">
        <f t="shared" si="52"/>
        <v>0</v>
      </c>
      <c r="P108" s="59" t="str">
        <f t="shared" si="53"/>
        <v/>
      </c>
      <c r="Q108" s="59" t="str">
        <f t="shared" si="43"/>
        <v/>
      </c>
      <c r="R108" s="59" t="str">
        <f t="shared" si="44"/>
        <v>April 2021</v>
      </c>
      <c r="S108" s="61">
        <f t="shared" si="45"/>
        <v>44295</v>
      </c>
      <c r="Z108" s="62">
        <f t="shared" si="46"/>
        <v>44295</v>
      </c>
      <c r="AA108" s="63" t="s">
        <v>253</v>
      </c>
    </row>
    <row r="109" spans="2:27" x14ac:dyDescent="0.2">
      <c r="B109" s="58">
        <f t="shared" si="47"/>
        <v>44296</v>
      </c>
      <c r="C109" s="59" t="str">
        <f t="shared" si="35"/>
        <v>10</v>
      </c>
      <c r="D109" s="59" t="str">
        <f t="shared" si="36"/>
        <v>Saturday</v>
      </c>
      <c r="E109" s="59" t="str">
        <f t="shared" si="37"/>
        <v>April</v>
      </c>
      <c r="F109" s="59" t="str">
        <f t="shared" si="38"/>
        <v>2021</v>
      </c>
      <c r="G109" s="59" t="str">
        <f t="shared" si="48"/>
        <v>Week_15</v>
      </c>
      <c r="H109" s="59" t="str">
        <f t="shared" si="49"/>
        <v>April 2021</v>
      </c>
      <c r="I109" s="59" t="str">
        <f t="shared" si="50"/>
        <v>Week_15</v>
      </c>
      <c r="J109" s="60">
        <f t="shared" si="39"/>
        <v>44296</v>
      </c>
      <c r="K109" s="59">
        <f t="shared" si="51"/>
        <v>15</v>
      </c>
      <c r="L109" s="59">
        <f t="shared" si="40"/>
        <v>15</v>
      </c>
      <c r="M109" s="59" t="str">
        <f t="shared" si="41"/>
        <v>Week_</v>
      </c>
      <c r="N109" s="59" t="str">
        <f t="shared" si="42"/>
        <v>Week_15</v>
      </c>
      <c r="O109" s="59">
        <f t="shared" si="52"/>
        <v>0</v>
      </c>
      <c r="P109" s="59" t="str">
        <f t="shared" si="53"/>
        <v/>
      </c>
      <c r="Q109" s="59" t="str">
        <f t="shared" si="43"/>
        <v/>
      </c>
      <c r="R109" s="59" t="str">
        <f t="shared" si="44"/>
        <v>April 2021</v>
      </c>
      <c r="S109" s="61">
        <f t="shared" si="45"/>
        <v>44296</v>
      </c>
      <c r="Z109" s="62">
        <f t="shared" si="46"/>
        <v>44296</v>
      </c>
      <c r="AA109" s="63" t="s">
        <v>253</v>
      </c>
    </row>
    <row r="110" spans="2:27" x14ac:dyDescent="0.2">
      <c r="B110" s="58">
        <f t="shared" si="47"/>
        <v>44297</v>
      </c>
      <c r="C110" s="59" t="str">
        <f t="shared" si="35"/>
        <v>11</v>
      </c>
      <c r="D110" s="59" t="str">
        <f t="shared" si="36"/>
        <v>Sunday</v>
      </c>
      <c r="E110" s="59" t="str">
        <f t="shared" si="37"/>
        <v>April</v>
      </c>
      <c r="F110" s="59" t="str">
        <f t="shared" si="38"/>
        <v>2021</v>
      </c>
      <c r="G110" s="59" t="str">
        <f t="shared" si="48"/>
        <v>Week_15</v>
      </c>
      <c r="H110" s="59" t="str">
        <f t="shared" si="49"/>
        <v>April 2021</v>
      </c>
      <c r="I110" s="59" t="str">
        <f t="shared" si="50"/>
        <v>Week_15</v>
      </c>
      <c r="J110" s="60">
        <f t="shared" si="39"/>
        <v>44297</v>
      </c>
      <c r="K110" s="59">
        <f t="shared" si="51"/>
        <v>15</v>
      </c>
      <c r="L110" s="59">
        <f t="shared" si="40"/>
        <v>15</v>
      </c>
      <c r="M110" s="59" t="str">
        <f t="shared" si="41"/>
        <v>Week_</v>
      </c>
      <c r="N110" s="59" t="str">
        <f t="shared" si="42"/>
        <v>Week_15</v>
      </c>
      <c r="O110" s="59">
        <f t="shared" si="52"/>
        <v>0</v>
      </c>
      <c r="P110" s="59" t="str">
        <f t="shared" si="53"/>
        <v/>
      </c>
      <c r="Q110" s="59" t="str">
        <f t="shared" si="43"/>
        <v/>
      </c>
      <c r="R110" s="59" t="str">
        <f t="shared" si="44"/>
        <v>April 2021</v>
      </c>
      <c r="S110" s="61">
        <f t="shared" si="45"/>
        <v>44297</v>
      </c>
      <c r="Z110" s="62">
        <f t="shared" si="46"/>
        <v>44297</v>
      </c>
      <c r="AA110" s="63" t="s">
        <v>253</v>
      </c>
    </row>
    <row r="111" spans="2:27" x14ac:dyDescent="0.2">
      <c r="B111" s="58">
        <f t="shared" si="47"/>
        <v>44298</v>
      </c>
      <c r="C111" s="59" t="str">
        <f t="shared" si="35"/>
        <v>12</v>
      </c>
      <c r="D111" s="59" t="str">
        <f t="shared" si="36"/>
        <v>Monday</v>
      </c>
      <c r="E111" s="59" t="str">
        <f t="shared" si="37"/>
        <v>April</v>
      </c>
      <c r="F111" s="59" t="str">
        <f t="shared" si="38"/>
        <v>2021</v>
      </c>
      <c r="G111" s="59" t="str">
        <f t="shared" si="48"/>
        <v>Week_16</v>
      </c>
      <c r="H111" s="59" t="str">
        <f t="shared" si="49"/>
        <v>April 2021</v>
      </c>
      <c r="I111" s="59" t="str">
        <f t="shared" si="50"/>
        <v>Start WeekWeek_16</v>
      </c>
      <c r="J111" s="60">
        <f t="shared" si="39"/>
        <v>44298</v>
      </c>
      <c r="K111" s="59">
        <f t="shared" si="51"/>
        <v>16</v>
      </c>
      <c r="L111" s="59">
        <f t="shared" si="40"/>
        <v>16</v>
      </c>
      <c r="M111" s="59" t="str">
        <f t="shared" si="41"/>
        <v>Week_</v>
      </c>
      <c r="N111" s="59" t="str">
        <f t="shared" si="42"/>
        <v>Week_16</v>
      </c>
      <c r="O111" s="59">
        <f t="shared" si="52"/>
        <v>1</v>
      </c>
      <c r="P111" s="59" t="str">
        <f t="shared" si="53"/>
        <v>Start Week</v>
      </c>
      <c r="Q111" s="59" t="str">
        <f t="shared" si="43"/>
        <v/>
      </c>
      <c r="R111" s="59" t="str">
        <f t="shared" si="44"/>
        <v>April 2021</v>
      </c>
      <c r="S111" s="61">
        <f t="shared" si="45"/>
        <v>44298</v>
      </c>
      <c r="Z111" s="62">
        <f t="shared" si="46"/>
        <v>44298</v>
      </c>
      <c r="AA111" s="63" t="s">
        <v>253</v>
      </c>
    </row>
    <row r="112" spans="2:27" x14ac:dyDescent="0.2">
      <c r="B112" s="58">
        <f t="shared" si="47"/>
        <v>44299</v>
      </c>
      <c r="C112" s="59" t="str">
        <f t="shared" si="35"/>
        <v>13</v>
      </c>
      <c r="D112" s="59" t="str">
        <f t="shared" si="36"/>
        <v>Tuesday</v>
      </c>
      <c r="E112" s="59" t="str">
        <f t="shared" si="37"/>
        <v>April</v>
      </c>
      <c r="F112" s="59" t="str">
        <f t="shared" si="38"/>
        <v>2021</v>
      </c>
      <c r="G112" s="59" t="str">
        <f t="shared" si="48"/>
        <v>Week_16</v>
      </c>
      <c r="H112" s="59" t="str">
        <f t="shared" si="49"/>
        <v>April 2021</v>
      </c>
      <c r="I112" s="59" t="str">
        <f t="shared" si="50"/>
        <v>Week_16</v>
      </c>
      <c r="J112" s="60">
        <f t="shared" si="39"/>
        <v>44299</v>
      </c>
      <c r="K112" s="59">
        <f t="shared" si="51"/>
        <v>16</v>
      </c>
      <c r="L112" s="59">
        <f t="shared" si="40"/>
        <v>16</v>
      </c>
      <c r="M112" s="59" t="str">
        <f t="shared" si="41"/>
        <v>Week_</v>
      </c>
      <c r="N112" s="59" t="str">
        <f t="shared" si="42"/>
        <v>Week_16</v>
      </c>
      <c r="O112" s="59">
        <f t="shared" si="52"/>
        <v>0</v>
      </c>
      <c r="P112" s="59" t="str">
        <f t="shared" si="53"/>
        <v/>
      </c>
      <c r="Q112" s="59" t="str">
        <f t="shared" si="43"/>
        <v/>
      </c>
      <c r="R112" s="59" t="str">
        <f t="shared" si="44"/>
        <v>April 2021</v>
      </c>
      <c r="S112" s="61">
        <f t="shared" si="45"/>
        <v>44299</v>
      </c>
      <c r="Z112" s="62">
        <f t="shared" si="46"/>
        <v>44299</v>
      </c>
      <c r="AA112" s="63" t="s">
        <v>253</v>
      </c>
    </row>
    <row r="113" spans="2:27" x14ac:dyDescent="0.2">
      <c r="B113" s="58">
        <f t="shared" si="47"/>
        <v>44300</v>
      </c>
      <c r="C113" s="59" t="str">
        <f t="shared" si="35"/>
        <v>14</v>
      </c>
      <c r="D113" s="59" t="str">
        <f t="shared" si="36"/>
        <v>Wednesday</v>
      </c>
      <c r="E113" s="59" t="str">
        <f t="shared" si="37"/>
        <v>April</v>
      </c>
      <c r="F113" s="59" t="str">
        <f t="shared" si="38"/>
        <v>2021</v>
      </c>
      <c r="G113" s="59" t="str">
        <f t="shared" si="48"/>
        <v>Week_16</v>
      </c>
      <c r="H113" s="59" t="str">
        <f t="shared" si="49"/>
        <v>April 2021</v>
      </c>
      <c r="I113" s="59" t="str">
        <f t="shared" si="50"/>
        <v>Week_16</v>
      </c>
      <c r="J113" s="60">
        <f t="shared" si="39"/>
        <v>44300</v>
      </c>
      <c r="K113" s="59">
        <f t="shared" si="51"/>
        <v>16</v>
      </c>
      <c r="L113" s="59">
        <f t="shared" si="40"/>
        <v>16</v>
      </c>
      <c r="M113" s="59" t="str">
        <f t="shared" si="41"/>
        <v>Week_</v>
      </c>
      <c r="N113" s="59" t="str">
        <f t="shared" si="42"/>
        <v>Week_16</v>
      </c>
      <c r="O113" s="59">
        <f t="shared" si="52"/>
        <v>0</v>
      </c>
      <c r="P113" s="59" t="str">
        <f t="shared" si="53"/>
        <v/>
      </c>
      <c r="Q113" s="59" t="str">
        <f t="shared" si="43"/>
        <v/>
      </c>
      <c r="R113" s="59" t="str">
        <f t="shared" si="44"/>
        <v>April 2021</v>
      </c>
      <c r="S113" s="61">
        <f t="shared" si="45"/>
        <v>44300</v>
      </c>
      <c r="Z113" s="62">
        <f t="shared" si="46"/>
        <v>44300</v>
      </c>
      <c r="AA113" s="63" t="s">
        <v>253</v>
      </c>
    </row>
    <row r="114" spans="2:27" x14ac:dyDescent="0.2">
      <c r="B114" s="58">
        <f t="shared" si="47"/>
        <v>44301</v>
      </c>
      <c r="C114" s="59" t="str">
        <f t="shared" si="35"/>
        <v>15</v>
      </c>
      <c r="D114" s="59" t="str">
        <f t="shared" si="36"/>
        <v>Thursday</v>
      </c>
      <c r="E114" s="59" t="str">
        <f t="shared" si="37"/>
        <v>April</v>
      </c>
      <c r="F114" s="59" t="str">
        <f t="shared" si="38"/>
        <v>2021</v>
      </c>
      <c r="G114" s="59" t="str">
        <f t="shared" si="48"/>
        <v>Week_16</v>
      </c>
      <c r="H114" s="59" t="str">
        <f t="shared" si="49"/>
        <v>April 2021</v>
      </c>
      <c r="I114" s="59" t="str">
        <f t="shared" si="50"/>
        <v>Week_16</v>
      </c>
      <c r="J114" s="60">
        <f t="shared" si="39"/>
        <v>44301</v>
      </c>
      <c r="K114" s="59">
        <f t="shared" si="51"/>
        <v>16</v>
      </c>
      <c r="L114" s="59">
        <f t="shared" si="40"/>
        <v>16</v>
      </c>
      <c r="M114" s="59" t="str">
        <f t="shared" si="41"/>
        <v>Week_</v>
      </c>
      <c r="N114" s="59" t="str">
        <f t="shared" si="42"/>
        <v>Week_16</v>
      </c>
      <c r="O114" s="59">
        <f t="shared" si="52"/>
        <v>0</v>
      </c>
      <c r="P114" s="59" t="str">
        <f t="shared" si="53"/>
        <v/>
      </c>
      <c r="Q114" s="59" t="str">
        <f t="shared" si="43"/>
        <v/>
      </c>
      <c r="R114" s="59" t="str">
        <f t="shared" si="44"/>
        <v>April 2021</v>
      </c>
      <c r="S114" s="61">
        <f t="shared" si="45"/>
        <v>44301</v>
      </c>
      <c r="Z114" s="62">
        <f t="shared" si="46"/>
        <v>44301</v>
      </c>
      <c r="AA114" s="63" t="s">
        <v>253</v>
      </c>
    </row>
    <row r="115" spans="2:27" x14ac:dyDescent="0.2">
      <c r="B115" s="58">
        <f t="shared" si="47"/>
        <v>44302</v>
      </c>
      <c r="C115" s="59" t="str">
        <f t="shared" si="35"/>
        <v>16</v>
      </c>
      <c r="D115" s="59" t="str">
        <f t="shared" si="36"/>
        <v>Friday</v>
      </c>
      <c r="E115" s="59" t="str">
        <f t="shared" si="37"/>
        <v>April</v>
      </c>
      <c r="F115" s="59" t="str">
        <f t="shared" si="38"/>
        <v>2021</v>
      </c>
      <c r="G115" s="59" t="str">
        <f t="shared" si="48"/>
        <v>Week_16</v>
      </c>
      <c r="H115" s="59" t="str">
        <f t="shared" si="49"/>
        <v>April 2021</v>
      </c>
      <c r="I115" s="59" t="str">
        <f t="shared" si="50"/>
        <v>Week_16</v>
      </c>
      <c r="J115" s="60">
        <f t="shared" si="39"/>
        <v>44302</v>
      </c>
      <c r="K115" s="59">
        <f t="shared" si="51"/>
        <v>16</v>
      </c>
      <c r="L115" s="59">
        <f t="shared" si="40"/>
        <v>16</v>
      </c>
      <c r="M115" s="59" t="str">
        <f t="shared" si="41"/>
        <v>Week_</v>
      </c>
      <c r="N115" s="59" t="str">
        <f t="shared" si="42"/>
        <v>Week_16</v>
      </c>
      <c r="O115" s="59">
        <f t="shared" si="52"/>
        <v>0</v>
      </c>
      <c r="P115" s="59" t="str">
        <f t="shared" si="53"/>
        <v/>
      </c>
      <c r="Q115" s="59" t="str">
        <f t="shared" si="43"/>
        <v/>
      </c>
      <c r="R115" s="59" t="str">
        <f t="shared" si="44"/>
        <v>April 2021</v>
      </c>
      <c r="S115" s="61">
        <f t="shared" si="45"/>
        <v>44302</v>
      </c>
      <c r="Z115" s="62">
        <f t="shared" si="46"/>
        <v>44302</v>
      </c>
      <c r="AA115" s="63" t="s">
        <v>253</v>
      </c>
    </row>
    <row r="116" spans="2:27" x14ac:dyDescent="0.2">
      <c r="B116" s="58">
        <f t="shared" si="47"/>
        <v>44303</v>
      </c>
      <c r="C116" s="59" t="str">
        <f t="shared" si="35"/>
        <v>17</v>
      </c>
      <c r="D116" s="59" t="str">
        <f t="shared" si="36"/>
        <v>Saturday</v>
      </c>
      <c r="E116" s="59" t="str">
        <f t="shared" si="37"/>
        <v>April</v>
      </c>
      <c r="F116" s="59" t="str">
        <f t="shared" si="38"/>
        <v>2021</v>
      </c>
      <c r="G116" s="59" t="str">
        <f t="shared" si="48"/>
        <v>Week_16</v>
      </c>
      <c r="H116" s="59" t="str">
        <f t="shared" si="49"/>
        <v>April 2021</v>
      </c>
      <c r="I116" s="59" t="str">
        <f t="shared" si="50"/>
        <v>Week_16</v>
      </c>
      <c r="J116" s="60">
        <f t="shared" si="39"/>
        <v>44303</v>
      </c>
      <c r="K116" s="59">
        <f t="shared" si="51"/>
        <v>16</v>
      </c>
      <c r="L116" s="59">
        <f t="shared" si="40"/>
        <v>16</v>
      </c>
      <c r="M116" s="59" t="str">
        <f t="shared" si="41"/>
        <v>Week_</v>
      </c>
      <c r="N116" s="59" t="str">
        <f t="shared" si="42"/>
        <v>Week_16</v>
      </c>
      <c r="O116" s="59">
        <f t="shared" si="52"/>
        <v>0</v>
      </c>
      <c r="P116" s="59" t="str">
        <f t="shared" si="53"/>
        <v/>
      </c>
      <c r="Q116" s="59" t="str">
        <f t="shared" si="43"/>
        <v/>
      </c>
      <c r="R116" s="59" t="str">
        <f t="shared" si="44"/>
        <v>April 2021</v>
      </c>
      <c r="S116" s="61">
        <f t="shared" si="45"/>
        <v>44303</v>
      </c>
      <c r="Z116" s="62">
        <f t="shared" si="46"/>
        <v>44303</v>
      </c>
      <c r="AA116" s="63" t="s">
        <v>253</v>
      </c>
    </row>
    <row r="117" spans="2:27" x14ac:dyDescent="0.2">
      <c r="B117" s="58">
        <f t="shared" si="47"/>
        <v>44304</v>
      </c>
      <c r="C117" s="59" t="str">
        <f t="shared" si="35"/>
        <v>18</v>
      </c>
      <c r="D117" s="59" t="str">
        <f t="shared" si="36"/>
        <v>Sunday</v>
      </c>
      <c r="E117" s="59" t="str">
        <f t="shared" si="37"/>
        <v>April</v>
      </c>
      <c r="F117" s="59" t="str">
        <f t="shared" si="38"/>
        <v>2021</v>
      </c>
      <c r="G117" s="59" t="str">
        <f t="shared" si="48"/>
        <v>Week_16</v>
      </c>
      <c r="H117" s="59" t="str">
        <f t="shared" si="49"/>
        <v>April 2021</v>
      </c>
      <c r="I117" s="59" t="str">
        <f t="shared" si="50"/>
        <v>Week_16</v>
      </c>
      <c r="J117" s="60">
        <f t="shared" si="39"/>
        <v>44304</v>
      </c>
      <c r="K117" s="59">
        <f t="shared" si="51"/>
        <v>16</v>
      </c>
      <c r="L117" s="59">
        <f t="shared" si="40"/>
        <v>16</v>
      </c>
      <c r="M117" s="59" t="str">
        <f t="shared" si="41"/>
        <v>Week_</v>
      </c>
      <c r="N117" s="59" t="str">
        <f t="shared" si="42"/>
        <v>Week_16</v>
      </c>
      <c r="O117" s="59">
        <f t="shared" si="52"/>
        <v>0</v>
      </c>
      <c r="P117" s="59" t="str">
        <f t="shared" si="53"/>
        <v/>
      </c>
      <c r="Q117" s="59" t="str">
        <f t="shared" si="43"/>
        <v/>
      </c>
      <c r="R117" s="59" t="str">
        <f t="shared" si="44"/>
        <v>April 2021</v>
      </c>
      <c r="S117" s="61">
        <f t="shared" si="45"/>
        <v>44304</v>
      </c>
      <c r="Z117" s="62">
        <f t="shared" si="46"/>
        <v>44304</v>
      </c>
      <c r="AA117" s="63" t="s">
        <v>253</v>
      </c>
    </row>
    <row r="118" spans="2:27" x14ac:dyDescent="0.2">
      <c r="B118" s="58">
        <f t="shared" si="47"/>
        <v>44305</v>
      </c>
      <c r="C118" s="59" t="str">
        <f t="shared" si="35"/>
        <v>19</v>
      </c>
      <c r="D118" s="59" t="str">
        <f t="shared" si="36"/>
        <v>Monday</v>
      </c>
      <c r="E118" s="59" t="str">
        <f t="shared" si="37"/>
        <v>April</v>
      </c>
      <c r="F118" s="59" t="str">
        <f t="shared" si="38"/>
        <v>2021</v>
      </c>
      <c r="G118" s="59" t="str">
        <f t="shared" si="48"/>
        <v>Week_17</v>
      </c>
      <c r="H118" s="59" t="str">
        <f t="shared" si="49"/>
        <v>April 2021</v>
      </c>
      <c r="I118" s="59" t="str">
        <f t="shared" si="50"/>
        <v>Start WeekWeek_17</v>
      </c>
      <c r="J118" s="60">
        <f t="shared" si="39"/>
        <v>44305</v>
      </c>
      <c r="K118" s="59">
        <f t="shared" si="51"/>
        <v>17</v>
      </c>
      <c r="L118" s="59">
        <f t="shared" si="40"/>
        <v>17</v>
      </c>
      <c r="M118" s="59" t="str">
        <f t="shared" si="41"/>
        <v>Week_</v>
      </c>
      <c r="N118" s="59" t="str">
        <f t="shared" si="42"/>
        <v>Week_17</v>
      </c>
      <c r="O118" s="59">
        <f t="shared" si="52"/>
        <v>1</v>
      </c>
      <c r="P118" s="59" t="str">
        <f t="shared" si="53"/>
        <v>Start Week</v>
      </c>
      <c r="Q118" s="59" t="str">
        <f t="shared" si="43"/>
        <v/>
      </c>
      <c r="R118" s="59" t="str">
        <f t="shared" si="44"/>
        <v>April 2021</v>
      </c>
      <c r="S118" s="61">
        <f t="shared" si="45"/>
        <v>44305</v>
      </c>
      <c r="Z118" s="62">
        <f t="shared" si="46"/>
        <v>44305</v>
      </c>
      <c r="AA118" s="63" t="s">
        <v>253</v>
      </c>
    </row>
    <row r="119" spans="2:27" x14ac:dyDescent="0.2">
      <c r="B119" s="58">
        <f t="shared" si="47"/>
        <v>44306</v>
      </c>
      <c r="C119" s="59" t="str">
        <f t="shared" si="35"/>
        <v>20</v>
      </c>
      <c r="D119" s="59" t="str">
        <f t="shared" si="36"/>
        <v>Tuesday</v>
      </c>
      <c r="E119" s="59" t="str">
        <f t="shared" si="37"/>
        <v>April</v>
      </c>
      <c r="F119" s="59" t="str">
        <f t="shared" si="38"/>
        <v>2021</v>
      </c>
      <c r="G119" s="59" t="str">
        <f t="shared" si="48"/>
        <v>Week_17</v>
      </c>
      <c r="H119" s="59" t="str">
        <f t="shared" si="49"/>
        <v>April 2021</v>
      </c>
      <c r="I119" s="59" t="str">
        <f t="shared" si="50"/>
        <v>Week_17</v>
      </c>
      <c r="J119" s="60">
        <f t="shared" si="39"/>
        <v>44306</v>
      </c>
      <c r="K119" s="59">
        <f t="shared" si="51"/>
        <v>17</v>
      </c>
      <c r="L119" s="59">
        <f t="shared" si="40"/>
        <v>17</v>
      </c>
      <c r="M119" s="59" t="str">
        <f t="shared" si="41"/>
        <v>Week_</v>
      </c>
      <c r="N119" s="59" t="str">
        <f t="shared" si="42"/>
        <v>Week_17</v>
      </c>
      <c r="O119" s="59">
        <f t="shared" si="52"/>
        <v>0</v>
      </c>
      <c r="P119" s="59" t="str">
        <f t="shared" si="53"/>
        <v/>
      </c>
      <c r="Q119" s="59" t="str">
        <f t="shared" si="43"/>
        <v/>
      </c>
      <c r="R119" s="59" t="str">
        <f t="shared" si="44"/>
        <v>April 2021</v>
      </c>
      <c r="S119" s="61">
        <f t="shared" si="45"/>
        <v>44306</v>
      </c>
      <c r="Z119" s="62">
        <f t="shared" si="46"/>
        <v>44306</v>
      </c>
      <c r="AA119" s="63" t="s">
        <v>253</v>
      </c>
    </row>
    <row r="120" spans="2:27" x14ac:dyDescent="0.2">
      <c r="B120" s="58">
        <f t="shared" si="47"/>
        <v>44307</v>
      </c>
      <c r="C120" s="59" t="str">
        <f t="shared" si="35"/>
        <v>21</v>
      </c>
      <c r="D120" s="59" t="str">
        <f t="shared" si="36"/>
        <v>Wednesday</v>
      </c>
      <c r="E120" s="59" t="str">
        <f t="shared" si="37"/>
        <v>April</v>
      </c>
      <c r="F120" s="59" t="str">
        <f t="shared" si="38"/>
        <v>2021</v>
      </c>
      <c r="G120" s="59" t="str">
        <f t="shared" si="48"/>
        <v>Week_17</v>
      </c>
      <c r="H120" s="59" t="str">
        <f t="shared" si="49"/>
        <v>April 2021</v>
      </c>
      <c r="I120" s="59" t="str">
        <f t="shared" si="50"/>
        <v>Week_17</v>
      </c>
      <c r="J120" s="60">
        <f t="shared" si="39"/>
        <v>44307</v>
      </c>
      <c r="K120" s="59">
        <f t="shared" si="51"/>
        <v>17</v>
      </c>
      <c r="L120" s="59">
        <f t="shared" si="40"/>
        <v>17</v>
      </c>
      <c r="M120" s="59" t="str">
        <f t="shared" si="41"/>
        <v>Week_</v>
      </c>
      <c r="N120" s="59" t="str">
        <f t="shared" si="42"/>
        <v>Week_17</v>
      </c>
      <c r="O120" s="59">
        <f t="shared" si="52"/>
        <v>0</v>
      </c>
      <c r="P120" s="59" t="str">
        <f t="shared" si="53"/>
        <v/>
      </c>
      <c r="Q120" s="59" t="str">
        <f t="shared" si="43"/>
        <v/>
      </c>
      <c r="R120" s="59" t="str">
        <f t="shared" si="44"/>
        <v>April 2021</v>
      </c>
      <c r="S120" s="61">
        <f t="shared" si="45"/>
        <v>44307</v>
      </c>
      <c r="Z120" s="62">
        <f t="shared" si="46"/>
        <v>44307</v>
      </c>
      <c r="AA120" s="63" t="s">
        <v>253</v>
      </c>
    </row>
    <row r="121" spans="2:27" x14ac:dyDescent="0.2">
      <c r="B121" s="58">
        <f t="shared" si="47"/>
        <v>44308</v>
      </c>
      <c r="C121" s="59" t="str">
        <f t="shared" si="35"/>
        <v>22</v>
      </c>
      <c r="D121" s="59" t="str">
        <f t="shared" si="36"/>
        <v>Thursday</v>
      </c>
      <c r="E121" s="59" t="str">
        <f t="shared" si="37"/>
        <v>April</v>
      </c>
      <c r="F121" s="59" t="str">
        <f t="shared" si="38"/>
        <v>2021</v>
      </c>
      <c r="G121" s="59" t="str">
        <f t="shared" si="48"/>
        <v>Week_17</v>
      </c>
      <c r="H121" s="59" t="str">
        <f t="shared" si="49"/>
        <v>April 2021</v>
      </c>
      <c r="I121" s="59" t="str">
        <f t="shared" si="50"/>
        <v>Week_17</v>
      </c>
      <c r="J121" s="60">
        <f t="shared" si="39"/>
        <v>44308</v>
      </c>
      <c r="K121" s="59">
        <f t="shared" si="51"/>
        <v>17</v>
      </c>
      <c r="L121" s="59">
        <f t="shared" si="40"/>
        <v>17</v>
      </c>
      <c r="M121" s="59" t="str">
        <f t="shared" si="41"/>
        <v>Week_</v>
      </c>
      <c r="N121" s="59" t="str">
        <f t="shared" si="42"/>
        <v>Week_17</v>
      </c>
      <c r="O121" s="59">
        <f t="shared" si="52"/>
        <v>0</v>
      </c>
      <c r="P121" s="59" t="str">
        <f t="shared" si="53"/>
        <v/>
      </c>
      <c r="Q121" s="59" t="str">
        <f t="shared" si="43"/>
        <v/>
      </c>
      <c r="R121" s="59" t="str">
        <f t="shared" si="44"/>
        <v>April 2021</v>
      </c>
      <c r="S121" s="61">
        <f t="shared" si="45"/>
        <v>44308</v>
      </c>
      <c r="Z121" s="62">
        <f t="shared" si="46"/>
        <v>44308</v>
      </c>
      <c r="AA121" s="63" t="s">
        <v>253</v>
      </c>
    </row>
    <row r="122" spans="2:27" x14ac:dyDescent="0.2">
      <c r="B122" s="58">
        <f t="shared" si="47"/>
        <v>44309</v>
      </c>
      <c r="C122" s="59" t="str">
        <f t="shared" si="35"/>
        <v>23</v>
      </c>
      <c r="D122" s="59" t="str">
        <f t="shared" si="36"/>
        <v>Friday</v>
      </c>
      <c r="E122" s="59" t="str">
        <f t="shared" si="37"/>
        <v>April</v>
      </c>
      <c r="F122" s="59" t="str">
        <f t="shared" si="38"/>
        <v>2021</v>
      </c>
      <c r="G122" s="59" t="str">
        <f t="shared" si="48"/>
        <v>Week_17</v>
      </c>
      <c r="H122" s="59" t="str">
        <f t="shared" si="49"/>
        <v>April 2021</v>
      </c>
      <c r="I122" s="59" t="str">
        <f t="shared" si="50"/>
        <v>Week_17</v>
      </c>
      <c r="J122" s="60">
        <f t="shared" si="39"/>
        <v>44309</v>
      </c>
      <c r="K122" s="59">
        <f t="shared" si="51"/>
        <v>17</v>
      </c>
      <c r="L122" s="59">
        <f t="shared" si="40"/>
        <v>17</v>
      </c>
      <c r="M122" s="59" t="str">
        <f t="shared" si="41"/>
        <v>Week_</v>
      </c>
      <c r="N122" s="59" t="str">
        <f t="shared" si="42"/>
        <v>Week_17</v>
      </c>
      <c r="O122" s="59">
        <f t="shared" si="52"/>
        <v>0</v>
      </c>
      <c r="P122" s="59" t="str">
        <f t="shared" si="53"/>
        <v/>
      </c>
      <c r="Q122" s="59" t="str">
        <f t="shared" si="43"/>
        <v/>
      </c>
      <c r="R122" s="59" t="str">
        <f t="shared" si="44"/>
        <v>April 2021</v>
      </c>
      <c r="S122" s="61">
        <f t="shared" si="45"/>
        <v>44309</v>
      </c>
      <c r="Z122" s="62">
        <f t="shared" si="46"/>
        <v>44309</v>
      </c>
      <c r="AA122" s="63" t="s">
        <v>253</v>
      </c>
    </row>
    <row r="123" spans="2:27" x14ac:dyDescent="0.2">
      <c r="B123" s="58">
        <f t="shared" si="47"/>
        <v>44310</v>
      </c>
      <c r="C123" s="59" t="str">
        <f t="shared" si="35"/>
        <v>24</v>
      </c>
      <c r="D123" s="59" t="str">
        <f t="shared" si="36"/>
        <v>Saturday</v>
      </c>
      <c r="E123" s="59" t="str">
        <f t="shared" si="37"/>
        <v>April</v>
      </c>
      <c r="F123" s="59" t="str">
        <f t="shared" si="38"/>
        <v>2021</v>
      </c>
      <c r="G123" s="59" t="str">
        <f t="shared" si="48"/>
        <v>Week_17</v>
      </c>
      <c r="H123" s="59" t="str">
        <f t="shared" si="49"/>
        <v>April 2021</v>
      </c>
      <c r="I123" s="59" t="str">
        <f t="shared" si="50"/>
        <v>Week_17</v>
      </c>
      <c r="J123" s="60">
        <f t="shared" si="39"/>
        <v>44310</v>
      </c>
      <c r="K123" s="59">
        <f t="shared" si="51"/>
        <v>17</v>
      </c>
      <c r="L123" s="59">
        <f t="shared" si="40"/>
        <v>17</v>
      </c>
      <c r="M123" s="59" t="str">
        <f t="shared" si="41"/>
        <v>Week_</v>
      </c>
      <c r="N123" s="59" t="str">
        <f t="shared" si="42"/>
        <v>Week_17</v>
      </c>
      <c r="O123" s="59">
        <f t="shared" si="52"/>
        <v>0</v>
      </c>
      <c r="P123" s="59" t="str">
        <f t="shared" si="53"/>
        <v/>
      </c>
      <c r="Q123" s="59" t="str">
        <f t="shared" si="43"/>
        <v/>
      </c>
      <c r="R123" s="59" t="str">
        <f t="shared" si="44"/>
        <v>April 2021</v>
      </c>
      <c r="S123" s="61">
        <f t="shared" si="45"/>
        <v>44310</v>
      </c>
      <c r="Z123" s="62">
        <f t="shared" si="46"/>
        <v>44310</v>
      </c>
      <c r="AA123" s="63" t="s">
        <v>253</v>
      </c>
    </row>
    <row r="124" spans="2:27" x14ac:dyDescent="0.2">
      <c r="B124" s="58">
        <f t="shared" si="47"/>
        <v>44311</v>
      </c>
      <c r="C124" s="59" t="str">
        <f t="shared" si="35"/>
        <v>25</v>
      </c>
      <c r="D124" s="59" t="str">
        <f t="shared" si="36"/>
        <v>Sunday</v>
      </c>
      <c r="E124" s="59" t="str">
        <f t="shared" si="37"/>
        <v>April</v>
      </c>
      <c r="F124" s="59" t="str">
        <f t="shared" si="38"/>
        <v>2021</v>
      </c>
      <c r="G124" s="59" t="str">
        <f t="shared" si="48"/>
        <v>Week_17</v>
      </c>
      <c r="H124" s="59" t="str">
        <f t="shared" si="49"/>
        <v>April 2021</v>
      </c>
      <c r="I124" s="59" t="str">
        <f t="shared" si="50"/>
        <v>Week_17</v>
      </c>
      <c r="J124" s="60">
        <f t="shared" si="39"/>
        <v>44311</v>
      </c>
      <c r="K124" s="59">
        <f t="shared" si="51"/>
        <v>17</v>
      </c>
      <c r="L124" s="59">
        <f t="shared" si="40"/>
        <v>17</v>
      </c>
      <c r="M124" s="59" t="str">
        <f t="shared" si="41"/>
        <v>Week_</v>
      </c>
      <c r="N124" s="59" t="str">
        <f t="shared" si="42"/>
        <v>Week_17</v>
      </c>
      <c r="O124" s="59">
        <f t="shared" si="52"/>
        <v>0</v>
      </c>
      <c r="P124" s="59" t="str">
        <f t="shared" si="53"/>
        <v/>
      </c>
      <c r="Q124" s="59" t="str">
        <f t="shared" si="43"/>
        <v/>
      </c>
      <c r="R124" s="59" t="str">
        <f t="shared" si="44"/>
        <v>April 2021</v>
      </c>
      <c r="S124" s="61">
        <f t="shared" si="45"/>
        <v>44311</v>
      </c>
      <c r="Z124" s="62">
        <f t="shared" si="46"/>
        <v>44311</v>
      </c>
      <c r="AA124" s="63" t="s">
        <v>253</v>
      </c>
    </row>
    <row r="125" spans="2:27" x14ac:dyDescent="0.2">
      <c r="B125" s="58">
        <f t="shared" si="47"/>
        <v>44312</v>
      </c>
      <c r="C125" s="59" t="str">
        <f t="shared" si="35"/>
        <v>26</v>
      </c>
      <c r="D125" s="59" t="str">
        <f t="shared" si="36"/>
        <v>Monday</v>
      </c>
      <c r="E125" s="59" t="str">
        <f t="shared" si="37"/>
        <v>April</v>
      </c>
      <c r="F125" s="59" t="str">
        <f t="shared" si="38"/>
        <v>2021</v>
      </c>
      <c r="G125" s="59" t="str">
        <f t="shared" si="48"/>
        <v>Week_18</v>
      </c>
      <c r="H125" s="59" t="str">
        <f t="shared" si="49"/>
        <v>April 2021</v>
      </c>
      <c r="I125" s="59" t="str">
        <f t="shared" si="50"/>
        <v>Start WeekWeek_18</v>
      </c>
      <c r="J125" s="60">
        <f t="shared" si="39"/>
        <v>44312</v>
      </c>
      <c r="K125" s="59">
        <f t="shared" si="51"/>
        <v>18</v>
      </c>
      <c r="L125" s="59">
        <f t="shared" si="40"/>
        <v>18</v>
      </c>
      <c r="M125" s="59" t="str">
        <f t="shared" si="41"/>
        <v>Week_</v>
      </c>
      <c r="N125" s="59" t="str">
        <f t="shared" si="42"/>
        <v>Week_18</v>
      </c>
      <c r="O125" s="59">
        <f t="shared" si="52"/>
        <v>1</v>
      </c>
      <c r="P125" s="59" t="str">
        <f t="shared" si="53"/>
        <v>Start Week</v>
      </c>
      <c r="Q125" s="59" t="str">
        <f t="shared" si="43"/>
        <v/>
      </c>
      <c r="R125" s="59" t="str">
        <f t="shared" si="44"/>
        <v>April 2021</v>
      </c>
      <c r="S125" s="61">
        <f t="shared" si="45"/>
        <v>44312</v>
      </c>
      <c r="Z125" s="62">
        <f t="shared" si="46"/>
        <v>44312</v>
      </c>
      <c r="AA125" s="63" t="s">
        <v>253</v>
      </c>
    </row>
    <row r="126" spans="2:27" x14ac:dyDescent="0.2">
      <c r="B126" s="58">
        <f t="shared" si="47"/>
        <v>44313</v>
      </c>
      <c r="C126" s="59" t="str">
        <f t="shared" si="35"/>
        <v>27</v>
      </c>
      <c r="D126" s="59" t="str">
        <f t="shared" si="36"/>
        <v>Tuesday</v>
      </c>
      <c r="E126" s="59" t="str">
        <f t="shared" si="37"/>
        <v>April</v>
      </c>
      <c r="F126" s="59" t="str">
        <f t="shared" si="38"/>
        <v>2021</v>
      </c>
      <c r="G126" s="59" t="str">
        <f t="shared" si="48"/>
        <v>Week_18</v>
      </c>
      <c r="H126" s="59" t="str">
        <f t="shared" si="49"/>
        <v>April 2021</v>
      </c>
      <c r="I126" s="59" t="str">
        <f t="shared" si="50"/>
        <v>Week_18</v>
      </c>
      <c r="J126" s="60">
        <f t="shared" si="39"/>
        <v>44313</v>
      </c>
      <c r="K126" s="59">
        <f t="shared" si="51"/>
        <v>18</v>
      </c>
      <c r="L126" s="59">
        <f t="shared" si="40"/>
        <v>18</v>
      </c>
      <c r="M126" s="59" t="str">
        <f t="shared" si="41"/>
        <v>Week_</v>
      </c>
      <c r="N126" s="59" t="str">
        <f t="shared" si="42"/>
        <v>Week_18</v>
      </c>
      <c r="O126" s="59">
        <f t="shared" si="52"/>
        <v>0</v>
      </c>
      <c r="P126" s="59" t="str">
        <f t="shared" si="53"/>
        <v/>
      </c>
      <c r="Q126" s="59" t="str">
        <f t="shared" si="43"/>
        <v/>
      </c>
      <c r="R126" s="59" t="str">
        <f t="shared" si="44"/>
        <v>April 2021</v>
      </c>
      <c r="S126" s="61">
        <f t="shared" si="45"/>
        <v>44313</v>
      </c>
      <c r="Z126" s="62">
        <f t="shared" si="46"/>
        <v>44313</v>
      </c>
      <c r="AA126" s="63" t="s">
        <v>253</v>
      </c>
    </row>
    <row r="127" spans="2:27" x14ac:dyDescent="0.2">
      <c r="B127" s="58">
        <f t="shared" si="47"/>
        <v>44314</v>
      </c>
      <c r="C127" s="59" t="str">
        <f t="shared" si="35"/>
        <v>28</v>
      </c>
      <c r="D127" s="59" t="str">
        <f t="shared" si="36"/>
        <v>Wednesday</v>
      </c>
      <c r="E127" s="59" t="str">
        <f t="shared" si="37"/>
        <v>April</v>
      </c>
      <c r="F127" s="59" t="str">
        <f t="shared" si="38"/>
        <v>2021</v>
      </c>
      <c r="G127" s="59" t="str">
        <f t="shared" si="48"/>
        <v>Week_18</v>
      </c>
      <c r="H127" s="59" t="str">
        <f t="shared" si="49"/>
        <v>April 2021</v>
      </c>
      <c r="I127" s="59" t="str">
        <f t="shared" si="50"/>
        <v>Week_18</v>
      </c>
      <c r="J127" s="60">
        <f t="shared" si="39"/>
        <v>44314</v>
      </c>
      <c r="K127" s="59">
        <f t="shared" si="51"/>
        <v>18</v>
      </c>
      <c r="L127" s="59">
        <f t="shared" si="40"/>
        <v>18</v>
      </c>
      <c r="M127" s="59" t="str">
        <f t="shared" si="41"/>
        <v>Week_</v>
      </c>
      <c r="N127" s="59" t="str">
        <f t="shared" si="42"/>
        <v>Week_18</v>
      </c>
      <c r="O127" s="59">
        <f t="shared" si="52"/>
        <v>0</v>
      </c>
      <c r="P127" s="59" t="str">
        <f t="shared" si="53"/>
        <v/>
      </c>
      <c r="Q127" s="59" t="str">
        <f t="shared" si="43"/>
        <v/>
      </c>
      <c r="R127" s="59" t="str">
        <f t="shared" si="44"/>
        <v>April 2021</v>
      </c>
      <c r="S127" s="61">
        <f t="shared" si="45"/>
        <v>44314</v>
      </c>
      <c r="Z127" s="62">
        <f t="shared" si="46"/>
        <v>44314</v>
      </c>
      <c r="AA127" s="63" t="s">
        <v>253</v>
      </c>
    </row>
    <row r="128" spans="2:27" x14ac:dyDescent="0.2">
      <c r="B128" s="58">
        <f t="shared" si="47"/>
        <v>44315</v>
      </c>
      <c r="C128" s="59" t="str">
        <f t="shared" si="35"/>
        <v>29</v>
      </c>
      <c r="D128" s="59" t="str">
        <f t="shared" si="36"/>
        <v>Thursday</v>
      </c>
      <c r="E128" s="59" t="str">
        <f t="shared" si="37"/>
        <v>April</v>
      </c>
      <c r="F128" s="59" t="str">
        <f t="shared" si="38"/>
        <v>2021</v>
      </c>
      <c r="G128" s="59" t="str">
        <f t="shared" si="48"/>
        <v>Week_18</v>
      </c>
      <c r="H128" s="59" t="str">
        <f t="shared" si="49"/>
        <v>April 2021</v>
      </c>
      <c r="I128" s="59" t="str">
        <f t="shared" si="50"/>
        <v>Week_18</v>
      </c>
      <c r="J128" s="60">
        <f t="shared" si="39"/>
        <v>44315</v>
      </c>
      <c r="K128" s="59">
        <f t="shared" si="51"/>
        <v>18</v>
      </c>
      <c r="L128" s="59">
        <f t="shared" si="40"/>
        <v>18</v>
      </c>
      <c r="M128" s="59" t="str">
        <f t="shared" si="41"/>
        <v>Week_</v>
      </c>
      <c r="N128" s="59" t="str">
        <f t="shared" si="42"/>
        <v>Week_18</v>
      </c>
      <c r="O128" s="59">
        <f t="shared" si="52"/>
        <v>0</v>
      </c>
      <c r="P128" s="59" t="str">
        <f t="shared" si="53"/>
        <v/>
      </c>
      <c r="Q128" s="59" t="str">
        <f t="shared" si="43"/>
        <v/>
      </c>
      <c r="R128" s="59" t="str">
        <f t="shared" si="44"/>
        <v>April 2021</v>
      </c>
      <c r="S128" s="61">
        <f t="shared" si="45"/>
        <v>44315</v>
      </c>
      <c r="Z128" s="62">
        <f t="shared" si="46"/>
        <v>44315</v>
      </c>
      <c r="AA128" s="63" t="s">
        <v>253</v>
      </c>
    </row>
    <row r="129" spans="2:27" x14ac:dyDescent="0.2">
      <c r="B129" s="58">
        <f t="shared" si="47"/>
        <v>44316</v>
      </c>
      <c r="C129" s="59" t="str">
        <f t="shared" si="35"/>
        <v>30</v>
      </c>
      <c r="D129" s="59" t="str">
        <f t="shared" si="36"/>
        <v>Friday</v>
      </c>
      <c r="E129" s="59" t="str">
        <f t="shared" si="37"/>
        <v>April</v>
      </c>
      <c r="F129" s="59" t="str">
        <f t="shared" si="38"/>
        <v>2021</v>
      </c>
      <c r="G129" s="59" t="str">
        <f t="shared" si="48"/>
        <v>Week_18</v>
      </c>
      <c r="H129" s="59" t="str">
        <f t="shared" si="49"/>
        <v>April 2021</v>
      </c>
      <c r="I129" s="59" t="str">
        <f t="shared" si="50"/>
        <v>Week_18</v>
      </c>
      <c r="J129" s="60">
        <f t="shared" si="39"/>
        <v>44316</v>
      </c>
      <c r="K129" s="59">
        <f t="shared" si="51"/>
        <v>18</v>
      </c>
      <c r="L129" s="59">
        <f t="shared" si="40"/>
        <v>18</v>
      </c>
      <c r="M129" s="59" t="str">
        <f t="shared" si="41"/>
        <v>Week_</v>
      </c>
      <c r="N129" s="59" t="str">
        <f t="shared" si="42"/>
        <v>Week_18</v>
      </c>
      <c r="O129" s="59">
        <f t="shared" si="52"/>
        <v>0</v>
      </c>
      <c r="P129" s="59" t="str">
        <f t="shared" si="53"/>
        <v/>
      </c>
      <c r="Q129" s="59" t="str">
        <f t="shared" si="43"/>
        <v/>
      </c>
      <c r="R129" s="59" t="str">
        <f t="shared" si="44"/>
        <v>April 2021</v>
      </c>
      <c r="S129" s="61">
        <f t="shared" si="45"/>
        <v>44316</v>
      </c>
      <c r="Z129" s="62">
        <f t="shared" si="46"/>
        <v>44316</v>
      </c>
      <c r="AA129" s="63" t="s">
        <v>253</v>
      </c>
    </row>
    <row r="130" spans="2:27" x14ac:dyDescent="0.2">
      <c r="B130" s="58">
        <f t="shared" si="47"/>
        <v>44317</v>
      </c>
      <c r="C130" s="59" t="str">
        <f t="shared" si="35"/>
        <v>01</v>
      </c>
      <c r="D130" s="59" t="str">
        <f t="shared" si="36"/>
        <v>Saturday</v>
      </c>
      <c r="E130" s="59" t="str">
        <f t="shared" si="37"/>
        <v>May</v>
      </c>
      <c r="F130" s="59" t="str">
        <f t="shared" si="38"/>
        <v>2021</v>
      </c>
      <c r="G130" s="59" t="str">
        <f t="shared" si="48"/>
        <v>Week_18</v>
      </c>
      <c r="H130" s="59" t="str">
        <f t="shared" si="49"/>
        <v>May 2021</v>
      </c>
      <c r="I130" s="59" t="str">
        <f t="shared" si="50"/>
        <v>Week_18</v>
      </c>
      <c r="J130" s="60">
        <f t="shared" si="39"/>
        <v>44317</v>
      </c>
      <c r="K130" s="59">
        <f t="shared" si="51"/>
        <v>18</v>
      </c>
      <c r="L130" s="59">
        <f t="shared" si="40"/>
        <v>18</v>
      </c>
      <c r="M130" s="59" t="str">
        <f t="shared" si="41"/>
        <v>Week_</v>
      </c>
      <c r="N130" s="59" t="str">
        <f t="shared" si="42"/>
        <v>Week_18</v>
      </c>
      <c r="O130" s="59">
        <f t="shared" si="52"/>
        <v>0</v>
      </c>
      <c r="P130" s="59" t="str">
        <f t="shared" si="53"/>
        <v/>
      </c>
      <c r="Q130" s="59" t="str">
        <f t="shared" si="43"/>
        <v>Start Month</v>
      </c>
      <c r="R130" s="59" t="str">
        <f t="shared" si="44"/>
        <v>Start MonthMay 2021</v>
      </c>
      <c r="S130" s="61">
        <f t="shared" si="45"/>
        <v>44317</v>
      </c>
      <c r="Z130" s="62">
        <f t="shared" si="46"/>
        <v>44317</v>
      </c>
      <c r="AA130" s="63" t="s">
        <v>253</v>
      </c>
    </row>
    <row r="131" spans="2:27" x14ac:dyDescent="0.2">
      <c r="B131" s="58">
        <f t="shared" si="47"/>
        <v>44318</v>
      </c>
      <c r="C131" s="59" t="str">
        <f t="shared" si="35"/>
        <v>02</v>
      </c>
      <c r="D131" s="59" t="str">
        <f t="shared" si="36"/>
        <v>Sunday</v>
      </c>
      <c r="E131" s="59" t="str">
        <f t="shared" si="37"/>
        <v>May</v>
      </c>
      <c r="F131" s="59" t="str">
        <f t="shared" si="38"/>
        <v>2021</v>
      </c>
      <c r="G131" s="59" t="str">
        <f t="shared" si="48"/>
        <v>Week_18</v>
      </c>
      <c r="H131" s="59" t="str">
        <f t="shared" si="49"/>
        <v>May 2021</v>
      </c>
      <c r="I131" s="59" t="str">
        <f t="shared" si="50"/>
        <v>Week_18</v>
      </c>
      <c r="J131" s="60">
        <f t="shared" si="39"/>
        <v>44318</v>
      </c>
      <c r="K131" s="59">
        <f t="shared" si="51"/>
        <v>18</v>
      </c>
      <c r="L131" s="59">
        <f t="shared" si="40"/>
        <v>18</v>
      </c>
      <c r="M131" s="59" t="str">
        <f t="shared" si="41"/>
        <v>Week_</v>
      </c>
      <c r="N131" s="59" t="str">
        <f t="shared" si="42"/>
        <v>Week_18</v>
      </c>
      <c r="O131" s="59">
        <f t="shared" si="52"/>
        <v>0</v>
      </c>
      <c r="P131" s="59" t="str">
        <f t="shared" si="53"/>
        <v/>
      </c>
      <c r="Q131" s="59" t="str">
        <f t="shared" si="43"/>
        <v/>
      </c>
      <c r="R131" s="59" t="str">
        <f t="shared" si="44"/>
        <v>May 2021</v>
      </c>
      <c r="S131" s="61">
        <f t="shared" si="45"/>
        <v>44318</v>
      </c>
      <c r="Z131" s="62">
        <f t="shared" si="46"/>
        <v>44318</v>
      </c>
      <c r="AA131" s="63" t="s">
        <v>253</v>
      </c>
    </row>
    <row r="132" spans="2:27" x14ac:dyDescent="0.2">
      <c r="B132" s="58">
        <f t="shared" si="47"/>
        <v>44319</v>
      </c>
      <c r="C132" s="59" t="str">
        <f t="shared" si="35"/>
        <v>03</v>
      </c>
      <c r="D132" s="59" t="str">
        <f t="shared" si="36"/>
        <v>Monday</v>
      </c>
      <c r="E132" s="59" t="str">
        <f t="shared" si="37"/>
        <v>May</v>
      </c>
      <c r="F132" s="59" t="str">
        <f t="shared" si="38"/>
        <v>2021</v>
      </c>
      <c r="G132" s="59" t="str">
        <f t="shared" si="48"/>
        <v>Week_19</v>
      </c>
      <c r="H132" s="59" t="str">
        <f t="shared" si="49"/>
        <v>May 2021</v>
      </c>
      <c r="I132" s="59" t="str">
        <f t="shared" si="50"/>
        <v>Start WeekWeek_19</v>
      </c>
      <c r="J132" s="60">
        <f t="shared" si="39"/>
        <v>44319</v>
      </c>
      <c r="K132" s="59">
        <f t="shared" si="51"/>
        <v>19</v>
      </c>
      <c r="L132" s="59">
        <f t="shared" si="40"/>
        <v>19</v>
      </c>
      <c r="M132" s="59" t="str">
        <f t="shared" si="41"/>
        <v>Week_</v>
      </c>
      <c r="N132" s="59" t="str">
        <f t="shared" si="42"/>
        <v>Week_19</v>
      </c>
      <c r="O132" s="59">
        <f t="shared" si="52"/>
        <v>1</v>
      </c>
      <c r="P132" s="59" t="str">
        <f t="shared" si="53"/>
        <v>Start Week</v>
      </c>
      <c r="Q132" s="59" t="str">
        <f t="shared" si="43"/>
        <v/>
      </c>
      <c r="R132" s="59" t="str">
        <f t="shared" si="44"/>
        <v>May 2021</v>
      </c>
      <c r="S132" s="61">
        <f t="shared" si="45"/>
        <v>44319</v>
      </c>
      <c r="Z132" s="62">
        <f t="shared" si="46"/>
        <v>44319</v>
      </c>
      <c r="AA132" s="63" t="s">
        <v>253</v>
      </c>
    </row>
    <row r="133" spans="2:27" x14ac:dyDescent="0.2">
      <c r="B133" s="58">
        <f t="shared" si="47"/>
        <v>44320</v>
      </c>
      <c r="C133" s="59" t="str">
        <f t="shared" si="35"/>
        <v>04</v>
      </c>
      <c r="D133" s="59" t="str">
        <f t="shared" si="36"/>
        <v>Tuesday</v>
      </c>
      <c r="E133" s="59" t="str">
        <f t="shared" si="37"/>
        <v>May</v>
      </c>
      <c r="F133" s="59" t="str">
        <f t="shared" si="38"/>
        <v>2021</v>
      </c>
      <c r="G133" s="59" t="str">
        <f t="shared" si="48"/>
        <v>Week_19</v>
      </c>
      <c r="H133" s="59" t="str">
        <f t="shared" si="49"/>
        <v>May 2021</v>
      </c>
      <c r="I133" s="59" t="str">
        <f t="shared" si="50"/>
        <v>Week_19</v>
      </c>
      <c r="J133" s="60">
        <f t="shared" si="39"/>
        <v>44320</v>
      </c>
      <c r="K133" s="59">
        <f t="shared" si="51"/>
        <v>19</v>
      </c>
      <c r="L133" s="59">
        <f t="shared" si="40"/>
        <v>19</v>
      </c>
      <c r="M133" s="59" t="str">
        <f t="shared" si="41"/>
        <v>Week_</v>
      </c>
      <c r="N133" s="59" t="str">
        <f t="shared" si="42"/>
        <v>Week_19</v>
      </c>
      <c r="O133" s="59">
        <f t="shared" si="52"/>
        <v>0</v>
      </c>
      <c r="P133" s="59" t="str">
        <f t="shared" si="53"/>
        <v/>
      </c>
      <c r="Q133" s="59" t="str">
        <f t="shared" si="43"/>
        <v/>
      </c>
      <c r="R133" s="59" t="str">
        <f t="shared" si="44"/>
        <v>May 2021</v>
      </c>
      <c r="S133" s="61">
        <f t="shared" si="45"/>
        <v>44320</v>
      </c>
      <c r="Z133" s="62">
        <f t="shared" si="46"/>
        <v>44320</v>
      </c>
      <c r="AA133" s="63" t="s">
        <v>253</v>
      </c>
    </row>
    <row r="134" spans="2:27" x14ac:dyDescent="0.2">
      <c r="B134" s="58">
        <f t="shared" si="47"/>
        <v>44321</v>
      </c>
      <c r="C134" s="59" t="str">
        <f t="shared" si="35"/>
        <v>05</v>
      </c>
      <c r="D134" s="59" t="str">
        <f t="shared" si="36"/>
        <v>Wednesday</v>
      </c>
      <c r="E134" s="59" t="str">
        <f t="shared" si="37"/>
        <v>May</v>
      </c>
      <c r="F134" s="59" t="str">
        <f t="shared" si="38"/>
        <v>2021</v>
      </c>
      <c r="G134" s="59" t="str">
        <f t="shared" si="48"/>
        <v>Week_19</v>
      </c>
      <c r="H134" s="59" t="str">
        <f t="shared" si="49"/>
        <v>May 2021</v>
      </c>
      <c r="I134" s="59" t="str">
        <f t="shared" si="50"/>
        <v>Week_19</v>
      </c>
      <c r="J134" s="60">
        <f t="shared" si="39"/>
        <v>44321</v>
      </c>
      <c r="K134" s="59">
        <f t="shared" si="51"/>
        <v>19</v>
      </c>
      <c r="L134" s="59">
        <f t="shared" si="40"/>
        <v>19</v>
      </c>
      <c r="M134" s="59" t="str">
        <f t="shared" si="41"/>
        <v>Week_</v>
      </c>
      <c r="N134" s="59" t="str">
        <f t="shared" si="42"/>
        <v>Week_19</v>
      </c>
      <c r="O134" s="59">
        <f t="shared" si="52"/>
        <v>0</v>
      </c>
      <c r="P134" s="59" t="str">
        <f t="shared" si="53"/>
        <v/>
      </c>
      <c r="Q134" s="59" t="str">
        <f t="shared" si="43"/>
        <v/>
      </c>
      <c r="R134" s="59" t="str">
        <f t="shared" si="44"/>
        <v>May 2021</v>
      </c>
      <c r="S134" s="61">
        <f t="shared" si="45"/>
        <v>44321</v>
      </c>
      <c r="Z134" s="62">
        <f t="shared" si="46"/>
        <v>44321</v>
      </c>
      <c r="AA134" s="63" t="s">
        <v>253</v>
      </c>
    </row>
    <row r="135" spans="2:27" x14ac:dyDescent="0.2">
      <c r="B135" s="58">
        <f t="shared" si="47"/>
        <v>44322</v>
      </c>
      <c r="C135" s="59" t="str">
        <f t="shared" si="35"/>
        <v>06</v>
      </c>
      <c r="D135" s="59" t="str">
        <f t="shared" si="36"/>
        <v>Thursday</v>
      </c>
      <c r="E135" s="59" t="str">
        <f t="shared" si="37"/>
        <v>May</v>
      </c>
      <c r="F135" s="59" t="str">
        <f t="shared" si="38"/>
        <v>2021</v>
      </c>
      <c r="G135" s="59" t="str">
        <f t="shared" si="48"/>
        <v>Week_19</v>
      </c>
      <c r="H135" s="59" t="str">
        <f t="shared" si="49"/>
        <v>May 2021</v>
      </c>
      <c r="I135" s="59" t="str">
        <f t="shared" si="50"/>
        <v>Week_19</v>
      </c>
      <c r="J135" s="60">
        <f t="shared" si="39"/>
        <v>44322</v>
      </c>
      <c r="K135" s="59">
        <f t="shared" si="51"/>
        <v>19</v>
      </c>
      <c r="L135" s="59">
        <f t="shared" si="40"/>
        <v>19</v>
      </c>
      <c r="M135" s="59" t="str">
        <f t="shared" si="41"/>
        <v>Week_</v>
      </c>
      <c r="N135" s="59" t="str">
        <f t="shared" si="42"/>
        <v>Week_19</v>
      </c>
      <c r="O135" s="59">
        <f t="shared" si="52"/>
        <v>0</v>
      </c>
      <c r="P135" s="59" t="str">
        <f t="shared" si="53"/>
        <v/>
      </c>
      <c r="Q135" s="59" t="str">
        <f t="shared" si="43"/>
        <v/>
      </c>
      <c r="R135" s="59" t="str">
        <f t="shared" si="44"/>
        <v>May 2021</v>
      </c>
      <c r="S135" s="61">
        <f t="shared" si="45"/>
        <v>44322</v>
      </c>
      <c r="Z135" s="62">
        <f t="shared" si="46"/>
        <v>44322</v>
      </c>
      <c r="AA135" s="63" t="s">
        <v>253</v>
      </c>
    </row>
    <row r="136" spans="2:27" x14ac:dyDescent="0.2">
      <c r="B136" s="58">
        <f t="shared" si="47"/>
        <v>44323</v>
      </c>
      <c r="C136" s="59" t="str">
        <f t="shared" si="35"/>
        <v>07</v>
      </c>
      <c r="D136" s="59" t="str">
        <f t="shared" si="36"/>
        <v>Friday</v>
      </c>
      <c r="E136" s="59" t="str">
        <f t="shared" si="37"/>
        <v>May</v>
      </c>
      <c r="F136" s="59" t="str">
        <f t="shared" si="38"/>
        <v>2021</v>
      </c>
      <c r="G136" s="59" t="str">
        <f t="shared" si="48"/>
        <v>Week_19</v>
      </c>
      <c r="H136" s="59" t="str">
        <f t="shared" si="49"/>
        <v>May 2021</v>
      </c>
      <c r="I136" s="59" t="str">
        <f t="shared" si="50"/>
        <v>Week_19</v>
      </c>
      <c r="J136" s="60">
        <f t="shared" si="39"/>
        <v>44323</v>
      </c>
      <c r="K136" s="59">
        <f t="shared" si="51"/>
        <v>19</v>
      </c>
      <c r="L136" s="59">
        <f t="shared" si="40"/>
        <v>19</v>
      </c>
      <c r="M136" s="59" t="str">
        <f t="shared" si="41"/>
        <v>Week_</v>
      </c>
      <c r="N136" s="59" t="str">
        <f t="shared" si="42"/>
        <v>Week_19</v>
      </c>
      <c r="O136" s="59">
        <f t="shared" si="52"/>
        <v>0</v>
      </c>
      <c r="P136" s="59" t="str">
        <f t="shared" si="53"/>
        <v/>
      </c>
      <c r="Q136" s="59" t="str">
        <f t="shared" si="43"/>
        <v/>
      </c>
      <c r="R136" s="59" t="str">
        <f t="shared" si="44"/>
        <v>May 2021</v>
      </c>
      <c r="S136" s="61">
        <f t="shared" si="45"/>
        <v>44323</v>
      </c>
      <c r="Z136" s="62">
        <f t="shared" si="46"/>
        <v>44323</v>
      </c>
      <c r="AA136" s="63" t="s">
        <v>253</v>
      </c>
    </row>
    <row r="137" spans="2:27" x14ac:dyDescent="0.2">
      <c r="B137" s="58">
        <f t="shared" si="47"/>
        <v>44324</v>
      </c>
      <c r="C137" s="59" t="str">
        <f t="shared" si="35"/>
        <v>08</v>
      </c>
      <c r="D137" s="59" t="str">
        <f t="shared" si="36"/>
        <v>Saturday</v>
      </c>
      <c r="E137" s="59" t="str">
        <f t="shared" si="37"/>
        <v>May</v>
      </c>
      <c r="F137" s="59" t="str">
        <f t="shared" si="38"/>
        <v>2021</v>
      </c>
      <c r="G137" s="59" t="str">
        <f t="shared" si="48"/>
        <v>Week_19</v>
      </c>
      <c r="H137" s="59" t="str">
        <f t="shared" si="49"/>
        <v>May 2021</v>
      </c>
      <c r="I137" s="59" t="str">
        <f t="shared" si="50"/>
        <v>Week_19</v>
      </c>
      <c r="J137" s="60">
        <f t="shared" si="39"/>
        <v>44324</v>
      </c>
      <c r="K137" s="59">
        <f t="shared" si="51"/>
        <v>19</v>
      </c>
      <c r="L137" s="59">
        <f t="shared" si="40"/>
        <v>19</v>
      </c>
      <c r="M137" s="59" t="str">
        <f t="shared" si="41"/>
        <v>Week_</v>
      </c>
      <c r="N137" s="59" t="str">
        <f t="shared" si="42"/>
        <v>Week_19</v>
      </c>
      <c r="O137" s="59">
        <f t="shared" si="52"/>
        <v>0</v>
      </c>
      <c r="P137" s="59" t="str">
        <f t="shared" si="53"/>
        <v/>
      </c>
      <c r="Q137" s="59" t="str">
        <f t="shared" si="43"/>
        <v/>
      </c>
      <c r="R137" s="59" t="str">
        <f t="shared" si="44"/>
        <v>May 2021</v>
      </c>
      <c r="S137" s="61">
        <f t="shared" si="45"/>
        <v>44324</v>
      </c>
      <c r="Z137" s="62">
        <f t="shared" si="46"/>
        <v>44324</v>
      </c>
      <c r="AA137" s="63" t="s">
        <v>253</v>
      </c>
    </row>
    <row r="138" spans="2:27" x14ac:dyDescent="0.2">
      <c r="B138" s="58">
        <f t="shared" si="47"/>
        <v>44325</v>
      </c>
      <c r="C138" s="59" t="str">
        <f t="shared" ref="C138:C201" si="54">IF($B138="","",TEXT($B138,"dd"))</f>
        <v>09</v>
      </c>
      <c r="D138" s="59" t="str">
        <f t="shared" ref="D138:D201" si="55">IF($B138="","",TEXT($B138,"dddd"))</f>
        <v>Sunday</v>
      </c>
      <c r="E138" s="59" t="str">
        <f t="shared" ref="E138:E201" si="56">IF($B138="","",TEXT($B138,"mmmm"))</f>
        <v>May</v>
      </c>
      <c r="F138" s="59" t="str">
        <f t="shared" ref="F138:F201" si="57">IF($B138="","",TEXT($B138,"yyyy"))</f>
        <v>2021</v>
      </c>
      <c r="G138" s="59" t="str">
        <f t="shared" si="48"/>
        <v>Week_19</v>
      </c>
      <c r="H138" s="59" t="str">
        <f t="shared" si="49"/>
        <v>May 2021</v>
      </c>
      <c r="I138" s="59" t="str">
        <f t="shared" si="50"/>
        <v>Week_19</v>
      </c>
      <c r="J138" s="60">
        <f t="shared" ref="J138:J201" si="58">+B138</f>
        <v>44325</v>
      </c>
      <c r="K138" s="59">
        <f t="shared" si="51"/>
        <v>19</v>
      </c>
      <c r="L138" s="59">
        <f t="shared" ref="L138:L201" si="59">IF(K138=1,"01",IF(K138=2,"02",IF(K138=3,"03",IF(K138=4,"04",IF(K138=5,"05",IF(K138=6,"06",IF(K138=7,"07",IF(K138=8,"08",IF(K138=9,"09",K138)))))))))</f>
        <v>19</v>
      </c>
      <c r="M138" s="59" t="str">
        <f t="shared" ref="M138:M201" si="60">IF(K138="","","Week_")</f>
        <v>Week_</v>
      </c>
      <c r="N138" s="59" t="str">
        <f t="shared" ref="N138:N201" si="61">CONCATENATE(M138,L138)</f>
        <v>Week_19</v>
      </c>
      <c r="O138" s="59">
        <f t="shared" si="52"/>
        <v>0</v>
      </c>
      <c r="P138" s="59" t="str">
        <f t="shared" si="53"/>
        <v/>
      </c>
      <c r="Q138" s="59" t="str">
        <f t="shared" ref="Q138:Q201" si="62">IF(C138="01","Start Month","")</f>
        <v/>
      </c>
      <c r="R138" s="59" t="str">
        <f t="shared" ref="R138:R201" si="63">+Q138&amp;H138</f>
        <v>May 2021</v>
      </c>
      <c r="S138" s="61">
        <f t="shared" ref="S138:S201" si="64">+B138</f>
        <v>44325</v>
      </c>
      <c r="Z138" s="62">
        <f t="shared" ref="Z138:Z201" si="65">+B138</f>
        <v>44325</v>
      </c>
      <c r="AA138" s="63" t="s">
        <v>253</v>
      </c>
    </row>
    <row r="139" spans="2:27" x14ac:dyDescent="0.2">
      <c r="B139" s="58">
        <f t="shared" ref="B139:B202" si="66">1+B138</f>
        <v>44326</v>
      </c>
      <c r="C139" s="59" t="str">
        <f t="shared" si="54"/>
        <v>10</v>
      </c>
      <c r="D139" s="59" t="str">
        <f t="shared" si="55"/>
        <v>Monday</v>
      </c>
      <c r="E139" s="59" t="str">
        <f t="shared" si="56"/>
        <v>May</v>
      </c>
      <c r="F139" s="59" t="str">
        <f t="shared" si="57"/>
        <v>2021</v>
      </c>
      <c r="G139" s="59" t="str">
        <f t="shared" ref="G139:G202" si="67">+N139</f>
        <v>Week_20</v>
      </c>
      <c r="H139" s="59" t="str">
        <f t="shared" ref="H139:H202" si="68">E139&amp;" "&amp;F139</f>
        <v>May 2021</v>
      </c>
      <c r="I139" s="59" t="str">
        <f t="shared" ref="I139:I202" si="69">+P139&amp;N139</f>
        <v>Start WeekWeek_20</v>
      </c>
      <c r="J139" s="60">
        <f t="shared" si="58"/>
        <v>44326</v>
      </c>
      <c r="K139" s="59">
        <f t="shared" ref="K139:K202" si="70">IF($D139=$C$3,K138+1,K138)</f>
        <v>20</v>
      </c>
      <c r="L139" s="59">
        <f t="shared" si="59"/>
        <v>20</v>
      </c>
      <c r="M139" s="59" t="str">
        <f t="shared" si="60"/>
        <v>Week_</v>
      </c>
      <c r="N139" s="59" t="str">
        <f t="shared" si="61"/>
        <v>Week_20</v>
      </c>
      <c r="O139" s="59">
        <f t="shared" ref="O139:O202" si="71">K139-K138</f>
        <v>1</v>
      </c>
      <c r="P139" s="59" t="str">
        <f t="shared" ref="P139:P202" si="72">IF(O139=1,"Start Week","")</f>
        <v>Start Week</v>
      </c>
      <c r="Q139" s="59" t="str">
        <f t="shared" si="62"/>
        <v/>
      </c>
      <c r="R139" s="59" t="str">
        <f t="shared" si="63"/>
        <v>May 2021</v>
      </c>
      <c r="S139" s="61">
        <f t="shared" si="64"/>
        <v>44326</v>
      </c>
      <c r="Z139" s="62">
        <f t="shared" si="65"/>
        <v>44326</v>
      </c>
      <c r="AA139" s="63" t="s">
        <v>253</v>
      </c>
    </row>
    <row r="140" spans="2:27" x14ac:dyDescent="0.2">
      <c r="B140" s="58">
        <f t="shared" si="66"/>
        <v>44327</v>
      </c>
      <c r="C140" s="59" t="str">
        <f t="shared" si="54"/>
        <v>11</v>
      </c>
      <c r="D140" s="59" t="str">
        <f t="shared" si="55"/>
        <v>Tuesday</v>
      </c>
      <c r="E140" s="59" t="str">
        <f t="shared" si="56"/>
        <v>May</v>
      </c>
      <c r="F140" s="59" t="str">
        <f t="shared" si="57"/>
        <v>2021</v>
      </c>
      <c r="G140" s="59" t="str">
        <f t="shared" si="67"/>
        <v>Week_20</v>
      </c>
      <c r="H140" s="59" t="str">
        <f t="shared" si="68"/>
        <v>May 2021</v>
      </c>
      <c r="I140" s="59" t="str">
        <f t="shared" si="69"/>
        <v>Week_20</v>
      </c>
      <c r="J140" s="60">
        <f t="shared" si="58"/>
        <v>44327</v>
      </c>
      <c r="K140" s="59">
        <f t="shared" si="70"/>
        <v>20</v>
      </c>
      <c r="L140" s="59">
        <f t="shared" si="59"/>
        <v>20</v>
      </c>
      <c r="M140" s="59" t="str">
        <f t="shared" si="60"/>
        <v>Week_</v>
      </c>
      <c r="N140" s="59" t="str">
        <f t="shared" si="61"/>
        <v>Week_20</v>
      </c>
      <c r="O140" s="59">
        <f t="shared" si="71"/>
        <v>0</v>
      </c>
      <c r="P140" s="59" t="str">
        <f t="shared" si="72"/>
        <v/>
      </c>
      <c r="Q140" s="59" t="str">
        <f t="shared" si="62"/>
        <v/>
      </c>
      <c r="R140" s="59" t="str">
        <f t="shared" si="63"/>
        <v>May 2021</v>
      </c>
      <c r="S140" s="61">
        <f t="shared" si="64"/>
        <v>44327</v>
      </c>
      <c r="Z140" s="62">
        <f t="shared" si="65"/>
        <v>44327</v>
      </c>
      <c r="AA140" s="63" t="s">
        <v>253</v>
      </c>
    </row>
    <row r="141" spans="2:27" x14ac:dyDescent="0.2">
      <c r="B141" s="58">
        <f t="shared" si="66"/>
        <v>44328</v>
      </c>
      <c r="C141" s="59" t="str">
        <f t="shared" si="54"/>
        <v>12</v>
      </c>
      <c r="D141" s="59" t="str">
        <f t="shared" si="55"/>
        <v>Wednesday</v>
      </c>
      <c r="E141" s="59" t="str">
        <f t="shared" si="56"/>
        <v>May</v>
      </c>
      <c r="F141" s="59" t="str">
        <f t="shared" si="57"/>
        <v>2021</v>
      </c>
      <c r="G141" s="59" t="str">
        <f t="shared" si="67"/>
        <v>Week_20</v>
      </c>
      <c r="H141" s="59" t="str">
        <f t="shared" si="68"/>
        <v>May 2021</v>
      </c>
      <c r="I141" s="59" t="str">
        <f t="shared" si="69"/>
        <v>Week_20</v>
      </c>
      <c r="J141" s="60">
        <f t="shared" si="58"/>
        <v>44328</v>
      </c>
      <c r="K141" s="59">
        <f t="shared" si="70"/>
        <v>20</v>
      </c>
      <c r="L141" s="59">
        <f t="shared" si="59"/>
        <v>20</v>
      </c>
      <c r="M141" s="59" t="str">
        <f t="shared" si="60"/>
        <v>Week_</v>
      </c>
      <c r="N141" s="59" t="str">
        <f t="shared" si="61"/>
        <v>Week_20</v>
      </c>
      <c r="O141" s="59">
        <f t="shared" si="71"/>
        <v>0</v>
      </c>
      <c r="P141" s="59" t="str">
        <f t="shared" si="72"/>
        <v/>
      </c>
      <c r="Q141" s="59" t="str">
        <f t="shared" si="62"/>
        <v/>
      </c>
      <c r="R141" s="59" t="str">
        <f t="shared" si="63"/>
        <v>May 2021</v>
      </c>
      <c r="S141" s="61">
        <f t="shared" si="64"/>
        <v>44328</v>
      </c>
      <c r="Z141" s="62">
        <f t="shared" si="65"/>
        <v>44328</v>
      </c>
      <c r="AA141" s="63" t="s">
        <v>253</v>
      </c>
    </row>
    <row r="142" spans="2:27" x14ac:dyDescent="0.2">
      <c r="B142" s="58">
        <f t="shared" si="66"/>
        <v>44329</v>
      </c>
      <c r="C142" s="59" t="str">
        <f t="shared" si="54"/>
        <v>13</v>
      </c>
      <c r="D142" s="59" t="str">
        <f t="shared" si="55"/>
        <v>Thursday</v>
      </c>
      <c r="E142" s="59" t="str">
        <f t="shared" si="56"/>
        <v>May</v>
      </c>
      <c r="F142" s="59" t="str">
        <f t="shared" si="57"/>
        <v>2021</v>
      </c>
      <c r="G142" s="59" t="str">
        <f t="shared" si="67"/>
        <v>Week_20</v>
      </c>
      <c r="H142" s="59" t="str">
        <f t="shared" si="68"/>
        <v>May 2021</v>
      </c>
      <c r="I142" s="59" t="str">
        <f t="shared" si="69"/>
        <v>Week_20</v>
      </c>
      <c r="J142" s="60">
        <f t="shared" si="58"/>
        <v>44329</v>
      </c>
      <c r="K142" s="59">
        <f t="shared" si="70"/>
        <v>20</v>
      </c>
      <c r="L142" s="59">
        <f t="shared" si="59"/>
        <v>20</v>
      </c>
      <c r="M142" s="59" t="str">
        <f t="shared" si="60"/>
        <v>Week_</v>
      </c>
      <c r="N142" s="59" t="str">
        <f t="shared" si="61"/>
        <v>Week_20</v>
      </c>
      <c r="O142" s="59">
        <f t="shared" si="71"/>
        <v>0</v>
      </c>
      <c r="P142" s="59" t="str">
        <f t="shared" si="72"/>
        <v/>
      </c>
      <c r="Q142" s="59" t="str">
        <f t="shared" si="62"/>
        <v/>
      </c>
      <c r="R142" s="59" t="str">
        <f t="shared" si="63"/>
        <v>May 2021</v>
      </c>
      <c r="S142" s="61">
        <f t="shared" si="64"/>
        <v>44329</v>
      </c>
      <c r="Z142" s="62">
        <f t="shared" si="65"/>
        <v>44329</v>
      </c>
      <c r="AA142" s="63" t="s">
        <v>253</v>
      </c>
    </row>
    <row r="143" spans="2:27" x14ac:dyDescent="0.2">
      <c r="B143" s="58">
        <f t="shared" si="66"/>
        <v>44330</v>
      </c>
      <c r="C143" s="59" t="str">
        <f t="shared" si="54"/>
        <v>14</v>
      </c>
      <c r="D143" s="59" t="str">
        <f t="shared" si="55"/>
        <v>Friday</v>
      </c>
      <c r="E143" s="59" t="str">
        <f t="shared" si="56"/>
        <v>May</v>
      </c>
      <c r="F143" s="59" t="str">
        <f t="shared" si="57"/>
        <v>2021</v>
      </c>
      <c r="G143" s="59" t="str">
        <f t="shared" si="67"/>
        <v>Week_20</v>
      </c>
      <c r="H143" s="59" t="str">
        <f t="shared" si="68"/>
        <v>May 2021</v>
      </c>
      <c r="I143" s="59" t="str">
        <f t="shared" si="69"/>
        <v>Week_20</v>
      </c>
      <c r="J143" s="60">
        <f t="shared" si="58"/>
        <v>44330</v>
      </c>
      <c r="K143" s="59">
        <f t="shared" si="70"/>
        <v>20</v>
      </c>
      <c r="L143" s="59">
        <f t="shared" si="59"/>
        <v>20</v>
      </c>
      <c r="M143" s="59" t="str">
        <f t="shared" si="60"/>
        <v>Week_</v>
      </c>
      <c r="N143" s="59" t="str">
        <f t="shared" si="61"/>
        <v>Week_20</v>
      </c>
      <c r="O143" s="59">
        <f t="shared" si="71"/>
        <v>0</v>
      </c>
      <c r="P143" s="59" t="str">
        <f t="shared" si="72"/>
        <v/>
      </c>
      <c r="Q143" s="59" t="str">
        <f t="shared" si="62"/>
        <v/>
      </c>
      <c r="R143" s="59" t="str">
        <f t="shared" si="63"/>
        <v>May 2021</v>
      </c>
      <c r="S143" s="61">
        <f t="shared" si="64"/>
        <v>44330</v>
      </c>
      <c r="Z143" s="62">
        <f t="shared" si="65"/>
        <v>44330</v>
      </c>
      <c r="AA143" s="63" t="s">
        <v>253</v>
      </c>
    </row>
    <row r="144" spans="2:27" x14ac:dyDescent="0.2">
      <c r="B144" s="58">
        <f t="shared" si="66"/>
        <v>44331</v>
      </c>
      <c r="C144" s="59" t="str">
        <f t="shared" si="54"/>
        <v>15</v>
      </c>
      <c r="D144" s="59" t="str">
        <f t="shared" si="55"/>
        <v>Saturday</v>
      </c>
      <c r="E144" s="59" t="str">
        <f t="shared" si="56"/>
        <v>May</v>
      </c>
      <c r="F144" s="59" t="str">
        <f t="shared" si="57"/>
        <v>2021</v>
      </c>
      <c r="G144" s="59" t="str">
        <f t="shared" si="67"/>
        <v>Week_20</v>
      </c>
      <c r="H144" s="59" t="str">
        <f t="shared" si="68"/>
        <v>May 2021</v>
      </c>
      <c r="I144" s="59" t="str">
        <f t="shared" si="69"/>
        <v>Week_20</v>
      </c>
      <c r="J144" s="60">
        <f t="shared" si="58"/>
        <v>44331</v>
      </c>
      <c r="K144" s="59">
        <f t="shared" si="70"/>
        <v>20</v>
      </c>
      <c r="L144" s="59">
        <f t="shared" si="59"/>
        <v>20</v>
      </c>
      <c r="M144" s="59" t="str">
        <f t="shared" si="60"/>
        <v>Week_</v>
      </c>
      <c r="N144" s="59" t="str">
        <f t="shared" si="61"/>
        <v>Week_20</v>
      </c>
      <c r="O144" s="59">
        <f t="shared" si="71"/>
        <v>0</v>
      </c>
      <c r="P144" s="59" t="str">
        <f t="shared" si="72"/>
        <v/>
      </c>
      <c r="Q144" s="59" t="str">
        <f t="shared" si="62"/>
        <v/>
      </c>
      <c r="R144" s="59" t="str">
        <f t="shared" si="63"/>
        <v>May 2021</v>
      </c>
      <c r="S144" s="61">
        <f t="shared" si="64"/>
        <v>44331</v>
      </c>
      <c r="Z144" s="62">
        <f t="shared" si="65"/>
        <v>44331</v>
      </c>
      <c r="AA144" s="63" t="s">
        <v>253</v>
      </c>
    </row>
    <row r="145" spans="2:27" x14ac:dyDescent="0.2">
      <c r="B145" s="58">
        <f t="shared" si="66"/>
        <v>44332</v>
      </c>
      <c r="C145" s="59" t="str">
        <f t="shared" si="54"/>
        <v>16</v>
      </c>
      <c r="D145" s="59" t="str">
        <f t="shared" si="55"/>
        <v>Sunday</v>
      </c>
      <c r="E145" s="59" t="str">
        <f t="shared" si="56"/>
        <v>May</v>
      </c>
      <c r="F145" s="59" t="str">
        <f t="shared" si="57"/>
        <v>2021</v>
      </c>
      <c r="G145" s="59" t="str">
        <f t="shared" si="67"/>
        <v>Week_20</v>
      </c>
      <c r="H145" s="59" t="str">
        <f t="shared" si="68"/>
        <v>May 2021</v>
      </c>
      <c r="I145" s="59" t="str">
        <f t="shared" si="69"/>
        <v>Week_20</v>
      </c>
      <c r="J145" s="60">
        <f t="shared" si="58"/>
        <v>44332</v>
      </c>
      <c r="K145" s="59">
        <f t="shared" si="70"/>
        <v>20</v>
      </c>
      <c r="L145" s="59">
        <f t="shared" si="59"/>
        <v>20</v>
      </c>
      <c r="M145" s="59" t="str">
        <f t="shared" si="60"/>
        <v>Week_</v>
      </c>
      <c r="N145" s="59" t="str">
        <f t="shared" si="61"/>
        <v>Week_20</v>
      </c>
      <c r="O145" s="59">
        <f t="shared" si="71"/>
        <v>0</v>
      </c>
      <c r="P145" s="59" t="str">
        <f t="shared" si="72"/>
        <v/>
      </c>
      <c r="Q145" s="59" t="str">
        <f t="shared" si="62"/>
        <v/>
      </c>
      <c r="R145" s="59" t="str">
        <f t="shared" si="63"/>
        <v>May 2021</v>
      </c>
      <c r="S145" s="61">
        <f t="shared" si="64"/>
        <v>44332</v>
      </c>
      <c r="Z145" s="62">
        <f t="shared" si="65"/>
        <v>44332</v>
      </c>
      <c r="AA145" s="63" t="s">
        <v>253</v>
      </c>
    </row>
    <row r="146" spans="2:27" x14ac:dyDescent="0.2">
      <c r="B146" s="58">
        <f t="shared" si="66"/>
        <v>44333</v>
      </c>
      <c r="C146" s="59" t="str">
        <f t="shared" si="54"/>
        <v>17</v>
      </c>
      <c r="D146" s="59" t="str">
        <f t="shared" si="55"/>
        <v>Monday</v>
      </c>
      <c r="E146" s="59" t="str">
        <f t="shared" si="56"/>
        <v>May</v>
      </c>
      <c r="F146" s="59" t="str">
        <f t="shared" si="57"/>
        <v>2021</v>
      </c>
      <c r="G146" s="59" t="str">
        <f t="shared" si="67"/>
        <v>Week_21</v>
      </c>
      <c r="H146" s="59" t="str">
        <f t="shared" si="68"/>
        <v>May 2021</v>
      </c>
      <c r="I146" s="59" t="str">
        <f t="shared" si="69"/>
        <v>Start WeekWeek_21</v>
      </c>
      <c r="J146" s="60">
        <f t="shared" si="58"/>
        <v>44333</v>
      </c>
      <c r="K146" s="59">
        <f t="shared" si="70"/>
        <v>21</v>
      </c>
      <c r="L146" s="59">
        <f t="shared" si="59"/>
        <v>21</v>
      </c>
      <c r="M146" s="59" t="str">
        <f t="shared" si="60"/>
        <v>Week_</v>
      </c>
      <c r="N146" s="59" t="str">
        <f t="shared" si="61"/>
        <v>Week_21</v>
      </c>
      <c r="O146" s="59">
        <f t="shared" si="71"/>
        <v>1</v>
      </c>
      <c r="P146" s="59" t="str">
        <f t="shared" si="72"/>
        <v>Start Week</v>
      </c>
      <c r="Q146" s="59" t="str">
        <f t="shared" si="62"/>
        <v/>
      </c>
      <c r="R146" s="59" t="str">
        <f t="shared" si="63"/>
        <v>May 2021</v>
      </c>
      <c r="S146" s="61">
        <f t="shared" si="64"/>
        <v>44333</v>
      </c>
      <c r="Z146" s="62">
        <f t="shared" si="65"/>
        <v>44333</v>
      </c>
      <c r="AA146" s="63" t="s">
        <v>253</v>
      </c>
    </row>
    <row r="147" spans="2:27" x14ac:dyDescent="0.2">
      <c r="B147" s="58">
        <f t="shared" si="66"/>
        <v>44334</v>
      </c>
      <c r="C147" s="59" t="str">
        <f t="shared" si="54"/>
        <v>18</v>
      </c>
      <c r="D147" s="59" t="str">
        <f t="shared" si="55"/>
        <v>Tuesday</v>
      </c>
      <c r="E147" s="59" t="str">
        <f t="shared" si="56"/>
        <v>May</v>
      </c>
      <c r="F147" s="59" t="str">
        <f t="shared" si="57"/>
        <v>2021</v>
      </c>
      <c r="G147" s="59" t="str">
        <f t="shared" si="67"/>
        <v>Week_21</v>
      </c>
      <c r="H147" s="59" t="str">
        <f t="shared" si="68"/>
        <v>May 2021</v>
      </c>
      <c r="I147" s="59" t="str">
        <f t="shared" si="69"/>
        <v>Week_21</v>
      </c>
      <c r="J147" s="60">
        <f t="shared" si="58"/>
        <v>44334</v>
      </c>
      <c r="K147" s="59">
        <f t="shared" si="70"/>
        <v>21</v>
      </c>
      <c r="L147" s="59">
        <f t="shared" si="59"/>
        <v>21</v>
      </c>
      <c r="M147" s="59" t="str">
        <f t="shared" si="60"/>
        <v>Week_</v>
      </c>
      <c r="N147" s="59" t="str">
        <f t="shared" si="61"/>
        <v>Week_21</v>
      </c>
      <c r="O147" s="59">
        <f t="shared" si="71"/>
        <v>0</v>
      </c>
      <c r="P147" s="59" t="str">
        <f t="shared" si="72"/>
        <v/>
      </c>
      <c r="Q147" s="59" t="str">
        <f t="shared" si="62"/>
        <v/>
      </c>
      <c r="R147" s="59" t="str">
        <f t="shared" si="63"/>
        <v>May 2021</v>
      </c>
      <c r="S147" s="61">
        <f t="shared" si="64"/>
        <v>44334</v>
      </c>
      <c r="Z147" s="62">
        <f t="shared" si="65"/>
        <v>44334</v>
      </c>
      <c r="AA147" s="63" t="s">
        <v>253</v>
      </c>
    </row>
    <row r="148" spans="2:27" x14ac:dyDescent="0.2">
      <c r="B148" s="58">
        <f t="shared" si="66"/>
        <v>44335</v>
      </c>
      <c r="C148" s="59" t="str">
        <f t="shared" si="54"/>
        <v>19</v>
      </c>
      <c r="D148" s="59" t="str">
        <f t="shared" si="55"/>
        <v>Wednesday</v>
      </c>
      <c r="E148" s="59" t="str">
        <f t="shared" si="56"/>
        <v>May</v>
      </c>
      <c r="F148" s="59" t="str">
        <f t="shared" si="57"/>
        <v>2021</v>
      </c>
      <c r="G148" s="59" t="str">
        <f t="shared" si="67"/>
        <v>Week_21</v>
      </c>
      <c r="H148" s="59" t="str">
        <f t="shared" si="68"/>
        <v>May 2021</v>
      </c>
      <c r="I148" s="59" t="str">
        <f t="shared" si="69"/>
        <v>Week_21</v>
      </c>
      <c r="J148" s="60">
        <f t="shared" si="58"/>
        <v>44335</v>
      </c>
      <c r="K148" s="59">
        <f t="shared" si="70"/>
        <v>21</v>
      </c>
      <c r="L148" s="59">
        <f t="shared" si="59"/>
        <v>21</v>
      </c>
      <c r="M148" s="59" t="str">
        <f t="shared" si="60"/>
        <v>Week_</v>
      </c>
      <c r="N148" s="59" t="str">
        <f t="shared" si="61"/>
        <v>Week_21</v>
      </c>
      <c r="O148" s="59">
        <f t="shared" si="71"/>
        <v>0</v>
      </c>
      <c r="P148" s="59" t="str">
        <f t="shared" si="72"/>
        <v/>
      </c>
      <c r="Q148" s="59" t="str">
        <f t="shared" si="62"/>
        <v/>
      </c>
      <c r="R148" s="59" t="str">
        <f t="shared" si="63"/>
        <v>May 2021</v>
      </c>
      <c r="S148" s="61">
        <f t="shared" si="64"/>
        <v>44335</v>
      </c>
      <c r="Z148" s="62">
        <f t="shared" si="65"/>
        <v>44335</v>
      </c>
      <c r="AA148" s="63" t="s">
        <v>253</v>
      </c>
    </row>
    <row r="149" spans="2:27" x14ac:dyDescent="0.2">
      <c r="B149" s="58">
        <f t="shared" si="66"/>
        <v>44336</v>
      </c>
      <c r="C149" s="59" t="str">
        <f t="shared" si="54"/>
        <v>20</v>
      </c>
      <c r="D149" s="59" t="str">
        <f t="shared" si="55"/>
        <v>Thursday</v>
      </c>
      <c r="E149" s="59" t="str">
        <f t="shared" si="56"/>
        <v>May</v>
      </c>
      <c r="F149" s="59" t="str">
        <f t="shared" si="57"/>
        <v>2021</v>
      </c>
      <c r="G149" s="59" t="str">
        <f t="shared" si="67"/>
        <v>Week_21</v>
      </c>
      <c r="H149" s="59" t="str">
        <f t="shared" si="68"/>
        <v>May 2021</v>
      </c>
      <c r="I149" s="59" t="str">
        <f t="shared" si="69"/>
        <v>Week_21</v>
      </c>
      <c r="J149" s="60">
        <f t="shared" si="58"/>
        <v>44336</v>
      </c>
      <c r="K149" s="59">
        <f t="shared" si="70"/>
        <v>21</v>
      </c>
      <c r="L149" s="59">
        <f t="shared" si="59"/>
        <v>21</v>
      </c>
      <c r="M149" s="59" t="str">
        <f t="shared" si="60"/>
        <v>Week_</v>
      </c>
      <c r="N149" s="59" t="str">
        <f t="shared" si="61"/>
        <v>Week_21</v>
      </c>
      <c r="O149" s="59">
        <f t="shared" si="71"/>
        <v>0</v>
      </c>
      <c r="P149" s="59" t="str">
        <f t="shared" si="72"/>
        <v/>
      </c>
      <c r="Q149" s="59" t="str">
        <f t="shared" si="62"/>
        <v/>
      </c>
      <c r="R149" s="59" t="str">
        <f t="shared" si="63"/>
        <v>May 2021</v>
      </c>
      <c r="S149" s="61">
        <f t="shared" si="64"/>
        <v>44336</v>
      </c>
      <c r="Z149" s="62">
        <f t="shared" si="65"/>
        <v>44336</v>
      </c>
      <c r="AA149" s="63" t="s">
        <v>253</v>
      </c>
    </row>
    <row r="150" spans="2:27" x14ac:dyDescent="0.2">
      <c r="B150" s="58">
        <f t="shared" si="66"/>
        <v>44337</v>
      </c>
      <c r="C150" s="59" t="str">
        <f t="shared" si="54"/>
        <v>21</v>
      </c>
      <c r="D150" s="59" t="str">
        <f t="shared" si="55"/>
        <v>Friday</v>
      </c>
      <c r="E150" s="59" t="str">
        <f t="shared" si="56"/>
        <v>May</v>
      </c>
      <c r="F150" s="59" t="str">
        <f t="shared" si="57"/>
        <v>2021</v>
      </c>
      <c r="G150" s="59" t="str">
        <f t="shared" si="67"/>
        <v>Week_21</v>
      </c>
      <c r="H150" s="59" t="str">
        <f t="shared" si="68"/>
        <v>May 2021</v>
      </c>
      <c r="I150" s="59" t="str">
        <f t="shared" si="69"/>
        <v>Week_21</v>
      </c>
      <c r="J150" s="60">
        <f t="shared" si="58"/>
        <v>44337</v>
      </c>
      <c r="K150" s="59">
        <f t="shared" si="70"/>
        <v>21</v>
      </c>
      <c r="L150" s="59">
        <f t="shared" si="59"/>
        <v>21</v>
      </c>
      <c r="M150" s="59" t="str">
        <f t="shared" si="60"/>
        <v>Week_</v>
      </c>
      <c r="N150" s="59" t="str">
        <f t="shared" si="61"/>
        <v>Week_21</v>
      </c>
      <c r="O150" s="59">
        <f t="shared" si="71"/>
        <v>0</v>
      </c>
      <c r="P150" s="59" t="str">
        <f t="shared" si="72"/>
        <v/>
      </c>
      <c r="Q150" s="59" t="str">
        <f t="shared" si="62"/>
        <v/>
      </c>
      <c r="R150" s="59" t="str">
        <f t="shared" si="63"/>
        <v>May 2021</v>
      </c>
      <c r="S150" s="61">
        <f t="shared" si="64"/>
        <v>44337</v>
      </c>
      <c r="Z150" s="62">
        <f t="shared" si="65"/>
        <v>44337</v>
      </c>
      <c r="AA150" s="63" t="s">
        <v>253</v>
      </c>
    </row>
    <row r="151" spans="2:27" x14ac:dyDescent="0.2">
      <c r="B151" s="58">
        <f t="shared" si="66"/>
        <v>44338</v>
      </c>
      <c r="C151" s="59" t="str">
        <f t="shared" si="54"/>
        <v>22</v>
      </c>
      <c r="D151" s="59" t="str">
        <f t="shared" si="55"/>
        <v>Saturday</v>
      </c>
      <c r="E151" s="59" t="str">
        <f t="shared" si="56"/>
        <v>May</v>
      </c>
      <c r="F151" s="59" t="str">
        <f t="shared" si="57"/>
        <v>2021</v>
      </c>
      <c r="G151" s="59" t="str">
        <f t="shared" si="67"/>
        <v>Week_21</v>
      </c>
      <c r="H151" s="59" t="str">
        <f t="shared" si="68"/>
        <v>May 2021</v>
      </c>
      <c r="I151" s="59" t="str">
        <f t="shared" si="69"/>
        <v>Week_21</v>
      </c>
      <c r="J151" s="60">
        <f t="shared" si="58"/>
        <v>44338</v>
      </c>
      <c r="K151" s="59">
        <f t="shared" si="70"/>
        <v>21</v>
      </c>
      <c r="L151" s="59">
        <f t="shared" si="59"/>
        <v>21</v>
      </c>
      <c r="M151" s="59" t="str">
        <f t="shared" si="60"/>
        <v>Week_</v>
      </c>
      <c r="N151" s="59" t="str">
        <f t="shared" si="61"/>
        <v>Week_21</v>
      </c>
      <c r="O151" s="59">
        <f t="shared" si="71"/>
        <v>0</v>
      </c>
      <c r="P151" s="59" t="str">
        <f t="shared" si="72"/>
        <v/>
      </c>
      <c r="Q151" s="59" t="str">
        <f t="shared" si="62"/>
        <v/>
      </c>
      <c r="R151" s="59" t="str">
        <f t="shared" si="63"/>
        <v>May 2021</v>
      </c>
      <c r="S151" s="61">
        <f t="shared" si="64"/>
        <v>44338</v>
      </c>
      <c r="Z151" s="62">
        <f t="shared" si="65"/>
        <v>44338</v>
      </c>
      <c r="AA151" s="63" t="s">
        <v>253</v>
      </c>
    </row>
    <row r="152" spans="2:27" x14ac:dyDescent="0.2">
      <c r="B152" s="58">
        <f t="shared" si="66"/>
        <v>44339</v>
      </c>
      <c r="C152" s="59" t="str">
        <f t="shared" si="54"/>
        <v>23</v>
      </c>
      <c r="D152" s="59" t="str">
        <f t="shared" si="55"/>
        <v>Sunday</v>
      </c>
      <c r="E152" s="59" t="str">
        <f t="shared" si="56"/>
        <v>May</v>
      </c>
      <c r="F152" s="59" t="str">
        <f t="shared" si="57"/>
        <v>2021</v>
      </c>
      <c r="G152" s="59" t="str">
        <f t="shared" si="67"/>
        <v>Week_21</v>
      </c>
      <c r="H152" s="59" t="str">
        <f t="shared" si="68"/>
        <v>May 2021</v>
      </c>
      <c r="I152" s="59" t="str">
        <f t="shared" si="69"/>
        <v>Week_21</v>
      </c>
      <c r="J152" s="60">
        <f t="shared" si="58"/>
        <v>44339</v>
      </c>
      <c r="K152" s="59">
        <f t="shared" si="70"/>
        <v>21</v>
      </c>
      <c r="L152" s="59">
        <f t="shared" si="59"/>
        <v>21</v>
      </c>
      <c r="M152" s="59" t="str">
        <f t="shared" si="60"/>
        <v>Week_</v>
      </c>
      <c r="N152" s="59" t="str">
        <f t="shared" si="61"/>
        <v>Week_21</v>
      </c>
      <c r="O152" s="59">
        <f t="shared" si="71"/>
        <v>0</v>
      </c>
      <c r="P152" s="59" t="str">
        <f t="shared" si="72"/>
        <v/>
      </c>
      <c r="Q152" s="59" t="str">
        <f t="shared" si="62"/>
        <v/>
      </c>
      <c r="R152" s="59" t="str">
        <f t="shared" si="63"/>
        <v>May 2021</v>
      </c>
      <c r="S152" s="61">
        <f t="shared" si="64"/>
        <v>44339</v>
      </c>
      <c r="Z152" s="62">
        <f t="shared" si="65"/>
        <v>44339</v>
      </c>
      <c r="AA152" s="63" t="s">
        <v>253</v>
      </c>
    </row>
    <row r="153" spans="2:27" x14ac:dyDescent="0.2">
      <c r="B153" s="58">
        <f t="shared" si="66"/>
        <v>44340</v>
      </c>
      <c r="C153" s="59" t="str">
        <f t="shared" si="54"/>
        <v>24</v>
      </c>
      <c r="D153" s="59" t="str">
        <f t="shared" si="55"/>
        <v>Monday</v>
      </c>
      <c r="E153" s="59" t="str">
        <f t="shared" si="56"/>
        <v>May</v>
      </c>
      <c r="F153" s="59" t="str">
        <f t="shared" si="57"/>
        <v>2021</v>
      </c>
      <c r="G153" s="59" t="str">
        <f t="shared" si="67"/>
        <v>Week_22</v>
      </c>
      <c r="H153" s="59" t="str">
        <f t="shared" si="68"/>
        <v>May 2021</v>
      </c>
      <c r="I153" s="59" t="str">
        <f t="shared" si="69"/>
        <v>Start WeekWeek_22</v>
      </c>
      <c r="J153" s="60">
        <f t="shared" si="58"/>
        <v>44340</v>
      </c>
      <c r="K153" s="59">
        <f t="shared" si="70"/>
        <v>22</v>
      </c>
      <c r="L153" s="59">
        <f t="shared" si="59"/>
        <v>22</v>
      </c>
      <c r="M153" s="59" t="str">
        <f t="shared" si="60"/>
        <v>Week_</v>
      </c>
      <c r="N153" s="59" t="str">
        <f t="shared" si="61"/>
        <v>Week_22</v>
      </c>
      <c r="O153" s="59">
        <f t="shared" si="71"/>
        <v>1</v>
      </c>
      <c r="P153" s="59" t="str">
        <f t="shared" si="72"/>
        <v>Start Week</v>
      </c>
      <c r="Q153" s="59" t="str">
        <f t="shared" si="62"/>
        <v/>
      </c>
      <c r="R153" s="59" t="str">
        <f t="shared" si="63"/>
        <v>May 2021</v>
      </c>
      <c r="S153" s="61">
        <f t="shared" si="64"/>
        <v>44340</v>
      </c>
      <c r="Z153" s="62">
        <f t="shared" si="65"/>
        <v>44340</v>
      </c>
      <c r="AA153" s="63" t="s">
        <v>253</v>
      </c>
    </row>
    <row r="154" spans="2:27" x14ac:dyDescent="0.2">
      <c r="B154" s="58">
        <f t="shared" si="66"/>
        <v>44341</v>
      </c>
      <c r="C154" s="59" t="str">
        <f t="shared" si="54"/>
        <v>25</v>
      </c>
      <c r="D154" s="59" t="str">
        <f t="shared" si="55"/>
        <v>Tuesday</v>
      </c>
      <c r="E154" s="59" t="str">
        <f t="shared" si="56"/>
        <v>May</v>
      </c>
      <c r="F154" s="59" t="str">
        <f t="shared" si="57"/>
        <v>2021</v>
      </c>
      <c r="G154" s="59" t="str">
        <f t="shared" si="67"/>
        <v>Week_22</v>
      </c>
      <c r="H154" s="59" t="str">
        <f t="shared" si="68"/>
        <v>May 2021</v>
      </c>
      <c r="I154" s="59" t="str">
        <f t="shared" si="69"/>
        <v>Week_22</v>
      </c>
      <c r="J154" s="60">
        <f t="shared" si="58"/>
        <v>44341</v>
      </c>
      <c r="K154" s="59">
        <f t="shared" si="70"/>
        <v>22</v>
      </c>
      <c r="L154" s="59">
        <f t="shared" si="59"/>
        <v>22</v>
      </c>
      <c r="M154" s="59" t="str">
        <f t="shared" si="60"/>
        <v>Week_</v>
      </c>
      <c r="N154" s="59" t="str">
        <f t="shared" si="61"/>
        <v>Week_22</v>
      </c>
      <c r="O154" s="59">
        <f t="shared" si="71"/>
        <v>0</v>
      </c>
      <c r="P154" s="59" t="str">
        <f t="shared" si="72"/>
        <v/>
      </c>
      <c r="Q154" s="59" t="str">
        <f t="shared" si="62"/>
        <v/>
      </c>
      <c r="R154" s="59" t="str">
        <f t="shared" si="63"/>
        <v>May 2021</v>
      </c>
      <c r="S154" s="61">
        <f t="shared" si="64"/>
        <v>44341</v>
      </c>
      <c r="Z154" s="62">
        <f t="shared" si="65"/>
        <v>44341</v>
      </c>
      <c r="AA154" s="63" t="s">
        <v>253</v>
      </c>
    </row>
    <row r="155" spans="2:27" x14ac:dyDescent="0.2">
      <c r="B155" s="58">
        <f t="shared" si="66"/>
        <v>44342</v>
      </c>
      <c r="C155" s="59" t="str">
        <f t="shared" si="54"/>
        <v>26</v>
      </c>
      <c r="D155" s="59" t="str">
        <f t="shared" si="55"/>
        <v>Wednesday</v>
      </c>
      <c r="E155" s="59" t="str">
        <f t="shared" si="56"/>
        <v>May</v>
      </c>
      <c r="F155" s="59" t="str">
        <f t="shared" si="57"/>
        <v>2021</v>
      </c>
      <c r="G155" s="59" t="str">
        <f t="shared" si="67"/>
        <v>Week_22</v>
      </c>
      <c r="H155" s="59" t="str">
        <f t="shared" si="68"/>
        <v>May 2021</v>
      </c>
      <c r="I155" s="59" t="str">
        <f t="shared" si="69"/>
        <v>Week_22</v>
      </c>
      <c r="J155" s="60">
        <f t="shared" si="58"/>
        <v>44342</v>
      </c>
      <c r="K155" s="59">
        <f t="shared" si="70"/>
        <v>22</v>
      </c>
      <c r="L155" s="59">
        <f t="shared" si="59"/>
        <v>22</v>
      </c>
      <c r="M155" s="59" t="str">
        <f t="shared" si="60"/>
        <v>Week_</v>
      </c>
      <c r="N155" s="59" t="str">
        <f t="shared" si="61"/>
        <v>Week_22</v>
      </c>
      <c r="O155" s="59">
        <f t="shared" si="71"/>
        <v>0</v>
      </c>
      <c r="P155" s="59" t="str">
        <f t="shared" si="72"/>
        <v/>
      </c>
      <c r="Q155" s="59" t="str">
        <f t="shared" si="62"/>
        <v/>
      </c>
      <c r="R155" s="59" t="str">
        <f t="shared" si="63"/>
        <v>May 2021</v>
      </c>
      <c r="S155" s="61">
        <f t="shared" si="64"/>
        <v>44342</v>
      </c>
      <c r="Z155" s="62">
        <f t="shared" si="65"/>
        <v>44342</v>
      </c>
      <c r="AA155" s="63" t="s">
        <v>253</v>
      </c>
    </row>
    <row r="156" spans="2:27" x14ac:dyDescent="0.2">
      <c r="B156" s="58">
        <f t="shared" si="66"/>
        <v>44343</v>
      </c>
      <c r="C156" s="59" t="str">
        <f t="shared" si="54"/>
        <v>27</v>
      </c>
      <c r="D156" s="59" t="str">
        <f t="shared" si="55"/>
        <v>Thursday</v>
      </c>
      <c r="E156" s="59" t="str">
        <f t="shared" si="56"/>
        <v>May</v>
      </c>
      <c r="F156" s="59" t="str">
        <f t="shared" si="57"/>
        <v>2021</v>
      </c>
      <c r="G156" s="59" t="str">
        <f t="shared" si="67"/>
        <v>Week_22</v>
      </c>
      <c r="H156" s="59" t="str">
        <f t="shared" si="68"/>
        <v>May 2021</v>
      </c>
      <c r="I156" s="59" t="str">
        <f t="shared" si="69"/>
        <v>Week_22</v>
      </c>
      <c r="J156" s="60">
        <f t="shared" si="58"/>
        <v>44343</v>
      </c>
      <c r="K156" s="59">
        <f t="shared" si="70"/>
        <v>22</v>
      </c>
      <c r="L156" s="59">
        <f t="shared" si="59"/>
        <v>22</v>
      </c>
      <c r="M156" s="59" t="str">
        <f t="shared" si="60"/>
        <v>Week_</v>
      </c>
      <c r="N156" s="59" t="str">
        <f t="shared" si="61"/>
        <v>Week_22</v>
      </c>
      <c r="O156" s="59">
        <f t="shared" si="71"/>
        <v>0</v>
      </c>
      <c r="P156" s="59" t="str">
        <f t="shared" si="72"/>
        <v/>
      </c>
      <c r="Q156" s="59" t="str">
        <f t="shared" si="62"/>
        <v/>
      </c>
      <c r="R156" s="59" t="str">
        <f t="shared" si="63"/>
        <v>May 2021</v>
      </c>
      <c r="S156" s="61">
        <f t="shared" si="64"/>
        <v>44343</v>
      </c>
      <c r="Z156" s="62">
        <f t="shared" si="65"/>
        <v>44343</v>
      </c>
      <c r="AA156" s="63" t="s">
        <v>253</v>
      </c>
    </row>
    <row r="157" spans="2:27" x14ac:dyDescent="0.2">
      <c r="B157" s="58">
        <f t="shared" si="66"/>
        <v>44344</v>
      </c>
      <c r="C157" s="59" t="str">
        <f t="shared" si="54"/>
        <v>28</v>
      </c>
      <c r="D157" s="59" t="str">
        <f t="shared" si="55"/>
        <v>Friday</v>
      </c>
      <c r="E157" s="59" t="str">
        <f t="shared" si="56"/>
        <v>May</v>
      </c>
      <c r="F157" s="59" t="str">
        <f t="shared" si="57"/>
        <v>2021</v>
      </c>
      <c r="G157" s="59" t="str">
        <f t="shared" si="67"/>
        <v>Week_22</v>
      </c>
      <c r="H157" s="59" t="str">
        <f t="shared" si="68"/>
        <v>May 2021</v>
      </c>
      <c r="I157" s="59" t="str">
        <f t="shared" si="69"/>
        <v>Week_22</v>
      </c>
      <c r="J157" s="60">
        <f t="shared" si="58"/>
        <v>44344</v>
      </c>
      <c r="K157" s="59">
        <f t="shared" si="70"/>
        <v>22</v>
      </c>
      <c r="L157" s="59">
        <f t="shared" si="59"/>
        <v>22</v>
      </c>
      <c r="M157" s="59" t="str">
        <f t="shared" si="60"/>
        <v>Week_</v>
      </c>
      <c r="N157" s="59" t="str">
        <f t="shared" si="61"/>
        <v>Week_22</v>
      </c>
      <c r="O157" s="59">
        <f t="shared" si="71"/>
        <v>0</v>
      </c>
      <c r="P157" s="59" t="str">
        <f t="shared" si="72"/>
        <v/>
      </c>
      <c r="Q157" s="59" t="str">
        <f t="shared" si="62"/>
        <v/>
      </c>
      <c r="R157" s="59" t="str">
        <f t="shared" si="63"/>
        <v>May 2021</v>
      </c>
      <c r="S157" s="61">
        <f t="shared" si="64"/>
        <v>44344</v>
      </c>
      <c r="Z157" s="62">
        <f t="shared" si="65"/>
        <v>44344</v>
      </c>
      <c r="AA157" s="63" t="s">
        <v>253</v>
      </c>
    </row>
    <row r="158" spans="2:27" x14ac:dyDescent="0.2">
      <c r="B158" s="58">
        <f t="shared" si="66"/>
        <v>44345</v>
      </c>
      <c r="C158" s="59" t="str">
        <f t="shared" si="54"/>
        <v>29</v>
      </c>
      <c r="D158" s="59" t="str">
        <f t="shared" si="55"/>
        <v>Saturday</v>
      </c>
      <c r="E158" s="59" t="str">
        <f t="shared" si="56"/>
        <v>May</v>
      </c>
      <c r="F158" s="59" t="str">
        <f t="shared" si="57"/>
        <v>2021</v>
      </c>
      <c r="G158" s="59" t="str">
        <f t="shared" si="67"/>
        <v>Week_22</v>
      </c>
      <c r="H158" s="59" t="str">
        <f t="shared" si="68"/>
        <v>May 2021</v>
      </c>
      <c r="I158" s="59" t="str">
        <f t="shared" si="69"/>
        <v>Week_22</v>
      </c>
      <c r="J158" s="60">
        <f t="shared" si="58"/>
        <v>44345</v>
      </c>
      <c r="K158" s="59">
        <f t="shared" si="70"/>
        <v>22</v>
      </c>
      <c r="L158" s="59">
        <f t="shared" si="59"/>
        <v>22</v>
      </c>
      <c r="M158" s="59" t="str">
        <f t="shared" si="60"/>
        <v>Week_</v>
      </c>
      <c r="N158" s="59" t="str">
        <f t="shared" si="61"/>
        <v>Week_22</v>
      </c>
      <c r="O158" s="59">
        <f t="shared" si="71"/>
        <v>0</v>
      </c>
      <c r="P158" s="59" t="str">
        <f t="shared" si="72"/>
        <v/>
      </c>
      <c r="Q158" s="59" t="str">
        <f t="shared" si="62"/>
        <v/>
      </c>
      <c r="R158" s="59" t="str">
        <f t="shared" si="63"/>
        <v>May 2021</v>
      </c>
      <c r="S158" s="61">
        <f t="shared" si="64"/>
        <v>44345</v>
      </c>
      <c r="Z158" s="62">
        <f t="shared" si="65"/>
        <v>44345</v>
      </c>
      <c r="AA158" s="63" t="s">
        <v>253</v>
      </c>
    </row>
    <row r="159" spans="2:27" x14ac:dyDescent="0.2">
      <c r="B159" s="58">
        <f t="shared" si="66"/>
        <v>44346</v>
      </c>
      <c r="C159" s="59" t="str">
        <f t="shared" si="54"/>
        <v>30</v>
      </c>
      <c r="D159" s="59" t="str">
        <f t="shared" si="55"/>
        <v>Sunday</v>
      </c>
      <c r="E159" s="59" t="str">
        <f t="shared" si="56"/>
        <v>May</v>
      </c>
      <c r="F159" s="59" t="str">
        <f t="shared" si="57"/>
        <v>2021</v>
      </c>
      <c r="G159" s="59" t="str">
        <f t="shared" si="67"/>
        <v>Week_22</v>
      </c>
      <c r="H159" s="59" t="str">
        <f t="shared" si="68"/>
        <v>May 2021</v>
      </c>
      <c r="I159" s="59" t="str">
        <f t="shared" si="69"/>
        <v>Week_22</v>
      </c>
      <c r="J159" s="60">
        <f t="shared" si="58"/>
        <v>44346</v>
      </c>
      <c r="K159" s="59">
        <f t="shared" si="70"/>
        <v>22</v>
      </c>
      <c r="L159" s="59">
        <f t="shared" si="59"/>
        <v>22</v>
      </c>
      <c r="M159" s="59" t="str">
        <f t="shared" si="60"/>
        <v>Week_</v>
      </c>
      <c r="N159" s="59" t="str">
        <f t="shared" si="61"/>
        <v>Week_22</v>
      </c>
      <c r="O159" s="59">
        <f t="shared" si="71"/>
        <v>0</v>
      </c>
      <c r="P159" s="59" t="str">
        <f t="shared" si="72"/>
        <v/>
      </c>
      <c r="Q159" s="59" t="str">
        <f t="shared" si="62"/>
        <v/>
      </c>
      <c r="R159" s="59" t="str">
        <f t="shared" si="63"/>
        <v>May 2021</v>
      </c>
      <c r="S159" s="61">
        <f t="shared" si="64"/>
        <v>44346</v>
      </c>
      <c r="Z159" s="62">
        <f t="shared" si="65"/>
        <v>44346</v>
      </c>
      <c r="AA159" s="63" t="s">
        <v>253</v>
      </c>
    </row>
    <row r="160" spans="2:27" x14ac:dyDescent="0.2">
      <c r="B160" s="58">
        <f t="shared" si="66"/>
        <v>44347</v>
      </c>
      <c r="C160" s="59" t="str">
        <f t="shared" si="54"/>
        <v>31</v>
      </c>
      <c r="D160" s="59" t="str">
        <f t="shared" si="55"/>
        <v>Monday</v>
      </c>
      <c r="E160" s="59" t="str">
        <f t="shared" si="56"/>
        <v>May</v>
      </c>
      <c r="F160" s="59" t="str">
        <f t="shared" si="57"/>
        <v>2021</v>
      </c>
      <c r="G160" s="59" t="str">
        <f t="shared" si="67"/>
        <v>Week_23</v>
      </c>
      <c r="H160" s="59" t="str">
        <f t="shared" si="68"/>
        <v>May 2021</v>
      </c>
      <c r="I160" s="59" t="str">
        <f t="shared" si="69"/>
        <v>Start WeekWeek_23</v>
      </c>
      <c r="J160" s="60">
        <f t="shared" si="58"/>
        <v>44347</v>
      </c>
      <c r="K160" s="59">
        <f t="shared" si="70"/>
        <v>23</v>
      </c>
      <c r="L160" s="59">
        <f t="shared" si="59"/>
        <v>23</v>
      </c>
      <c r="M160" s="59" t="str">
        <f t="shared" si="60"/>
        <v>Week_</v>
      </c>
      <c r="N160" s="59" t="str">
        <f t="shared" si="61"/>
        <v>Week_23</v>
      </c>
      <c r="O160" s="59">
        <f t="shared" si="71"/>
        <v>1</v>
      </c>
      <c r="P160" s="59" t="str">
        <f t="shared" si="72"/>
        <v>Start Week</v>
      </c>
      <c r="Q160" s="59" t="str">
        <f t="shared" si="62"/>
        <v/>
      </c>
      <c r="R160" s="59" t="str">
        <f t="shared" si="63"/>
        <v>May 2021</v>
      </c>
      <c r="S160" s="61">
        <f t="shared" si="64"/>
        <v>44347</v>
      </c>
      <c r="Z160" s="62">
        <f t="shared" si="65"/>
        <v>44347</v>
      </c>
      <c r="AA160" s="63" t="s">
        <v>253</v>
      </c>
    </row>
    <row r="161" spans="2:27" x14ac:dyDescent="0.2">
      <c r="B161" s="58">
        <f t="shared" si="66"/>
        <v>44348</v>
      </c>
      <c r="C161" s="59" t="str">
        <f t="shared" si="54"/>
        <v>01</v>
      </c>
      <c r="D161" s="59" t="str">
        <f t="shared" si="55"/>
        <v>Tuesday</v>
      </c>
      <c r="E161" s="59" t="str">
        <f t="shared" si="56"/>
        <v>June</v>
      </c>
      <c r="F161" s="59" t="str">
        <f t="shared" si="57"/>
        <v>2021</v>
      </c>
      <c r="G161" s="59" t="str">
        <f t="shared" si="67"/>
        <v>Week_23</v>
      </c>
      <c r="H161" s="59" t="str">
        <f t="shared" si="68"/>
        <v>June 2021</v>
      </c>
      <c r="I161" s="59" t="str">
        <f t="shared" si="69"/>
        <v>Week_23</v>
      </c>
      <c r="J161" s="60">
        <f t="shared" si="58"/>
        <v>44348</v>
      </c>
      <c r="K161" s="59">
        <f t="shared" si="70"/>
        <v>23</v>
      </c>
      <c r="L161" s="59">
        <f t="shared" si="59"/>
        <v>23</v>
      </c>
      <c r="M161" s="59" t="str">
        <f t="shared" si="60"/>
        <v>Week_</v>
      </c>
      <c r="N161" s="59" t="str">
        <f t="shared" si="61"/>
        <v>Week_23</v>
      </c>
      <c r="O161" s="59">
        <f t="shared" si="71"/>
        <v>0</v>
      </c>
      <c r="P161" s="59" t="str">
        <f t="shared" si="72"/>
        <v/>
      </c>
      <c r="Q161" s="59" t="str">
        <f t="shared" si="62"/>
        <v>Start Month</v>
      </c>
      <c r="R161" s="59" t="str">
        <f t="shared" si="63"/>
        <v>Start MonthJune 2021</v>
      </c>
      <c r="S161" s="61">
        <f t="shared" si="64"/>
        <v>44348</v>
      </c>
      <c r="Z161" s="62">
        <f t="shared" si="65"/>
        <v>44348</v>
      </c>
      <c r="AA161" s="63" t="s">
        <v>253</v>
      </c>
    </row>
    <row r="162" spans="2:27" x14ac:dyDescent="0.2">
      <c r="B162" s="58">
        <f t="shared" si="66"/>
        <v>44349</v>
      </c>
      <c r="C162" s="59" t="str">
        <f t="shared" si="54"/>
        <v>02</v>
      </c>
      <c r="D162" s="59" t="str">
        <f t="shared" si="55"/>
        <v>Wednesday</v>
      </c>
      <c r="E162" s="59" t="str">
        <f t="shared" si="56"/>
        <v>June</v>
      </c>
      <c r="F162" s="59" t="str">
        <f t="shared" si="57"/>
        <v>2021</v>
      </c>
      <c r="G162" s="59" t="str">
        <f t="shared" si="67"/>
        <v>Week_23</v>
      </c>
      <c r="H162" s="59" t="str">
        <f t="shared" si="68"/>
        <v>June 2021</v>
      </c>
      <c r="I162" s="59" t="str">
        <f t="shared" si="69"/>
        <v>Week_23</v>
      </c>
      <c r="J162" s="60">
        <f t="shared" si="58"/>
        <v>44349</v>
      </c>
      <c r="K162" s="59">
        <f t="shared" si="70"/>
        <v>23</v>
      </c>
      <c r="L162" s="59">
        <f t="shared" si="59"/>
        <v>23</v>
      </c>
      <c r="M162" s="59" t="str">
        <f t="shared" si="60"/>
        <v>Week_</v>
      </c>
      <c r="N162" s="59" t="str">
        <f t="shared" si="61"/>
        <v>Week_23</v>
      </c>
      <c r="O162" s="59">
        <f t="shared" si="71"/>
        <v>0</v>
      </c>
      <c r="P162" s="59" t="str">
        <f t="shared" si="72"/>
        <v/>
      </c>
      <c r="Q162" s="59" t="str">
        <f t="shared" si="62"/>
        <v/>
      </c>
      <c r="R162" s="59" t="str">
        <f t="shared" si="63"/>
        <v>June 2021</v>
      </c>
      <c r="S162" s="61">
        <f t="shared" si="64"/>
        <v>44349</v>
      </c>
      <c r="Z162" s="62">
        <f t="shared" si="65"/>
        <v>44349</v>
      </c>
      <c r="AA162" s="63" t="s">
        <v>253</v>
      </c>
    </row>
    <row r="163" spans="2:27" x14ac:dyDescent="0.2">
      <c r="B163" s="58">
        <f t="shared" si="66"/>
        <v>44350</v>
      </c>
      <c r="C163" s="59" t="str">
        <f t="shared" si="54"/>
        <v>03</v>
      </c>
      <c r="D163" s="59" t="str">
        <f t="shared" si="55"/>
        <v>Thursday</v>
      </c>
      <c r="E163" s="59" t="str">
        <f t="shared" si="56"/>
        <v>June</v>
      </c>
      <c r="F163" s="59" t="str">
        <f t="shared" si="57"/>
        <v>2021</v>
      </c>
      <c r="G163" s="59" t="str">
        <f t="shared" si="67"/>
        <v>Week_23</v>
      </c>
      <c r="H163" s="59" t="str">
        <f t="shared" si="68"/>
        <v>June 2021</v>
      </c>
      <c r="I163" s="59" t="str">
        <f t="shared" si="69"/>
        <v>Week_23</v>
      </c>
      <c r="J163" s="60">
        <f t="shared" si="58"/>
        <v>44350</v>
      </c>
      <c r="K163" s="59">
        <f t="shared" si="70"/>
        <v>23</v>
      </c>
      <c r="L163" s="59">
        <f t="shared" si="59"/>
        <v>23</v>
      </c>
      <c r="M163" s="59" t="str">
        <f t="shared" si="60"/>
        <v>Week_</v>
      </c>
      <c r="N163" s="59" t="str">
        <f t="shared" si="61"/>
        <v>Week_23</v>
      </c>
      <c r="O163" s="59">
        <f t="shared" si="71"/>
        <v>0</v>
      </c>
      <c r="P163" s="59" t="str">
        <f t="shared" si="72"/>
        <v/>
      </c>
      <c r="Q163" s="59" t="str">
        <f t="shared" si="62"/>
        <v/>
      </c>
      <c r="R163" s="59" t="str">
        <f t="shared" si="63"/>
        <v>June 2021</v>
      </c>
      <c r="S163" s="61">
        <f t="shared" si="64"/>
        <v>44350</v>
      </c>
      <c r="Z163" s="62">
        <f t="shared" si="65"/>
        <v>44350</v>
      </c>
      <c r="AA163" s="63" t="s">
        <v>253</v>
      </c>
    </row>
    <row r="164" spans="2:27" x14ac:dyDescent="0.2">
      <c r="B164" s="58">
        <f t="shared" si="66"/>
        <v>44351</v>
      </c>
      <c r="C164" s="59" t="str">
        <f t="shared" si="54"/>
        <v>04</v>
      </c>
      <c r="D164" s="59" t="str">
        <f t="shared" si="55"/>
        <v>Friday</v>
      </c>
      <c r="E164" s="59" t="str">
        <f t="shared" si="56"/>
        <v>June</v>
      </c>
      <c r="F164" s="59" t="str">
        <f t="shared" si="57"/>
        <v>2021</v>
      </c>
      <c r="G164" s="59" t="str">
        <f t="shared" si="67"/>
        <v>Week_23</v>
      </c>
      <c r="H164" s="59" t="str">
        <f t="shared" si="68"/>
        <v>June 2021</v>
      </c>
      <c r="I164" s="59" t="str">
        <f t="shared" si="69"/>
        <v>Week_23</v>
      </c>
      <c r="J164" s="60">
        <f t="shared" si="58"/>
        <v>44351</v>
      </c>
      <c r="K164" s="59">
        <f t="shared" si="70"/>
        <v>23</v>
      </c>
      <c r="L164" s="59">
        <f t="shared" si="59"/>
        <v>23</v>
      </c>
      <c r="M164" s="59" t="str">
        <f t="shared" si="60"/>
        <v>Week_</v>
      </c>
      <c r="N164" s="59" t="str">
        <f t="shared" si="61"/>
        <v>Week_23</v>
      </c>
      <c r="O164" s="59">
        <f t="shared" si="71"/>
        <v>0</v>
      </c>
      <c r="P164" s="59" t="str">
        <f t="shared" si="72"/>
        <v/>
      </c>
      <c r="Q164" s="59" t="str">
        <f t="shared" si="62"/>
        <v/>
      </c>
      <c r="R164" s="59" t="str">
        <f t="shared" si="63"/>
        <v>June 2021</v>
      </c>
      <c r="S164" s="61">
        <f t="shared" si="64"/>
        <v>44351</v>
      </c>
      <c r="Z164" s="62">
        <f t="shared" si="65"/>
        <v>44351</v>
      </c>
      <c r="AA164" s="63" t="s">
        <v>253</v>
      </c>
    </row>
    <row r="165" spans="2:27" x14ac:dyDescent="0.2">
      <c r="B165" s="58">
        <f t="shared" si="66"/>
        <v>44352</v>
      </c>
      <c r="C165" s="59" t="str">
        <f t="shared" si="54"/>
        <v>05</v>
      </c>
      <c r="D165" s="59" t="str">
        <f t="shared" si="55"/>
        <v>Saturday</v>
      </c>
      <c r="E165" s="59" t="str">
        <f t="shared" si="56"/>
        <v>June</v>
      </c>
      <c r="F165" s="59" t="str">
        <f t="shared" si="57"/>
        <v>2021</v>
      </c>
      <c r="G165" s="59" t="str">
        <f t="shared" si="67"/>
        <v>Week_23</v>
      </c>
      <c r="H165" s="59" t="str">
        <f t="shared" si="68"/>
        <v>June 2021</v>
      </c>
      <c r="I165" s="59" t="str">
        <f t="shared" si="69"/>
        <v>Week_23</v>
      </c>
      <c r="J165" s="60">
        <f t="shared" si="58"/>
        <v>44352</v>
      </c>
      <c r="K165" s="59">
        <f t="shared" si="70"/>
        <v>23</v>
      </c>
      <c r="L165" s="59">
        <f t="shared" si="59"/>
        <v>23</v>
      </c>
      <c r="M165" s="59" t="str">
        <f t="shared" si="60"/>
        <v>Week_</v>
      </c>
      <c r="N165" s="59" t="str">
        <f t="shared" si="61"/>
        <v>Week_23</v>
      </c>
      <c r="O165" s="59">
        <f t="shared" si="71"/>
        <v>0</v>
      </c>
      <c r="P165" s="59" t="str">
        <f t="shared" si="72"/>
        <v/>
      </c>
      <c r="Q165" s="59" t="str">
        <f t="shared" si="62"/>
        <v/>
      </c>
      <c r="R165" s="59" t="str">
        <f t="shared" si="63"/>
        <v>June 2021</v>
      </c>
      <c r="S165" s="61">
        <f t="shared" si="64"/>
        <v>44352</v>
      </c>
      <c r="Z165" s="62">
        <f t="shared" si="65"/>
        <v>44352</v>
      </c>
      <c r="AA165" s="63" t="s">
        <v>253</v>
      </c>
    </row>
    <row r="166" spans="2:27" x14ac:dyDescent="0.2">
      <c r="B166" s="58">
        <f t="shared" si="66"/>
        <v>44353</v>
      </c>
      <c r="C166" s="59" t="str">
        <f t="shared" si="54"/>
        <v>06</v>
      </c>
      <c r="D166" s="59" t="str">
        <f t="shared" si="55"/>
        <v>Sunday</v>
      </c>
      <c r="E166" s="59" t="str">
        <f t="shared" si="56"/>
        <v>June</v>
      </c>
      <c r="F166" s="59" t="str">
        <f t="shared" si="57"/>
        <v>2021</v>
      </c>
      <c r="G166" s="59" t="str">
        <f t="shared" si="67"/>
        <v>Week_23</v>
      </c>
      <c r="H166" s="59" t="str">
        <f t="shared" si="68"/>
        <v>June 2021</v>
      </c>
      <c r="I166" s="59" t="str">
        <f t="shared" si="69"/>
        <v>Week_23</v>
      </c>
      <c r="J166" s="60">
        <f t="shared" si="58"/>
        <v>44353</v>
      </c>
      <c r="K166" s="59">
        <f t="shared" si="70"/>
        <v>23</v>
      </c>
      <c r="L166" s="59">
        <f t="shared" si="59"/>
        <v>23</v>
      </c>
      <c r="M166" s="59" t="str">
        <f t="shared" si="60"/>
        <v>Week_</v>
      </c>
      <c r="N166" s="59" t="str">
        <f t="shared" si="61"/>
        <v>Week_23</v>
      </c>
      <c r="O166" s="59">
        <f t="shared" si="71"/>
        <v>0</v>
      </c>
      <c r="P166" s="59" t="str">
        <f t="shared" si="72"/>
        <v/>
      </c>
      <c r="Q166" s="59" t="str">
        <f t="shared" si="62"/>
        <v/>
      </c>
      <c r="R166" s="59" t="str">
        <f t="shared" si="63"/>
        <v>June 2021</v>
      </c>
      <c r="S166" s="61">
        <f t="shared" si="64"/>
        <v>44353</v>
      </c>
      <c r="Z166" s="62">
        <f t="shared" si="65"/>
        <v>44353</v>
      </c>
      <c r="AA166" s="63" t="s">
        <v>253</v>
      </c>
    </row>
    <row r="167" spans="2:27" x14ac:dyDescent="0.2">
      <c r="B167" s="58">
        <f t="shared" si="66"/>
        <v>44354</v>
      </c>
      <c r="C167" s="59" t="str">
        <f t="shared" si="54"/>
        <v>07</v>
      </c>
      <c r="D167" s="59" t="str">
        <f t="shared" si="55"/>
        <v>Monday</v>
      </c>
      <c r="E167" s="59" t="str">
        <f t="shared" si="56"/>
        <v>June</v>
      </c>
      <c r="F167" s="59" t="str">
        <f t="shared" si="57"/>
        <v>2021</v>
      </c>
      <c r="G167" s="59" t="str">
        <f t="shared" si="67"/>
        <v>Week_24</v>
      </c>
      <c r="H167" s="59" t="str">
        <f t="shared" si="68"/>
        <v>June 2021</v>
      </c>
      <c r="I167" s="59" t="str">
        <f t="shared" si="69"/>
        <v>Start WeekWeek_24</v>
      </c>
      <c r="J167" s="60">
        <f t="shared" si="58"/>
        <v>44354</v>
      </c>
      <c r="K167" s="59">
        <f t="shared" si="70"/>
        <v>24</v>
      </c>
      <c r="L167" s="59">
        <f t="shared" si="59"/>
        <v>24</v>
      </c>
      <c r="M167" s="59" t="str">
        <f t="shared" si="60"/>
        <v>Week_</v>
      </c>
      <c r="N167" s="59" t="str">
        <f t="shared" si="61"/>
        <v>Week_24</v>
      </c>
      <c r="O167" s="59">
        <f t="shared" si="71"/>
        <v>1</v>
      </c>
      <c r="P167" s="59" t="str">
        <f t="shared" si="72"/>
        <v>Start Week</v>
      </c>
      <c r="Q167" s="59" t="str">
        <f t="shared" si="62"/>
        <v/>
      </c>
      <c r="R167" s="59" t="str">
        <f t="shared" si="63"/>
        <v>June 2021</v>
      </c>
      <c r="S167" s="61">
        <f t="shared" si="64"/>
        <v>44354</v>
      </c>
      <c r="Z167" s="62">
        <f t="shared" si="65"/>
        <v>44354</v>
      </c>
      <c r="AA167" s="63" t="s">
        <v>253</v>
      </c>
    </row>
    <row r="168" spans="2:27" x14ac:dyDescent="0.2">
      <c r="B168" s="58">
        <f t="shared" si="66"/>
        <v>44355</v>
      </c>
      <c r="C168" s="59" t="str">
        <f t="shared" si="54"/>
        <v>08</v>
      </c>
      <c r="D168" s="59" t="str">
        <f t="shared" si="55"/>
        <v>Tuesday</v>
      </c>
      <c r="E168" s="59" t="str">
        <f t="shared" si="56"/>
        <v>June</v>
      </c>
      <c r="F168" s="59" t="str">
        <f t="shared" si="57"/>
        <v>2021</v>
      </c>
      <c r="G168" s="59" t="str">
        <f t="shared" si="67"/>
        <v>Week_24</v>
      </c>
      <c r="H168" s="59" t="str">
        <f t="shared" si="68"/>
        <v>June 2021</v>
      </c>
      <c r="I168" s="59" t="str">
        <f t="shared" si="69"/>
        <v>Week_24</v>
      </c>
      <c r="J168" s="60">
        <f t="shared" si="58"/>
        <v>44355</v>
      </c>
      <c r="K168" s="59">
        <f t="shared" si="70"/>
        <v>24</v>
      </c>
      <c r="L168" s="59">
        <f t="shared" si="59"/>
        <v>24</v>
      </c>
      <c r="M168" s="59" t="str">
        <f t="shared" si="60"/>
        <v>Week_</v>
      </c>
      <c r="N168" s="59" t="str">
        <f t="shared" si="61"/>
        <v>Week_24</v>
      </c>
      <c r="O168" s="59">
        <f t="shared" si="71"/>
        <v>0</v>
      </c>
      <c r="P168" s="59" t="str">
        <f t="shared" si="72"/>
        <v/>
      </c>
      <c r="Q168" s="59" t="str">
        <f t="shared" si="62"/>
        <v/>
      </c>
      <c r="R168" s="59" t="str">
        <f t="shared" si="63"/>
        <v>June 2021</v>
      </c>
      <c r="S168" s="61">
        <f t="shared" si="64"/>
        <v>44355</v>
      </c>
      <c r="Z168" s="62">
        <f t="shared" si="65"/>
        <v>44355</v>
      </c>
      <c r="AA168" s="63" t="s">
        <v>253</v>
      </c>
    </row>
    <row r="169" spans="2:27" x14ac:dyDescent="0.2">
      <c r="B169" s="58">
        <f t="shared" si="66"/>
        <v>44356</v>
      </c>
      <c r="C169" s="59" t="str">
        <f t="shared" si="54"/>
        <v>09</v>
      </c>
      <c r="D169" s="59" t="str">
        <f t="shared" si="55"/>
        <v>Wednesday</v>
      </c>
      <c r="E169" s="59" t="str">
        <f t="shared" si="56"/>
        <v>June</v>
      </c>
      <c r="F169" s="59" t="str">
        <f t="shared" si="57"/>
        <v>2021</v>
      </c>
      <c r="G169" s="59" t="str">
        <f t="shared" si="67"/>
        <v>Week_24</v>
      </c>
      <c r="H169" s="59" t="str">
        <f t="shared" si="68"/>
        <v>June 2021</v>
      </c>
      <c r="I169" s="59" t="str">
        <f t="shared" si="69"/>
        <v>Week_24</v>
      </c>
      <c r="J169" s="60">
        <f t="shared" si="58"/>
        <v>44356</v>
      </c>
      <c r="K169" s="59">
        <f t="shared" si="70"/>
        <v>24</v>
      </c>
      <c r="L169" s="59">
        <f t="shared" si="59"/>
        <v>24</v>
      </c>
      <c r="M169" s="59" t="str">
        <f t="shared" si="60"/>
        <v>Week_</v>
      </c>
      <c r="N169" s="59" t="str">
        <f t="shared" si="61"/>
        <v>Week_24</v>
      </c>
      <c r="O169" s="59">
        <f t="shared" si="71"/>
        <v>0</v>
      </c>
      <c r="P169" s="59" t="str">
        <f t="shared" si="72"/>
        <v/>
      </c>
      <c r="Q169" s="59" t="str">
        <f t="shared" si="62"/>
        <v/>
      </c>
      <c r="R169" s="59" t="str">
        <f t="shared" si="63"/>
        <v>June 2021</v>
      </c>
      <c r="S169" s="61">
        <f t="shared" si="64"/>
        <v>44356</v>
      </c>
      <c r="Z169" s="62">
        <f t="shared" si="65"/>
        <v>44356</v>
      </c>
      <c r="AA169" s="63" t="s">
        <v>253</v>
      </c>
    </row>
    <row r="170" spans="2:27" x14ac:dyDescent="0.2">
      <c r="B170" s="58">
        <f t="shared" si="66"/>
        <v>44357</v>
      </c>
      <c r="C170" s="59" t="str">
        <f t="shared" si="54"/>
        <v>10</v>
      </c>
      <c r="D170" s="59" t="str">
        <f t="shared" si="55"/>
        <v>Thursday</v>
      </c>
      <c r="E170" s="59" t="str">
        <f t="shared" si="56"/>
        <v>June</v>
      </c>
      <c r="F170" s="59" t="str">
        <f t="shared" si="57"/>
        <v>2021</v>
      </c>
      <c r="G170" s="59" t="str">
        <f t="shared" si="67"/>
        <v>Week_24</v>
      </c>
      <c r="H170" s="59" t="str">
        <f t="shared" si="68"/>
        <v>June 2021</v>
      </c>
      <c r="I170" s="59" t="str">
        <f t="shared" si="69"/>
        <v>Week_24</v>
      </c>
      <c r="J170" s="60">
        <f t="shared" si="58"/>
        <v>44357</v>
      </c>
      <c r="K170" s="59">
        <f t="shared" si="70"/>
        <v>24</v>
      </c>
      <c r="L170" s="59">
        <f t="shared" si="59"/>
        <v>24</v>
      </c>
      <c r="M170" s="59" t="str">
        <f t="shared" si="60"/>
        <v>Week_</v>
      </c>
      <c r="N170" s="59" t="str">
        <f t="shared" si="61"/>
        <v>Week_24</v>
      </c>
      <c r="O170" s="59">
        <f t="shared" si="71"/>
        <v>0</v>
      </c>
      <c r="P170" s="59" t="str">
        <f t="shared" si="72"/>
        <v/>
      </c>
      <c r="Q170" s="59" t="str">
        <f t="shared" si="62"/>
        <v/>
      </c>
      <c r="R170" s="59" t="str">
        <f t="shared" si="63"/>
        <v>June 2021</v>
      </c>
      <c r="S170" s="61">
        <f t="shared" si="64"/>
        <v>44357</v>
      </c>
      <c r="Z170" s="62">
        <f t="shared" si="65"/>
        <v>44357</v>
      </c>
      <c r="AA170" s="63" t="s">
        <v>253</v>
      </c>
    </row>
    <row r="171" spans="2:27" x14ac:dyDescent="0.2">
      <c r="B171" s="58">
        <f t="shared" si="66"/>
        <v>44358</v>
      </c>
      <c r="C171" s="59" t="str">
        <f t="shared" si="54"/>
        <v>11</v>
      </c>
      <c r="D171" s="59" t="str">
        <f t="shared" si="55"/>
        <v>Friday</v>
      </c>
      <c r="E171" s="59" t="str">
        <f t="shared" si="56"/>
        <v>June</v>
      </c>
      <c r="F171" s="59" t="str">
        <f t="shared" si="57"/>
        <v>2021</v>
      </c>
      <c r="G171" s="59" t="str">
        <f t="shared" si="67"/>
        <v>Week_24</v>
      </c>
      <c r="H171" s="59" t="str">
        <f t="shared" si="68"/>
        <v>June 2021</v>
      </c>
      <c r="I171" s="59" t="str">
        <f t="shared" si="69"/>
        <v>Week_24</v>
      </c>
      <c r="J171" s="60">
        <f t="shared" si="58"/>
        <v>44358</v>
      </c>
      <c r="K171" s="59">
        <f t="shared" si="70"/>
        <v>24</v>
      </c>
      <c r="L171" s="59">
        <f t="shared" si="59"/>
        <v>24</v>
      </c>
      <c r="M171" s="59" t="str">
        <f t="shared" si="60"/>
        <v>Week_</v>
      </c>
      <c r="N171" s="59" t="str">
        <f t="shared" si="61"/>
        <v>Week_24</v>
      </c>
      <c r="O171" s="59">
        <f t="shared" si="71"/>
        <v>0</v>
      </c>
      <c r="P171" s="59" t="str">
        <f t="shared" si="72"/>
        <v/>
      </c>
      <c r="Q171" s="59" t="str">
        <f t="shared" si="62"/>
        <v/>
      </c>
      <c r="R171" s="59" t="str">
        <f t="shared" si="63"/>
        <v>June 2021</v>
      </c>
      <c r="S171" s="61">
        <f t="shared" si="64"/>
        <v>44358</v>
      </c>
      <c r="Z171" s="62">
        <f t="shared" si="65"/>
        <v>44358</v>
      </c>
      <c r="AA171" s="63" t="s">
        <v>253</v>
      </c>
    </row>
    <row r="172" spans="2:27" x14ac:dyDescent="0.2">
      <c r="B172" s="58">
        <f t="shared" si="66"/>
        <v>44359</v>
      </c>
      <c r="C172" s="59" t="str">
        <f t="shared" si="54"/>
        <v>12</v>
      </c>
      <c r="D172" s="59" t="str">
        <f t="shared" si="55"/>
        <v>Saturday</v>
      </c>
      <c r="E172" s="59" t="str">
        <f t="shared" si="56"/>
        <v>June</v>
      </c>
      <c r="F172" s="59" t="str">
        <f t="shared" si="57"/>
        <v>2021</v>
      </c>
      <c r="G172" s="59" t="str">
        <f t="shared" si="67"/>
        <v>Week_24</v>
      </c>
      <c r="H172" s="59" t="str">
        <f t="shared" si="68"/>
        <v>June 2021</v>
      </c>
      <c r="I172" s="59" t="str">
        <f t="shared" si="69"/>
        <v>Week_24</v>
      </c>
      <c r="J172" s="60">
        <f t="shared" si="58"/>
        <v>44359</v>
      </c>
      <c r="K172" s="59">
        <f t="shared" si="70"/>
        <v>24</v>
      </c>
      <c r="L172" s="59">
        <f t="shared" si="59"/>
        <v>24</v>
      </c>
      <c r="M172" s="59" t="str">
        <f t="shared" si="60"/>
        <v>Week_</v>
      </c>
      <c r="N172" s="59" t="str">
        <f t="shared" si="61"/>
        <v>Week_24</v>
      </c>
      <c r="O172" s="59">
        <f t="shared" si="71"/>
        <v>0</v>
      </c>
      <c r="P172" s="59" t="str">
        <f t="shared" si="72"/>
        <v/>
      </c>
      <c r="Q172" s="59" t="str">
        <f t="shared" si="62"/>
        <v/>
      </c>
      <c r="R172" s="59" t="str">
        <f t="shared" si="63"/>
        <v>June 2021</v>
      </c>
      <c r="S172" s="61">
        <f t="shared" si="64"/>
        <v>44359</v>
      </c>
      <c r="Z172" s="62">
        <f t="shared" si="65"/>
        <v>44359</v>
      </c>
      <c r="AA172" s="63" t="s">
        <v>253</v>
      </c>
    </row>
    <row r="173" spans="2:27" x14ac:dyDescent="0.2">
      <c r="B173" s="58">
        <f t="shared" si="66"/>
        <v>44360</v>
      </c>
      <c r="C173" s="59" t="str">
        <f t="shared" si="54"/>
        <v>13</v>
      </c>
      <c r="D173" s="59" t="str">
        <f t="shared" si="55"/>
        <v>Sunday</v>
      </c>
      <c r="E173" s="59" t="str">
        <f t="shared" si="56"/>
        <v>June</v>
      </c>
      <c r="F173" s="59" t="str">
        <f t="shared" si="57"/>
        <v>2021</v>
      </c>
      <c r="G173" s="59" t="str">
        <f t="shared" si="67"/>
        <v>Week_24</v>
      </c>
      <c r="H173" s="59" t="str">
        <f t="shared" si="68"/>
        <v>June 2021</v>
      </c>
      <c r="I173" s="59" t="str">
        <f t="shared" si="69"/>
        <v>Week_24</v>
      </c>
      <c r="J173" s="60">
        <f t="shared" si="58"/>
        <v>44360</v>
      </c>
      <c r="K173" s="59">
        <f t="shared" si="70"/>
        <v>24</v>
      </c>
      <c r="L173" s="59">
        <f t="shared" si="59"/>
        <v>24</v>
      </c>
      <c r="M173" s="59" t="str">
        <f t="shared" si="60"/>
        <v>Week_</v>
      </c>
      <c r="N173" s="59" t="str">
        <f t="shared" si="61"/>
        <v>Week_24</v>
      </c>
      <c r="O173" s="59">
        <f t="shared" si="71"/>
        <v>0</v>
      </c>
      <c r="P173" s="59" t="str">
        <f t="shared" si="72"/>
        <v/>
      </c>
      <c r="Q173" s="59" t="str">
        <f t="shared" si="62"/>
        <v/>
      </c>
      <c r="R173" s="59" t="str">
        <f t="shared" si="63"/>
        <v>June 2021</v>
      </c>
      <c r="S173" s="61">
        <f t="shared" si="64"/>
        <v>44360</v>
      </c>
      <c r="Z173" s="62">
        <f t="shared" si="65"/>
        <v>44360</v>
      </c>
      <c r="AA173" s="63" t="s">
        <v>253</v>
      </c>
    </row>
    <row r="174" spans="2:27" x14ac:dyDescent="0.2">
      <c r="B174" s="58">
        <f t="shared" si="66"/>
        <v>44361</v>
      </c>
      <c r="C174" s="59" t="str">
        <f t="shared" si="54"/>
        <v>14</v>
      </c>
      <c r="D174" s="59" t="str">
        <f t="shared" si="55"/>
        <v>Monday</v>
      </c>
      <c r="E174" s="59" t="str">
        <f t="shared" si="56"/>
        <v>June</v>
      </c>
      <c r="F174" s="59" t="str">
        <f t="shared" si="57"/>
        <v>2021</v>
      </c>
      <c r="G174" s="59" t="str">
        <f t="shared" si="67"/>
        <v>Week_25</v>
      </c>
      <c r="H174" s="59" t="str">
        <f t="shared" si="68"/>
        <v>June 2021</v>
      </c>
      <c r="I174" s="59" t="str">
        <f t="shared" si="69"/>
        <v>Start WeekWeek_25</v>
      </c>
      <c r="J174" s="60">
        <f t="shared" si="58"/>
        <v>44361</v>
      </c>
      <c r="K174" s="59">
        <f t="shared" si="70"/>
        <v>25</v>
      </c>
      <c r="L174" s="59">
        <f t="shared" si="59"/>
        <v>25</v>
      </c>
      <c r="M174" s="59" t="str">
        <f t="shared" si="60"/>
        <v>Week_</v>
      </c>
      <c r="N174" s="59" t="str">
        <f t="shared" si="61"/>
        <v>Week_25</v>
      </c>
      <c r="O174" s="59">
        <f t="shared" si="71"/>
        <v>1</v>
      </c>
      <c r="P174" s="59" t="str">
        <f t="shared" si="72"/>
        <v>Start Week</v>
      </c>
      <c r="Q174" s="59" t="str">
        <f t="shared" si="62"/>
        <v/>
      </c>
      <c r="R174" s="59" t="str">
        <f t="shared" si="63"/>
        <v>June 2021</v>
      </c>
      <c r="S174" s="61">
        <f t="shared" si="64"/>
        <v>44361</v>
      </c>
      <c r="Z174" s="62">
        <f t="shared" si="65"/>
        <v>44361</v>
      </c>
      <c r="AA174" s="63" t="s">
        <v>253</v>
      </c>
    </row>
    <row r="175" spans="2:27" x14ac:dyDescent="0.2">
      <c r="B175" s="58">
        <f t="shared" si="66"/>
        <v>44362</v>
      </c>
      <c r="C175" s="59" t="str">
        <f t="shared" si="54"/>
        <v>15</v>
      </c>
      <c r="D175" s="59" t="str">
        <f t="shared" si="55"/>
        <v>Tuesday</v>
      </c>
      <c r="E175" s="59" t="str">
        <f t="shared" si="56"/>
        <v>June</v>
      </c>
      <c r="F175" s="59" t="str">
        <f t="shared" si="57"/>
        <v>2021</v>
      </c>
      <c r="G175" s="59" t="str">
        <f t="shared" si="67"/>
        <v>Week_25</v>
      </c>
      <c r="H175" s="59" t="str">
        <f t="shared" si="68"/>
        <v>June 2021</v>
      </c>
      <c r="I175" s="59" t="str">
        <f t="shared" si="69"/>
        <v>Week_25</v>
      </c>
      <c r="J175" s="60">
        <f t="shared" si="58"/>
        <v>44362</v>
      </c>
      <c r="K175" s="59">
        <f t="shared" si="70"/>
        <v>25</v>
      </c>
      <c r="L175" s="59">
        <f t="shared" si="59"/>
        <v>25</v>
      </c>
      <c r="M175" s="59" t="str">
        <f t="shared" si="60"/>
        <v>Week_</v>
      </c>
      <c r="N175" s="59" t="str">
        <f t="shared" si="61"/>
        <v>Week_25</v>
      </c>
      <c r="O175" s="59">
        <f t="shared" si="71"/>
        <v>0</v>
      </c>
      <c r="P175" s="59" t="str">
        <f t="shared" si="72"/>
        <v/>
      </c>
      <c r="Q175" s="59" t="str">
        <f t="shared" si="62"/>
        <v/>
      </c>
      <c r="R175" s="59" t="str">
        <f t="shared" si="63"/>
        <v>June 2021</v>
      </c>
      <c r="S175" s="61">
        <f t="shared" si="64"/>
        <v>44362</v>
      </c>
      <c r="Z175" s="62">
        <f t="shared" si="65"/>
        <v>44362</v>
      </c>
      <c r="AA175" s="63" t="s">
        <v>253</v>
      </c>
    </row>
    <row r="176" spans="2:27" x14ac:dyDescent="0.2">
      <c r="B176" s="58">
        <f t="shared" si="66"/>
        <v>44363</v>
      </c>
      <c r="C176" s="59" t="str">
        <f t="shared" si="54"/>
        <v>16</v>
      </c>
      <c r="D176" s="59" t="str">
        <f t="shared" si="55"/>
        <v>Wednesday</v>
      </c>
      <c r="E176" s="59" t="str">
        <f t="shared" si="56"/>
        <v>June</v>
      </c>
      <c r="F176" s="59" t="str">
        <f t="shared" si="57"/>
        <v>2021</v>
      </c>
      <c r="G176" s="59" t="str">
        <f t="shared" si="67"/>
        <v>Week_25</v>
      </c>
      <c r="H176" s="59" t="str">
        <f t="shared" si="68"/>
        <v>June 2021</v>
      </c>
      <c r="I176" s="59" t="str">
        <f t="shared" si="69"/>
        <v>Week_25</v>
      </c>
      <c r="J176" s="60">
        <f t="shared" si="58"/>
        <v>44363</v>
      </c>
      <c r="K176" s="59">
        <f t="shared" si="70"/>
        <v>25</v>
      </c>
      <c r="L176" s="59">
        <f t="shared" si="59"/>
        <v>25</v>
      </c>
      <c r="M176" s="59" t="str">
        <f t="shared" si="60"/>
        <v>Week_</v>
      </c>
      <c r="N176" s="59" t="str">
        <f t="shared" si="61"/>
        <v>Week_25</v>
      </c>
      <c r="O176" s="59">
        <f t="shared" si="71"/>
        <v>0</v>
      </c>
      <c r="P176" s="59" t="str">
        <f t="shared" si="72"/>
        <v/>
      </c>
      <c r="Q176" s="59" t="str">
        <f t="shared" si="62"/>
        <v/>
      </c>
      <c r="R176" s="59" t="str">
        <f t="shared" si="63"/>
        <v>June 2021</v>
      </c>
      <c r="S176" s="61">
        <f t="shared" si="64"/>
        <v>44363</v>
      </c>
      <c r="Z176" s="62">
        <f t="shared" si="65"/>
        <v>44363</v>
      </c>
      <c r="AA176" s="63" t="s">
        <v>253</v>
      </c>
    </row>
    <row r="177" spans="2:27" x14ac:dyDescent="0.2">
      <c r="B177" s="58">
        <f t="shared" si="66"/>
        <v>44364</v>
      </c>
      <c r="C177" s="59" t="str">
        <f t="shared" si="54"/>
        <v>17</v>
      </c>
      <c r="D177" s="59" t="str">
        <f t="shared" si="55"/>
        <v>Thursday</v>
      </c>
      <c r="E177" s="59" t="str">
        <f t="shared" si="56"/>
        <v>June</v>
      </c>
      <c r="F177" s="59" t="str">
        <f t="shared" si="57"/>
        <v>2021</v>
      </c>
      <c r="G177" s="59" t="str">
        <f t="shared" si="67"/>
        <v>Week_25</v>
      </c>
      <c r="H177" s="59" t="str">
        <f t="shared" si="68"/>
        <v>June 2021</v>
      </c>
      <c r="I177" s="59" t="str">
        <f t="shared" si="69"/>
        <v>Week_25</v>
      </c>
      <c r="J177" s="60">
        <f t="shared" si="58"/>
        <v>44364</v>
      </c>
      <c r="K177" s="59">
        <f t="shared" si="70"/>
        <v>25</v>
      </c>
      <c r="L177" s="59">
        <f t="shared" si="59"/>
        <v>25</v>
      </c>
      <c r="M177" s="59" t="str">
        <f t="shared" si="60"/>
        <v>Week_</v>
      </c>
      <c r="N177" s="59" t="str">
        <f t="shared" si="61"/>
        <v>Week_25</v>
      </c>
      <c r="O177" s="59">
        <f t="shared" si="71"/>
        <v>0</v>
      </c>
      <c r="P177" s="59" t="str">
        <f t="shared" si="72"/>
        <v/>
      </c>
      <c r="Q177" s="59" t="str">
        <f t="shared" si="62"/>
        <v/>
      </c>
      <c r="R177" s="59" t="str">
        <f t="shared" si="63"/>
        <v>June 2021</v>
      </c>
      <c r="S177" s="61">
        <f t="shared" si="64"/>
        <v>44364</v>
      </c>
      <c r="Z177" s="62">
        <f t="shared" si="65"/>
        <v>44364</v>
      </c>
      <c r="AA177" s="63" t="s">
        <v>253</v>
      </c>
    </row>
    <row r="178" spans="2:27" x14ac:dyDescent="0.2">
      <c r="B178" s="58">
        <f t="shared" si="66"/>
        <v>44365</v>
      </c>
      <c r="C178" s="59" t="str">
        <f t="shared" si="54"/>
        <v>18</v>
      </c>
      <c r="D178" s="59" t="str">
        <f t="shared" si="55"/>
        <v>Friday</v>
      </c>
      <c r="E178" s="59" t="str">
        <f t="shared" si="56"/>
        <v>June</v>
      </c>
      <c r="F178" s="59" t="str">
        <f t="shared" si="57"/>
        <v>2021</v>
      </c>
      <c r="G178" s="59" t="str">
        <f t="shared" si="67"/>
        <v>Week_25</v>
      </c>
      <c r="H178" s="59" t="str">
        <f t="shared" si="68"/>
        <v>June 2021</v>
      </c>
      <c r="I178" s="59" t="str">
        <f t="shared" si="69"/>
        <v>Week_25</v>
      </c>
      <c r="J178" s="60">
        <f t="shared" si="58"/>
        <v>44365</v>
      </c>
      <c r="K178" s="59">
        <f t="shared" si="70"/>
        <v>25</v>
      </c>
      <c r="L178" s="59">
        <f t="shared" si="59"/>
        <v>25</v>
      </c>
      <c r="M178" s="59" t="str">
        <f t="shared" si="60"/>
        <v>Week_</v>
      </c>
      <c r="N178" s="59" t="str">
        <f t="shared" si="61"/>
        <v>Week_25</v>
      </c>
      <c r="O178" s="59">
        <f t="shared" si="71"/>
        <v>0</v>
      </c>
      <c r="P178" s="59" t="str">
        <f t="shared" si="72"/>
        <v/>
      </c>
      <c r="Q178" s="59" t="str">
        <f t="shared" si="62"/>
        <v/>
      </c>
      <c r="R178" s="59" t="str">
        <f t="shared" si="63"/>
        <v>June 2021</v>
      </c>
      <c r="S178" s="61">
        <f t="shared" si="64"/>
        <v>44365</v>
      </c>
      <c r="Z178" s="62">
        <f t="shared" si="65"/>
        <v>44365</v>
      </c>
      <c r="AA178" s="63" t="s">
        <v>253</v>
      </c>
    </row>
    <row r="179" spans="2:27" x14ac:dyDescent="0.2">
      <c r="B179" s="58">
        <f t="shared" si="66"/>
        <v>44366</v>
      </c>
      <c r="C179" s="59" t="str">
        <f t="shared" si="54"/>
        <v>19</v>
      </c>
      <c r="D179" s="59" t="str">
        <f t="shared" si="55"/>
        <v>Saturday</v>
      </c>
      <c r="E179" s="59" t="str">
        <f t="shared" si="56"/>
        <v>June</v>
      </c>
      <c r="F179" s="59" t="str">
        <f t="shared" si="57"/>
        <v>2021</v>
      </c>
      <c r="G179" s="59" t="str">
        <f t="shared" si="67"/>
        <v>Week_25</v>
      </c>
      <c r="H179" s="59" t="str">
        <f t="shared" si="68"/>
        <v>June 2021</v>
      </c>
      <c r="I179" s="59" t="str">
        <f t="shared" si="69"/>
        <v>Week_25</v>
      </c>
      <c r="J179" s="60">
        <f t="shared" si="58"/>
        <v>44366</v>
      </c>
      <c r="K179" s="59">
        <f t="shared" si="70"/>
        <v>25</v>
      </c>
      <c r="L179" s="59">
        <f t="shared" si="59"/>
        <v>25</v>
      </c>
      <c r="M179" s="59" t="str">
        <f t="shared" si="60"/>
        <v>Week_</v>
      </c>
      <c r="N179" s="59" t="str">
        <f t="shared" si="61"/>
        <v>Week_25</v>
      </c>
      <c r="O179" s="59">
        <f t="shared" si="71"/>
        <v>0</v>
      </c>
      <c r="P179" s="59" t="str">
        <f t="shared" si="72"/>
        <v/>
      </c>
      <c r="Q179" s="59" t="str">
        <f t="shared" si="62"/>
        <v/>
      </c>
      <c r="R179" s="59" t="str">
        <f t="shared" si="63"/>
        <v>June 2021</v>
      </c>
      <c r="S179" s="61">
        <f t="shared" si="64"/>
        <v>44366</v>
      </c>
      <c r="Z179" s="62">
        <f t="shared" si="65"/>
        <v>44366</v>
      </c>
      <c r="AA179" s="63" t="s">
        <v>253</v>
      </c>
    </row>
    <row r="180" spans="2:27" x14ac:dyDescent="0.2">
      <c r="B180" s="58">
        <f t="shared" si="66"/>
        <v>44367</v>
      </c>
      <c r="C180" s="59" t="str">
        <f t="shared" si="54"/>
        <v>20</v>
      </c>
      <c r="D180" s="59" t="str">
        <f t="shared" si="55"/>
        <v>Sunday</v>
      </c>
      <c r="E180" s="59" t="str">
        <f t="shared" si="56"/>
        <v>June</v>
      </c>
      <c r="F180" s="59" t="str">
        <f t="shared" si="57"/>
        <v>2021</v>
      </c>
      <c r="G180" s="59" t="str">
        <f t="shared" si="67"/>
        <v>Week_25</v>
      </c>
      <c r="H180" s="59" t="str">
        <f t="shared" si="68"/>
        <v>June 2021</v>
      </c>
      <c r="I180" s="59" t="str">
        <f t="shared" si="69"/>
        <v>Week_25</v>
      </c>
      <c r="J180" s="60">
        <f t="shared" si="58"/>
        <v>44367</v>
      </c>
      <c r="K180" s="59">
        <f t="shared" si="70"/>
        <v>25</v>
      </c>
      <c r="L180" s="59">
        <f t="shared" si="59"/>
        <v>25</v>
      </c>
      <c r="M180" s="59" t="str">
        <f t="shared" si="60"/>
        <v>Week_</v>
      </c>
      <c r="N180" s="59" t="str">
        <f t="shared" si="61"/>
        <v>Week_25</v>
      </c>
      <c r="O180" s="59">
        <f t="shared" si="71"/>
        <v>0</v>
      </c>
      <c r="P180" s="59" t="str">
        <f t="shared" si="72"/>
        <v/>
      </c>
      <c r="Q180" s="59" t="str">
        <f t="shared" si="62"/>
        <v/>
      </c>
      <c r="R180" s="59" t="str">
        <f t="shared" si="63"/>
        <v>June 2021</v>
      </c>
      <c r="S180" s="61">
        <f t="shared" si="64"/>
        <v>44367</v>
      </c>
      <c r="Z180" s="62">
        <f t="shared" si="65"/>
        <v>44367</v>
      </c>
      <c r="AA180" s="63" t="s">
        <v>253</v>
      </c>
    </row>
    <row r="181" spans="2:27" x14ac:dyDescent="0.2">
      <c r="B181" s="58">
        <f t="shared" si="66"/>
        <v>44368</v>
      </c>
      <c r="C181" s="59" t="str">
        <f t="shared" si="54"/>
        <v>21</v>
      </c>
      <c r="D181" s="59" t="str">
        <f t="shared" si="55"/>
        <v>Monday</v>
      </c>
      <c r="E181" s="59" t="str">
        <f t="shared" si="56"/>
        <v>June</v>
      </c>
      <c r="F181" s="59" t="str">
        <f t="shared" si="57"/>
        <v>2021</v>
      </c>
      <c r="G181" s="59" t="str">
        <f t="shared" si="67"/>
        <v>Week_26</v>
      </c>
      <c r="H181" s="59" t="str">
        <f t="shared" si="68"/>
        <v>June 2021</v>
      </c>
      <c r="I181" s="59" t="str">
        <f t="shared" si="69"/>
        <v>Start WeekWeek_26</v>
      </c>
      <c r="J181" s="60">
        <f t="shared" si="58"/>
        <v>44368</v>
      </c>
      <c r="K181" s="59">
        <f t="shared" si="70"/>
        <v>26</v>
      </c>
      <c r="L181" s="59">
        <f t="shared" si="59"/>
        <v>26</v>
      </c>
      <c r="M181" s="59" t="str">
        <f t="shared" si="60"/>
        <v>Week_</v>
      </c>
      <c r="N181" s="59" t="str">
        <f t="shared" si="61"/>
        <v>Week_26</v>
      </c>
      <c r="O181" s="59">
        <f t="shared" si="71"/>
        <v>1</v>
      </c>
      <c r="P181" s="59" t="str">
        <f t="shared" si="72"/>
        <v>Start Week</v>
      </c>
      <c r="Q181" s="59" t="str">
        <f t="shared" si="62"/>
        <v/>
      </c>
      <c r="R181" s="59" t="str">
        <f t="shared" si="63"/>
        <v>June 2021</v>
      </c>
      <c r="S181" s="61">
        <f t="shared" si="64"/>
        <v>44368</v>
      </c>
      <c r="Z181" s="62">
        <f t="shared" si="65"/>
        <v>44368</v>
      </c>
      <c r="AA181" s="63" t="s">
        <v>253</v>
      </c>
    </row>
    <row r="182" spans="2:27" x14ac:dyDescent="0.2">
      <c r="B182" s="58">
        <f t="shared" si="66"/>
        <v>44369</v>
      </c>
      <c r="C182" s="59" t="str">
        <f t="shared" si="54"/>
        <v>22</v>
      </c>
      <c r="D182" s="59" t="str">
        <f t="shared" si="55"/>
        <v>Tuesday</v>
      </c>
      <c r="E182" s="59" t="str">
        <f t="shared" si="56"/>
        <v>June</v>
      </c>
      <c r="F182" s="59" t="str">
        <f t="shared" si="57"/>
        <v>2021</v>
      </c>
      <c r="G182" s="59" t="str">
        <f t="shared" si="67"/>
        <v>Week_26</v>
      </c>
      <c r="H182" s="59" t="str">
        <f t="shared" si="68"/>
        <v>June 2021</v>
      </c>
      <c r="I182" s="59" t="str">
        <f t="shared" si="69"/>
        <v>Week_26</v>
      </c>
      <c r="J182" s="60">
        <f t="shared" si="58"/>
        <v>44369</v>
      </c>
      <c r="K182" s="59">
        <f t="shared" si="70"/>
        <v>26</v>
      </c>
      <c r="L182" s="59">
        <f t="shared" si="59"/>
        <v>26</v>
      </c>
      <c r="M182" s="59" t="str">
        <f t="shared" si="60"/>
        <v>Week_</v>
      </c>
      <c r="N182" s="59" t="str">
        <f t="shared" si="61"/>
        <v>Week_26</v>
      </c>
      <c r="O182" s="59">
        <f t="shared" si="71"/>
        <v>0</v>
      </c>
      <c r="P182" s="59" t="str">
        <f t="shared" si="72"/>
        <v/>
      </c>
      <c r="Q182" s="59" t="str">
        <f t="shared" si="62"/>
        <v/>
      </c>
      <c r="R182" s="59" t="str">
        <f t="shared" si="63"/>
        <v>June 2021</v>
      </c>
      <c r="S182" s="61">
        <f t="shared" si="64"/>
        <v>44369</v>
      </c>
      <c r="Z182" s="62">
        <f t="shared" si="65"/>
        <v>44369</v>
      </c>
      <c r="AA182" s="63" t="s">
        <v>253</v>
      </c>
    </row>
    <row r="183" spans="2:27" x14ac:dyDescent="0.2">
      <c r="B183" s="58">
        <f t="shared" si="66"/>
        <v>44370</v>
      </c>
      <c r="C183" s="59" t="str">
        <f t="shared" si="54"/>
        <v>23</v>
      </c>
      <c r="D183" s="59" t="str">
        <f t="shared" si="55"/>
        <v>Wednesday</v>
      </c>
      <c r="E183" s="59" t="str">
        <f t="shared" si="56"/>
        <v>June</v>
      </c>
      <c r="F183" s="59" t="str">
        <f t="shared" si="57"/>
        <v>2021</v>
      </c>
      <c r="G183" s="59" t="str">
        <f t="shared" si="67"/>
        <v>Week_26</v>
      </c>
      <c r="H183" s="59" t="str">
        <f t="shared" si="68"/>
        <v>June 2021</v>
      </c>
      <c r="I183" s="59" t="str">
        <f t="shared" si="69"/>
        <v>Week_26</v>
      </c>
      <c r="J183" s="60">
        <f t="shared" si="58"/>
        <v>44370</v>
      </c>
      <c r="K183" s="59">
        <f t="shared" si="70"/>
        <v>26</v>
      </c>
      <c r="L183" s="59">
        <f t="shared" si="59"/>
        <v>26</v>
      </c>
      <c r="M183" s="59" t="str">
        <f t="shared" si="60"/>
        <v>Week_</v>
      </c>
      <c r="N183" s="59" t="str">
        <f t="shared" si="61"/>
        <v>Week_26</v>
      </c>
      <c r="O183" s="59">
        <f t="shared" si="71"/>
        <v>0</v>
      </c>
      <c r="P183" s="59" t="str">
        <f t="shared" si="72"/>
        <v/>
      </c>
      <c r="Q183" s="59" t="str">
        <f t="shared" si="62"/>
        <v/>
      </c>
      <c r="R183" s="59" t="str">
        <f t="shared" si="63"/>
        <v>June 2021</v>
      </c>
      <c r="S183" s="61">
        <f t="shared" si="64"/>
        <v>44370</v>
      </c>
      <c r="Z183" s="62">
        <f t="shared" si="65"/>
        <v>44370</v>
      </c>
      <c r="AA183" s="63" t="s">
        <v>253</v>
      </c>
    </row>
    <row r="184" spans="2:27" x14ac:dyDescent="0.2">
      <c r="B184" s="58">
        <f t="shared" si="66"/>
        <v>44371</v>
      </c>
      <c r="C184" s="59" t="str">
        <f t="shared" si="54"/>
        <v>24</v>
      </c>
      <c r="D184" s="59" t="str">
        <f t="shared" si="55"/>
        <v>Thursday</v>
      </c>
      <c r="E184" s="59" t="str">
        <f t="shared" si="56"/>
        <v>June</v>
      </c>
      <c r="F184" s="59" t="str">
        <f t="shared" si="57"/>
        <v>2021</v>
      </c>
      <c r="G184" s="59" t="str">
        <f t="shared" si="67"/>
        <v>Week_26</v>
      </c>
      <c r="H184" s="59" t="str">
        <f t="shared" si="68"/>
        <v>June 2021</v>
      </c>
      <c r="I184" s="59" t="str">
        <f t="shared" si="69"/>
        <v>Week_26</v>
      </c>
      <c r="J184" s="60">
        <f t="shared" si="58"/>
        <v>44371</v>
      </c>
      <c r="K184" s="59">
        <f t="shared" si="70"/>
        <v>26</v>
      </c>
      <c r="L184" s="59">
        <f t="shared" si="59"/>
        <v>26</v>
      </c>
      <c r="M184" s="59" t="str">
        <f t="shared" si="60"/>
        <v>Week_</v>
      </c>
      <c r="N184" s="59" t="str">
        <f t="shared" si="61"/>
        <v>Week_26</v>
      </c>
      <c r="O184" s="59">
        <f t="shared" si="71"/>
        <v>0</v>
      </c>
      <c r="P184" s="59" t="str">
        <f t="shared" si="72"/>
        <v/>
      </c>
      <c r="Q184" s="59" t="str">
        <f t="shared" si="62"/>
        <v/>
      </c>
      <c r="R184" s="59" t="str">
        <f t="shared" si="63"/>
        <v>June 2021</v>
      </c>
      <c r="S184" s="61">
        <f t="shared" si="64"/>
        <v>44371</v>
      </c>
      <c r="Z184" s="62">
        <f t="shared" si="65"/>
        <v>44371</v>
      </c>
      <c r="AA184" s="63" t="s">
        <v>253</v>
      </c>
    </row>
    <row r="185" spans="2:27" x14ac:dyDescent="0.2">
      <c r="B185" s="58">
        <f t="shared" si="66"/>
        <v>44372</v>
      </c>
      <c r="C185" s="59" t="str">
        <f t="shared" si="54"/>
        <v>25</v>
      </c>
      <c r="D185" s="59" t="str">
        <f t="shared" si="55"/>
        <v>Friday</v>
      </c>
      <c r="E185" s="59" t="str">
        <f t="shared" si="56"/>
        <v>June</v>
      </c>
      <c r="F185" s="59" t="str">
        <f t="shared" si="57"/>
        <v>2021</v>
      </c>
      <c r="G185" s="59" t="str">
        <f t="shared" si="67"/>
        <v>Week_26</v>
      </c>
      <c r="H185" s="59" t="str">
        <f t="shared" si="68"/>
        <v>June 2021</v>
      </c>
      <c r="I185" s="59" t="str">
        <f t="shared" si="69"/>
        <v>Week_26</v>
      </c>
      <c r="J185" s="60">
        <f t="shared" si="58"/>
        <v>44372</v>
      </c>
      <c r="K185" s="59">
        <f t="shared" si="70"/>
        <v>26</v>
      </c>
      <c r="L185" s="59">
        <f t="shared" si="59"/>
        <v>26</v>
      </c>
      <c r="M185" s="59" t="str">
        <f t="shared" si="60"/>
        <v>Week_</v>
      </c>
      <c r="N185" s="59" t="str">
        <f t="shared" si="61"/>
        <v>Week_26</v>
      </c>
      <c r="O185" s="59">
        <f t="shared" si="71"/>
        <v>0</v>
      </c>
      <c r="P185" s="59" t="str">
        <f t="shared" si="72"/>
        <v/>
      </c>
      <c r="Q185" s="59" t="str">
        <f t="shared" si="62"/>
        <v/>
      </c>
      <c r="R185" s="59" t="str">
        <f t="shared" si="63"/>
        <v>June 2021</v>
      </c>
      <c r="S185" s="61">
        <f t="shared" si="64"/>
        <v>44372</v>
      </c>
      <c r="Z185" s="62">
        <f t="shared" si="65"/>
        <v>44372</v>
      </c>
      <c r="AA185" s="63" t="s">
        <v>253</v>
      </c>
    </row>
    <row r="186" spans="2:27" x14ac:dyDescent="0.2">
      <c r="B186" s="58">
        <f t="shared" si="66"/>
        <v>44373</v>
      </c>
      <c r="C186" s="59" t="str">
        <f t="shared" si="54"/>
        <v>26</v>
      </c>
      <c r="D186" s="59" t="str">
        <f t="shared" si="55"/>
        <v>Saturday</v>
      </c>
      <c r="E186" s="59" t="str">
        <f t="shared" si="56"/>
        <v>June</v>
      </c>
      <c r="F186" s="59" t="str">
        <f t="shared" si="57"/>
        <v>2021</v>
      </c>
      <c r="G186" s="59" t="str">
        <f t="shared" si="67"/>
        <v>Week_26</v>
      </c>
      <c r="H186" s="59" t="str">
        <f t="shared" si="68"/>
        <v>June 2021</v>
      </c>
      <c r="I186" s="59" t="str">
        <f t="shared" si="69"/>
        <v>Week_26</v>
      </c>
      <c r="J186" s="60">
        <f t="shared" si="58"/>
        <v>44373</v>
      </c>
      <c r="K186" s="59">
        <f t="shared" si="70"/>
        <v>26</v>
      </c>
      <c r="L186" s="59">
        <f t="shared" si="59"/>
        <v>26</v>
      </c>
      <c r="M186" s="59" t="str">
        <f t="shared" si="60"/>
        <v>Week_</v>
      </c>
      <c r="N186" s="59" t="str">
        <f t="shared" si="61"/>
        <v>Week_26</v>
      </c>
      <c r="O186" s="59">
        <f t="shared" si="71"/>
        <v>0</v>
      </c>
      <c r="P186" s="59" t="str">
        <f t="shared" si="72"/>
        <v/>
      </c>
      <c r="Q186" s="59" t="str">
        <f t="shared" si="62"/>
        <v/>
      </c>
      <c r="R186" s="59" t="str">
        <f t="shared" si="63"/>
        <v>June 2021</v>
      </c>
      <c r="S186" s="61">
        <f t="shared" si="64"/>
        <v>44373</v>
      </c>
      <c r="Z186" s="62">
        <f t="shared" si="65"/>
        <v>44373</v>
      </c>
      <c r="AA186" s="63" t="s">
        <v>253</v>
      </c>
    </row>
    <row r="187" spans="2:27" x14ac:dyDescent="0.2">
      <c r="B187" s="58">
        <f t="shared" si="66"/>
        <v>44374</v>
      </c>
      <c r="C187" s="59" t="str">
        <f t="shared" si="54"/>
        <v>27</v>
      </c>
      <c r="D187" s="59" t="str">
        <f t="shared" si="55"/>
        <v>Sunday</v>
      </c>
      <c r="E187" s="59" t="str">
        <f t="shared" si="56"/>
        <v>June</v>
      </c>
      <c r="F187" s="59" t="str">
        <f t="shared" si="57"/>
        <v>2021</v>
      </c>
      <c r="G187" s="59" t="str">
        <f t="shared" si="67"/>
        <v>Week_26</v>
      </c>
      <c r="H187" s="59" t="str">
        <f t="shared" si="68"/>
        <v>June 2021</v>
      </c>
      <c r="I187" s="59" t="str">
        <f t="shared" si="69"/>
        <v>Week_26</v>
      </c>
      <c r="J187" s="60">
        <f t="shared" si="58"/>
        <v>44374</v>
      </c>
      <c r="K187" s="59">
        <f t="shared" si="70"/>
        <v>26</v>
      </c>
      <c r="L187" s="59">
        <f t="shared" si="59"/>
        <v>26</v>
      </c>
      <c r="M187" s="59" t="str">
        <f t="shared" si="60"/>
        <v>Week_</v>
      </c>
      <c r="N187" s="59" t="str">
        <f t="shared" si="61"/>
        <v>Week_26</v>
      </c>
      <c r="O187" s="59">
        <f t="shared" si="71"/>
        <v>0</v>
      </c>
      <c r="P187" s="59" t="str">
        <f t="shared" si="72"/>
        <v/>
      </c>
      <c r="Q187" s="59" t="str">
        <f t="shared" si="62"/>
        <v/>
      </c>
      <c r="R187" s="59" t="str">
        <f t="shared" si="63"/>
        <v>June 2021</v>
      </c>
      <c r="S187" s="61">
        <f t="shared" si="64"/>
        <v>44374</v>
      </c>
      <c r="Z187" s="62">
        <f t="shared" si="65"/>
        <v>44374</v>
      </c>
      <c r="AA187" s="63" t="s">
        <v>253</v>
      </c>
    </row>
    <row r="188" spans="2:27" x14ac:dyDescent="0.2">
      <c r="B188" s="58">
        <f t="shared" si="66"/>
        <v>44375</v>
      </c>
      <c r="C188" s="59" t="str">
        <f t="shared" si="54"/>
        <v>28</v>
      </c>
      <c r="D188" s="59" t="str">
        <f t="shared" si="55"/>
        <v>Monday</v>
      </c>
      <c r="E188" s="59" t="str">
        <f t="shared" si="56"/>
        <v>June</v>
      </c>
      <c r="F188" s="59" t="str">
        <f t="shared" si="57"/>
        <v>2021</v>
      </c>
      <c r="G188" s="59" t="str">
        <f t="shared" si="67"/>
        <v>Week_27</v>
      </c>
      <c r="H188" s="59" t="str">
        <f t="shared" si="68"/>
        <v>June 2021</v>
      </c>
      <c r="I188" s="59" t="str">
        <f t="shared" si="69"/>
        <v>Start WeekWeek_27</v>
      </c>
      <c r="J188" s="60">
        <f t="shared" si="58"/>
        <v>44375</v>
      </c>
      <c r="K188" s="59">
        <f t="shared" si="70"/>
        <v>27</v>
      </c>
      <c r="L188" s="59">
        <f t="shared" si="59"/>
        <v>27</v>
      </c>
      <c r="M188" s="59" t="str">
        <f t="shared" si="60"/>
        <v>Week_</v>
      </c>
      <c r="N188" s="59" t="str">
        <f t="shared" si="61"/>
        <v>Week_27</v>
      </c>
      <c r="O188" s="59">
        <f t="shared" si="71"/>
        <v>1</v>
      </c>
      <c r="P188" s="59" t="str">
        <f t="shared" si="72"/>
        <v>Start Week</v>
      </c>
      <c r="Q188" s="59" t="str">
        <f t="shared" si="62"/>
        <v/>
      </c>
      <c r="R188" s="59" t="str">
        <f t="shared" si="63"/>
        <v>June 2021</v>
      </c>
      <c r="S188" s="61">
        <f t="shared" si="64"/>
        <v>44375</v>
      </c>
      <c r="Z188" s="62">
        <f t="shared" si="65"/>
        <v>44375</v>
      </c>
      <c r="AA188" s="63" t="s">
        <v>253</v>
      </c>
    </row>
    <row r="189" spans="2:27" x14ac:dyDescent="0.2">
      <c r="B189" s="58">
        <f t="shared" si="66"/>
        <v>44376</v>
      </c>
      <c r="C189" s="59" t="str">
        <f t="shared" si="54"/>
        <v>29</v>
      </c>
      <c r="D189" s="59" t="str">
        <f t="shared" si="55"/>
        <v>Tuesday</v>
      </c>
      <c r="E189" s="59" t="str">
        <f t="shared" si="56"/>
        <v>June</v>
      </c>
      <c r="F189" s="59" t="str">
        <f t="shared" si="57"/>
        <v>2021</v>
      </c>
      <c r="G189" s="59" t="str">
        <f t="shared" si="67"/>
        <v>Week_27</v>
      </c>
      <c r="H189" s="59" t="str">
        <f t="shared" si="68"/>
        <v>June 2021</v>
      </c>
      <c r="I189" s="59" t="str">
        <f t="shared" si="69"/>
        <v>Week_27</v>
      </c>
      <c r="J189" s="60">
        <f t="shared" si="58"/>
        <v>44376</v>
      </c>
      <c r="K189" s="59">
        <f t="shared" si="70"/>
        <v>27</v>
      </c>
      <c r="L189" s="59">
        <f t="shared" si="59"/>
        <v>27</v>
      </c>
      <c r="M189" s="59" t="str">
        <f t="shared" si="60"/>
        <v>Week_</v>
      </c>
      <c r="N189" s="59" t="str">
        <f t="shared" si="61"/>
        <v>Week_27</v>
      </c>
      <c r="O189" s="59">
        <f t="shared" si="71"/>
        <v>0</v>
      </c>
      <c r="P189" s="59" t="str">
        <f t="shared" si="72"/>
        <v/>
      </c>
      <c r="Q189" s="59" t="str">
        <f t="shared" si="62"/>
        <v/>
      </c>
      <c r="R189" s="59" t="str">
        <f t="shared" si="63"/>
        <v>June 2021</v>
      </c>
      <c r="S189" s="61">
        <f t="shared" si="64"/>
        <v>44376</v>
      </c>
      <c r="Z189" s="62">
        <f t="shared" si="65"/>
        <v>44376</v>
      </c>
      <c r="AA189" s="63" t="s">
        <v>253</v>
      </c>
    </row>
    <row r="190" spans="2:27" x14ac:dyDescent="0.2">
      <c r="B190" s="58">
        <f t="shared" si="66"/>
        <v>44377</v>
      </c>
      <c r="C190" s="59" t="str">
        <f t="shared" si="54"/>
        <v>30</v>
      </c>
      <c r="D190" s="59" t="str">
        <f t="shared" si="55"/>
        <v>Wednesday</v>
      </c>
      <c r="E190" s="59" t="str">
        <f t="shared" si="56"/>
        <v>June</v>
      </c>
      <c r="F190" s="59" t="str">
        <f t="shared" si="57"/>
        <v>2021</v>
      </c>
      <c r="G190" s="59" t="str">
        <f t="shared" si="67"/>
        <v>Week_27</v>
      </c>
      <c r="H190" s="59" t="str">
        <f t="shared" si="68"/>
        <v>June 2021</v>
      </c>
      <c r="I190" s="59" t="str">
        <f t="shared" si="69"/>
        <v>Week_27</v>
      </c>
      <c r="J190" s="60">
        <f t="shared" si="58"/>
        <v>44377</v>
      </c>
      <c r="K190" s="59">
        <f t="shared" si="70"/>
        <v>27</v>
      </c>
      <c r="L190" s="59">
        <f t="shared" si="59"/>
        <v>27</v>
      </c>
      <c r="M190" s="59" t="str">
        <f t="shared" si="60"/>
        <v>Week_</v>
      </c>
      <c r="N190" s="59" t="str">
        <f t="shared" si="61"/>
        <v>Week_27</v>
      </c>
      <c r="O190" s="59">
        <f t="shared" si="71"/>
        <v>0</v>
      </c>
      <c r="P190" s="59" t="str">
        <f t="shared" si="72"/>
        <v/>
      </c>
      <c r="Q190" s="59" t="str">
        <f t="shared" si="62"/>
        <v/>
      </c>
      <c r="R190" s="59" t="str">
        <f t="shared" si="63"/>
        <v>June 2021</v>
      </c>
      <c r="S190" s="61">
        <f t="shared" si="64"/>
        <v>44377</v>
      </c>
      <c r="Z190" s="62">
        <f t="shared" si="65"/>
        <v>44377</v>
      </c>
      <c r="AA190" s="63" t="s">
        <v>253</v>
      </c>
    </row>
    <row r="191" spans="2:27" x14ac:dyDescent="0.2">
      <c r="B191" s="58">
        <f t="shared" si="66"/>
        <v>44378</v>
      </c>
      <c r="C191" s="59" t="str">
        <f t="shared" si="54"/>
        <v>01</v>
      </c>
      <c r="D191" s="59" t="str">
        <f t="shared" si="55"/>
        <v>Thursday</v>
      </c>
      <c r="E191" s="59" t="str">
        <f t="shared" si="56"/>
        <v>July</v>
      </c>
      <c r="F191" s="59" t="str">
        <f t="shared" si="57"/>
        <v>2021</v>
      </c>
      <c r="G191" s="59" t="str">
        <f t="shared" si="67"/>
        <v>Week_27</v>
      </c>
      <c r="H191" s="59" t="str">
        <f t="shared" si="68"/>
        <v>July 2021</v>
      </c>
      <c r="I191" s="59" t="str">
        <f t="shared" si="69"/>
        <v>Week_27</v>
      </c>
      <c r="J191" s="60">
        <f t="shared" si="58"/>
        <v>44378</v>
      </c>
      <c r="K191" s="59">
        <f t="shared" si="70"/>
        <v>27</v>
      </c>
      <c r="L191" s="59">
        <f t="shared" si="59"/>
        <v>27</v>
      </c>
      <c r="M191" s="59" t="str">
        <f t="shared" si="60"/>
        <v>Week_</v>
      </c>
      <c r="N191" s="59" t="str">
        <f t="shared" si="61"/>
        <v>Week_27</v>
      </c>
      <c r="O191" s="59">
        <f t="shared" si="71"/>
        <v>0</v>
      </c>
      <c r="P191" s="59" t="str">
        <f t="shared" si="72"/>
        <v/>
      </c>
      <c r="Q191" s="59" t="str">
        <f t="shared" si="62"/>
        <v>Start Month</v>
      </c>
      <c r="R191" s="59" t="str">
        <f t="shared" si="63"/>
        <v>Start MonthJuly 2021</v>
      </c>
      <c r="S191" s="61">
        <f t="shared" si="64"/>
        <v>44378</v>
      </c>
      <c r="Z191" s="62">
        <f t="shared" si="65"/>
        <v>44378</v>
      </c>
      <c r="AA191" s="63" t="s">
        <v>253</v>
      </c>
    </row>
    <row r="192" spans="2:27" x14ac:dyDescent="0.2">
      <c r="B192" s="58">
        <f t="shared" si="66"/>
        <v>44379</v>
      </c>
      <c r="C192" s="59" t="str">
        <f t="shared" si="54"/>
        <v>02</v>
      </c>
      <c r="D192" s="59" t="str">
        <f t="shared" si="55"/>
        <v>Friday</v>
      </c>
      <c r="E192" s="59" t="str">
        <f t="shared" si="56"/>
        <v>July</v>
      </c>
      <c r="F192" s="59" t="str">
        <f t="shared" si="57"/>
        <v>2021</v>
      </c>
      <c r="G192" s="59" t="str">
        <f t="shared" si="67"/>
        <v>Week_27</v>
      </c>
      <c r="H192" s="59" t="str">
        <f t="shared" si="68"/>
        <v>July 2021</v>
      </c>
      <c r="I192" s="59" t="str">
        <f t="shared" si="69"/>
        <v>Week_27</v>
      </c>
      <c r="J192" s="60">
        <f t="shared" si="58"/>
        <v>44379</v>
      </c>
      <c r="K192" s="59">
        <f t="shared" si="70"/>
        <v>27</v>
      </c>
      <c r="L192" s="59">
        <f t="shared" si="59"/>
        <v>27</v>
      </c>
      <c r="M192" s="59" t="str">
        <f t="shared" si="60"/>
        <v>Week_</v>
      </c>
      <c r="N192" s="59" t="str">
        <f t="shared" si="61"/>
        <v>Week_27</v>
      </c>
      <c r="O192" s="59">
        <f t="shared" si="71"/>
        <v>0</v>
      </c>
      <c r="P192" s="59" t="str">
        <f t="shared" si="72"/>
        <v/>
      </c>
      <c r="Q192" s="59" t="str">
        <f t="shared" si="62"/>
        <v/>
      </c>
      <c r="R192" s="59" t="str">
        <f t="shared" si="63"/>
        <v>July 2021</v>
      </c>
      <c r="S192" s="61">
        <f t="shared" si="64"/>
        <v>44379</v>
      </c>
      <c r="Z192" s="62">
        <f t="shared" si="65"/>
        <v>44379</v>
      </c>
      <c r="AA192" s="63" t="s">
        <v>253</v>
      </c>
    </row>
    <row r="193" spans="2:27" x14ac:dyDescent="0.2">
      <c r="B193" s="58">
        <f t="shared" si="66"/>
        <v>44380</v>
      </c>
      <c r="C193" s="59" t="str">
        <f t="shared" si="54"/>
        <v>03</v>
      </c>
      <c r="D193" s="59" t="str">
        <f t="shared" si="55"/>
        <v>Saturday</v>
      </c>
      <c r="E193" s="59" t="str">
        <f t="shared" si="56"/>
        <v>July</v>
      </c>
      <c r="F193" s="59" t="str">
        <f t="shared" si="57"/>
        <v>2021</v>
      </c>
      <c r="G193" s="59" t="str">
        <f t="shared" si="67"/>
        <v>Week_27</v>
      </c>
      <c r="H193" s="59" t="str">
        <f t="shared" si="68"/>
        <v>July 2021</v>
      </c>
      <c r="I193" s="59" t="str">
        <f t="shared" si="69"/>
        <v>Week_27</v>
      </c>
      <c r="J193" s="60">
        <f t="shared" si="58"/>
        <v>44380</v>
      </c>
      <c r="K193" s="59">
        <f t="shared" si="70"/>
        <v>27</v>
      </c>
      <c r="L193" s="59">
        <f t="shared" si="59"/>
        <v>27</v>
      </c>
      <c r="M193" s="59" t="str">
        <f t="shared" si="60"/>
        <v>Week_</v>
      </c>
      <c r="N193" s="59" t="str">
        <f t="shared" si="61"/>
        <v>Week_27</v>
      </c>
      <c r="O193" s="59">
        <f t="shared" si="71"/>
        <v>0</v>
      </c>
      <c r="P193" s="59" t="str">
        <f t="shared" si="72"/>
        <v/>
      </c>
      <c r="Q193" s="59" t="str">
        <f t="shared" si="62"/>
        <v/>
      </c>
      <c r="R193" s="59" t="str">
        <f t="shared" si="63"/>
        <v>July 2021</v>
      </c>
      <c r="S193" s="61">
        <f t="shared" si="64"/>
        <v>44380</v>
      </c>
      <c r="Z193" s="62">
        <f t="shared" si="65"/>
        <v>44380</v>
      </c>
      <c r="AA193" s="63" t="s">
        <v>253</v>
      </c>
    </row>
    <row r="194" spans="2:27" x14ac:dyDescent="0.2">
      <c r="B194" s="58">
        <f t="shared" si="66"/>
        <v>44381</v>
      </c>
      <c r="C194" s="59" t="str">
        <f t="shared" si="54"/>
        <v>04</v>
      </c>
      <c r="D194" s="59" t="str">
        <f t="shared" si="55"/>
        <v>Sunday</v>
      </c>
      <c r="E194" s="59" t="str">
        <f t="shared" si="56"/>
        <v>July</v>
      </c>
      <c r="F194" s="59" t="str">
        <f t="shared" si="57"/>
        <v>2021</v>
      </c>
      <c r="G194" s="59" t="str">
        <f t="shared" si="67"/>
        <v>Week_27</v>
      </c>
      <c r="H194" s="59" t="str">
        <f t="shared" si="68"/>
        <v>July 2021</v>
      </c>
      <c r="I194" s="59" t="str">
        <f t="shared" si="69"/>
        <v>Week_27</v>
      </c>
      <c r="J194" s="60">
        <f t="shared" si="58"/>
        <v>44381</v>
      </c>
      <c r="K194" s="59">
        <f t="shared" si="70"/>
        <v>27</v>
      </c>
      <c r="L194" s="59">
        <f t="shared" si="59"/>
        <v>27</v>
      </c>
      <c r="M194" s="59" t="str">
        <f t="shared" si="60"/>
        <v>Week_</v>
      </c>
      <c r="N194" s="59" t="str">
        <f t="shared" si="61"/>
        <v>Week_27</v>
      </c>
      <c r="O194" s="59">
        <f t="shared" si="71"/>
        <v>0</v>
      </c>
      <c r="P194" s="59" t="str">
        <f t="shared" si="72"/>
        <v/>
      </c>
      <c r="Q194" s="59" t="str">
        <f t="shared" si="62"/>
        <v/>
      </c>
      <c r="R194" s="59" t="str">
        <f t="shared" si="63"/>
        <v>July 2021</v>
      </c>
      <c r="S194" s="61">
        <f t="shared" si="64"/>
        <v>44381</v>
      </c>
      <c r="Z194" s="62">
        <f t="shared" si="65"/>
        <v>44381</v>
      </c>
      <c r="AA194" s="63" t="s">
        <v>253</v>
      </c>
    </row>
    <row r="195" spans="2:27" x14ac:dyDescent="0.2">
      <c r="B195" s="58">
        <f t="shared" si="66"/>
        <v>44382</v>
      </c>
      <c r="C195" s="59" t="str">
        <f t="shared" si="54"/>
        <v>05</v>
      </c>
      <c r="D195" s="59" t="str">
        <f t="shared" si="55"/>
        <v>Monday</v>
      </c>
      <c r="E195" s="59" t="str">
        <f t="shared" si="56"/>
        <v>July</v>
      </c>
      <c r="F195" s="59" t="str">
        <f t="shared" si="57"/>
        <v>2021</v>
      </c>
      <c r="G195" s="59" t="str">
        <f t="shared" si="67"/>
        <v>Week_28</v>
      </c>
      <c r="H195" s="59" t="str">
        <f t="shared" si="68"/>
        <v>July 2021</v>
      </c>
      <c r="I195" s="59" t="str">
        <f t="shared" si="69"/>
        <v>Start WeekWeek_28</v>
      </c>
      <c r="J195" s="60">
        <f t="shared" si="58"/>
        <v>44382</v>
      </c>
      <c r="K195" s="59">
        <f t="shared" si="70"/>
        <v>28</v>
      </c>
      <c r="L195" s="59">
        <f t="shared" si="59"/>
        <v>28</v>
      </c>
      <c r="M195" s="59" t="str">
        <f t="shared" si="60"/>
        <v>Week_</v>
      </c>
      <c r="N195" s="59" t="str">
        <f t="shared" si="61"/>
        <v>Week_28</v>
      </c>
      <c r="O195" s="59">
        <f t="shared" si="71"/>
        <v>1</v>
      </c>
      <c r="P195" s="59" t="str">
        <f t="shared" si="72"/>
        <v>Start Week</v>
      </c>
      <c r="Q195" s="59" t="str">
        <f t="shared" si="62"/>
        <v/>
      </c>
      <c r="R195" s="59" t="str">
        <f t="shared" si="63"/>
        <v>July 2021</v>
      </c>
      <c r="S195" s="61">
        <f t="shared" si="64"/>
        <v>44382</v>
      </c>
      <c r="Z195" s="62">
        <f t="shared" si="65"/>
        <v>44382</v>
      </c>
      <c r="AA195" s="63" t="s">
        <v>253</v>
      </c>
    </row>
    <row r="196" spans="2:27" x14ac:dyDescent="0.2">
      <c r="B196" s="58">
        <f t="shared" si="66"/>
        <v>44383</v>
      </c>
      <c r="C196" s="59" t="str">
        <f t="shared" si="54"/>
        <v>06</v>
      </c>
      <c r="D196" s="59" t="str">
        <f t="shared" si="55"/>
        <v>Tuesday</v>
      </c>
      <c r="E196" s="59" t="str">
        <f t="shared" si="56"/>
        <v>July</v>
      </c>
      <c r="F196" s="59" t="str">
        <f t="shared" si="57"/>
        <v>2021</v>
      </c>
      <c r="G196" s="59" t="str">
        <f t="shared" si="67"/>
        <v>Week_28</v>
      </c>
      <c r="H196" s="59" t="str">
        <f t="shared" si="68"/>
        <v>July 2021</v>
      </c>
      <c r="I196" s="59" t="str">
        <f t="shared" si="69"/>
        <v>Week_28</v>
      </c>
      <c r="J196" s="60">
        <f t="shared" si="58"/>
        <v>44383</v>
      </c>
      <c r="K196" s="59">
        <f t="shared" si="70"/>
        <v>28</v>
      </c>
      <c r="L196" s="59">
        <f t="shared" si="59"/>
        <v>28</v>
      </c>
      <c r="M196" s="59" t="str">
        <f t="shared" si="60"/>
        <v>Week_</v>
      </c>
      <c r="N196" s="59" t="str">
        <f t="shared" si="61"/>
        <v>Week_28</v>
      </c>
      <c r="O196" s="59">
        <f t="shared" si="71"/>
        <v>0</v>
      </c>
      <c r="P196" s="59" t="str">
        <f t="shared" si="72"/>
        <v/>
      </c>
      <c r="Q196" s="59" t="str">
        <f t="shared" si="62"/>
        <v/>
      </c>
      <c r="R196" s="59" t="str">
        <f t="shared" si="63"/>
        <v>July 2021</v>
      </c>
      <c r="S196" s="61">
        <f t="shared" si="64"/>
        <v>44383</v>
      </c>
      <c r="Z196" s="62">
        <f t="shared" si="65"/>
        <v>44383</v>
      </c>
      <c r="AA196" s="63" t="s">
        <v>253</v>
      </c>
    </row>
    <row r="197" spans="2:27" x14ac:dyDescent="0.2">
      <c r="B197" s="58">
        <f t="shared" si="66"/>
        <v>44384</v>
      </c>
      <c r="C197" s="59" t="str">
        <f t="shared" si="54"/>
        <v>07</v>
      </c>
      <c r="D197" s="59" t="str">
        <f t="shared" si="55"/>
        <v>Wednesday</v>
      </c>
      <c r="E197" s="59" t="str">
        <f t="shared" si="56"/>
        <v>July</v>
      </c>
      <c r="F197" s="59" t="str">
        <f t="shared" si="57"/>
        <v>2021</v>
      </c>
      <c r="G197" s="59" t="str">
        <f t="shared" si="67"/>
        <v>Week_28</v>
      </c>
      <c r="H197" s="59" t="str">
        <f t="shared" si="68"/>
        <v>July 2021</v>
      </c>
      <c r="I197" s="59" t="str">
        <f t="shared" si="69"/>
        <v>Week_28</v>
      </c>
      <c r="J197" s="60">
        <f t="shared" si="58"/>
        <v>44384</v>
      </c>
      <c r="K197" s="59">
        <f t="shared" si="70"/>
        <v>28</v>
      </c>
      <c r="L197" s="59">
        <f t="shared" si="59"/>
        <v>28</v>
      </c>
      <c r="M197" s="59" t="str">
        <f t="shared" si="60"/>
        <v>Week_</v>
      </c>
      <c r="N197" s="59" t="str">
        <f t="shared" si="61"/>
        <v>Week_28</v>
      </c>
      <c r="O197" s="59">
        <f t="shared" si="71"/>
        <v>0</v>
      </c>
      <c r="P197" s="59" t="str">
        <f t="shared" si="72"/>
        <v/>
      </c>
      <c r="Q197" s="59" t="str">
        <f t="shared" si="62"/>
        <v/>
      </c>
      <c r="R197" s="59" t="str">
        <f t="shared" si="63"/>
        <v>July 2021</v>
      </c>
      <c r="S197" s="61">
        <f t="shared" si="64"/>
        <v>44384</v>
      </c>
      <c r="Z197" s="62">
        <f t="shared" si="65"/>
        <v>44384</v>
      </c>
      <c r="AA197" s="63" t="s">
        <v>253</v>
      </c>
    </row>
    <row r="198" spans="2:27" x14ac:dyDescent="0.2">
      <c r="B198" s="58">
        <f t="shared" si="66"/>
        <v>44385</v>
      </c>
      <c r="C198" s="59" t="str">
        <f t="shared" si="54"/>
        <v>08</v>
      </c>
      <c r="D198" s="59" t="str">
        <f t="shared" si="55"/>
        <v>Thursday</v>
      </c>
      <c r="E198" s="59" t="str">
        <f t="shared" si="56"/>
        <v>July</v>
      </c>
      <c r="F198" s="59" t="str">
        <f t="shared" si="57"/>
        <v>2021</v>
      </c>
      <c r="G198" s="59" t="str">
        <f t="shared" si="67"/>
        <v>Week_28</v>
      </c>
      <c r="H198" s="59" t="str">
        <f t="shared" si="68"/>
        <v>July 2021</v>
      </c>
      <c r="I198" s="59" t="str">
        <f t="shared" si="69"/>
        <v>Week_28</v>
      </c>
      <c r="J198" s="60">
        <f t="shared" si="58"/>
        <v>44385</v>
      </c>
      <c r="K198" s="59">
        <f t="shared" si="70"/>
        <v>28</v>
      </c>
      <c r="L198" s="59">
        <f t="shared" si="59"/>
        <v>28</v>
      </c>
      <c r="M198" s="59" t="str">
        <f t="shared" si="60"/>
        <v>Week_</v>
      </c>
      <c r="N198" s="59" t="str">
        <f t="shared" si="61"/>
        <v>Week_28</v>
      </c>
      <c r="O198" s="59">
        <f t="shared" si="71"/>
        <v>0</v>
      </c>
      <c r="P198" s="59" t="str">
        <f t="shared" si="72"/>
        <v/>
      </c>
      <c r="Q198" s="59" t="str">
        <f t="shared" si="62"/>
        <v/>
      </c>
      <c r="R198" s="59" t="str">
        <f t="shared" si="63"/>
        <v>July 2021</v>
      </c>
      <c r="S198" s="61">
        <f t="shared" si="64"/>
        <v>44385</v>
      </c>
      <c r="Z198" s="62">
        <f t="shared" si="65"/>
        <v>44385</v>
      </c>
      <c r="AA198" s="63" t="s">
        <v>253</v>
      </c>
    </row>
    <row r="199" spans="2:27" x14ac:dyDescent="0.2">
      <c r="B199" s="58">
        <f t="shared" si="66"/>
        <v>44386</v>
      </c>
      <c r="C199" s="59" t="str">
        <f t="shared" si="54"/>
        <v>09</v>
      </c>
      <c r="D199" s="59" t="str">
        <f t="shared" si="55"/>
        <v>Friday</v>
      </c>
      <c r="E199" s="59" t="str">
        <f t="shared" si="56"/>
        <v>July</v>
      </c>
      <c r="F199" s="59" t="str">
        <f t="shared" si="57"/>
        <v>2021</v>
      </c>
      <c r="G199" s="59" t="str">
        <f t="shared" si="67"/>
        <v>Week_28</v>
      </c>
      <c r="H199" s="59" t="str">
        <f t="shared" si="68"/>
        <v>July 2021</v>
      </c>
      <c r="I199" s="59" t="str">
        <f t="shared" si="69"/>
        <v>Week_28</v>
      </c>
      <c r="J199" s="60">
        <f t="shared" si="58"/>
        <v>44386</v>
      </c>
      <c r="K199" s="59">
        <f t="shared" si="70"/>
        <v>28</v>
      </c>
      <c r="L199" s="59">
        <f t="shared" si="59"/>
        <v>28</v>
      </c>
      <c r="M199" s="59" t="str">
        <f t="shared" si="60"/>
        <v>Week_</v>
      </c>
      <c r="N199" s="59" t="str">
        <f t="shared" si="61"/>
        <v>Week_28</v>
      </c>
      <c r="O199" s="59">
        <f t="shared" si="71"/>
        <v>0</v>
      </c>
      <c r="P199" s="59" t="str">
        <f t="shared" si="72"/>
        <v/>
      </c>
      <c r="Q199" s="59" t="str">
        <f t="shared" si="62"/>
        <v/>
      </c>
      <c r="R199" s="59" t="str">
        <f t="shared" si="63"/>
        <v>July 2021</v>
      </c>
      <c r="S199" s="61">
        <f t="shared" si="64"/>
        <v>44386</v>
      </c>
      <c r="Z199" s="62">
        <f t="shared" si="65"/>
        <v>44386</v>
      </c>
      <c r="AA199" s="63" t="s">
        <v>253</v>
      </c>
    </row>
    <row r="200" spans="2:27" x14ac:dyDescent="0.2">
      <c r="B200" s="58">
        <f t="shared" si="66"/>
        <v>44387</v>
      </c>
      <c r="C200" s="59" t="str">
        <f t="shared" si="54"/>
        <v>10</v>
      </c>
      <c r="D200" s="59" t="str">
        <f t="shared" si="55"/>
        <v>Saturday</v>
      </c>
      <c r="E200" s="59" t="str">
        <f t="shared" si="56"/>
        <v>July</v>
      </c>
      <c r="F200" s="59" t="str">
        <f t="shared" si="57"/>
        <v>2021</v>
      </c>
      <c r="G200" s="59" t="str">
        <f t="shared" si="67"/>
        <v>Week_28</v>
      </c>
      <c r="H200" s="59" t="str">
        <f t="shared" si="68"/>
        <v>July 2021</v>
      </c>
      <c r="I200" s="59" t="str">
        <f t="shared" si="69"/>
        <v>Week_28</v>
      </c>
      <c r="J200" s="60">
        <f t="shared" si="58"/>
        <v>44387</v>
      </c>
      <c r="K200" s="59">
        <f t="shared" si="70"/>
        <v>28</v>
      </c>
      <c r="L200" s="59">
        <f t="shared" si="59"/>
        <v>28</v>
      </c>
      <c r="M200" s="59" t="str">
        <f t="shared" si="60"/>
        <v>Week_</v>
      </c>
      <c r="N200" s="59" t="str">
        <f t="shared" si="61"/>
        <v>Week_28</v>
      </c>
      <c r="O200" s="59">
        <f t="shared" si="71"/>
        <v>0</v>
      </c>
      <c r="P200" s="59" t="str">
        <f t="shared" si="72"/>
        <v/>
      </c>
      <c r="Q200" s="59" t="str">
        <f t="shared" si="62"/>
        <v/>
      </c>
      <c r="R200" s="59" t="str">
        <f t="shared" si="63"/>
        <v>July 2021</v>
      </c>
      <c r="S200" s="61">
        <f t="shared" si="64"/>
        <v>44387</v>
      </c>
      <c r="Z200" s="62">
        <f t="shared" si="65"/>
        <v>44387</v>
      </c>
      <c r="AA200" s="63" t="s">
        <v>253</v>
      </c>
    </row>
    <row r="201" spans="2:27" x14ac:dyDescent="0.2">
      <c r="B201" s="58">
        <f t="shared" si="66"/>
        <v>44388</v>
      </c>
      <c r="C201" s="59" t="str">
        <f t="shared" si="54"/>
        <v>11</v>
      </c>
      <c r="D201" s="59" t="str">
        <f t="shared" si="55"/>
        <v>Sunday</v>
      </c>
      <c r="E201" s="59" t="str">
        <f t="shared" si="56"/>
        <v>July</v>
      </c>
      <c r="F201" s="59" t="str">
        <f t="shared" si="57"/>
        <v>2021</v>
      </c>
      <c r="G201" s="59" t="str">
        <f t="shared" si="67"/>
        <v>Week_28</v>
      </c>
      <c r="H201" s="59" t="str">
        <f t="shared" si="68"/>
        <v>July 2021</v>
      </c>
      <c r="I201" s="59" t="str">
        <f t="shared" si="69"/>
        <v>Week_28</v>
      </c>
      <c r="J201" s="60">
        <f t="shared" si="58"/>
        <v>44388</v>
      </c>
      <c r="K201" s="59">
        <f t="shared" si="70"/>
        <v>28</v>
      </c>
      <c r="L201" s="59">
        <f t="shared" si="59"/>
        <v>28</v>
      </c>
      <c r="M201" s="59" t="str">
        <f t="shared" si="60"/>
        <v>Week_</v>
      </c>
      <c r="N201" s="59" t="str">
        <f t="shared" si="61"/>
        <v>Week_28</v>
      </c>
      <c r="O201" s="59">
        <f t="shared" si="71"/>
        <v>0</v>
      </c>
      <c r="P201" s="59" t="str">
        <f t="shared" si="72"/>
        <v/>
      </c>
      <c r="Q201" s="59" t="str">
        <f t="shared" si="62"/>
        <v/>
      </c>
      <c r="R201" s="59" t="str">
        <f t="shared" si="63"/>
        <v>July 2021</v>
      </c>
      <c r="S201" s="61">
        <f t="shared" si="64"/>
        <v>44388</v>
      </c>
      <c r="Z201" s="62">
        <f t="shared" si="65"/>
        <v>44388</v>
      </c>
      <c r="AA201" s="63" t="s">
        <v>253</v>
      </c>
    </row>
    <row r="202" spans="2:27" x14ac:dyDescent="0.2">
      <c r="B202" s="58">
        <f t="shared" si="66"/>
        <v>44389</v>
      </c>
      <c r="C202" s="59" t="str">
        <f t="shared" ref="C202:C265" si="73">IF($B202="","",TEXT($B202,"dd"))</f>
        <v>12</v>
      </c>
      <c r="D202" s="59" t="str">
        <f t="shared" ref="D202:D265" si="74">IF($B202="","",TEXT($B202,"dddd"))</f>
        <v>Monday</v>
      </c>
      <c r="E202" s="59" t="str">
        <f t="shared" ref="E202:E265" si="75">IF($B202="","",TEXT($B202,"mmmm"))</f>
        <v>July</v>
      </c>
      <c r="F202" s="59" t="str">
        <f t="shared" ref="F202:F265" si="76">IF($B202="","",TEXT($B202,"yyyy"))</f>
        <v>2021</v>
      </c>
      <c r="G202" s="59" t="str">
        <f t="shared" si="67"/>
        <v>Week_29</v>
      </c>
      <c r="H202" s="59" t="str">
        <f t="shared" si="68"/>
        <v>July 2021</v>
      </c>
      <c r="I202" s="59" t="str">
        <f t="shared" si="69"/>
        <v>Start WeekWeek_29</v>
      </c>
      <c r="J202" s="60">
        <f t="shared" ref="J202:J265" si="77">+B202</f>
        <v>44389</v>
      </c>
      <c r="K202" s="59">
        <f t="shared" si="70"/>
        <v>29</v>
      </c>
      <c r="L202" s="59">
        <f t="shared" ref="L202:L265" si="78">IF(K202=1,"01",IF(K202=2,"02",IF(K202=3,"03",IF(K202=4,"04",IF(K202=5,"05",IF(K202=6,"06",IF(K202=7,"07",IF(K202=8,"08",IF(K202=9,"09",K202)))))))))</f>
        <v>29</v>
      </c>
      <c r="M202" s="59" t="str">
        <f t="shared" ref="M202:M265" si="79">IF(K202="","","Week_")</f>
        <v>Week_</v>
      </c>
      <c r="N202" s="59" t="str">
        <f t="shared" ref="N202:N265" si="80">CONCATENATE(M202,L202)</f>
        <v>Week_29</v>
      </c>
      <c r="O202" s="59">
        <f t="shared" si="71"/>
        <v>1</v>
      </c>
      <c r="P202" s="59" t="str">
        <f t="shared" si="72"/>
        <v>Start Week</v>
      </c>
      <c r="Q202" s="59" t="str">
        <f t="shared" ref="Q202:Q265" si="81">IF(C202="01","Start Month","")</f>
        <v/>
      </c>
      <c r="R202" s="59" t="str">
        <f t="shared" ref="R202:R265" si="82">+Q202&amp;H202</f>
        <v>July 2021</v>
      </c>
      <c r="S202" s="61">
        <f t="shared" ref="S202:S265" si="83">+B202</f>
        <v>44389</v>
      </c>
      <c r="Z202" s="62">
        <f t="shared" ref="Z202:Z265" si="84">+B202</f>
        <v>44389</v>
      </c>
      <c r="AA202" s="63" t="s">
        <v>253</v>
      </c>
    </row>
    <row r="203" spans="2:27" x14ac:dyDescent="0.2">
      <c r="B203" s="58">
        <f t="shared" ref="B203:B266" si="85">1+B202</f>
        <v>44390</v>
      </c>
      <c r="C203" s="59" t="str">
        <f t="shared" si="73"/>
        <v>13</v>
      </c>
      <c r="D203" s="59" t="str">
        <f t="shared" si="74"/>
        <v>Tuesday</v>
      </c>
      <c r="E203" s="59" t="str">
        <f t="shared" si="75"/>
        <v>July</v>
      </c>
      <c r="F203" s="59" t="str">
        <f t="shared" si="76"/>
        <v>2021</v>
      </c>
      <c r="G203" s="59" t="str">
        <f t="shared" ref="G203:G266" si="86">+N203</f>
        <v>Week_29</v>
      </c>
      <c r="H203" s="59" t="str">
        <f t="shared" ref="H203:H266" si="87">E203&amp;" "&amp;F203</f>
        <v>July 2021</v>
      </c>
      <c r="I203" s="59" t="str">
        <f t="shared" ref="I203:I266" si="88">+P203&amp;N203</f>
        <v>Week_29</v>
      </c>
      <c r="J203" s="60">
        <f t="shared" si="77"/>
        <v>44390</v>
      </c>
      <c r="K203" s="59">
        <f t="shared" ref="K203:K266" si="89">IF($D203=$C$3,K202+1,K202)</f>
        <v>29</v>
      </c>
      <c r="L203" s="59">
        <f t="shared" si="78"/>
        <v>29</v>
      </c>
      <c r="M203" s="59" t="str">
        <f t="shared" si="79"/>
        <v>Week_</v>
      </c>
      <c r="N203" s="59" t="str">
        <f t="shared" si="80"/>
        <v>Week_29</v>
      </c>
      <c r="O203" s="59">
        <f t="shared" ref="O203:O266" si="90">K203-K202</f>
        <v>0</v>
      </c>
      <c r="P203" s="59" t="str">
        <f t="shared" ref="P203:P266" si="91">IF(O203=1,"Start Week","")</f>
        <v/>
      </c>
      <c r="Q203" s="59" t="str">
        <f t="shared" si="81"/>
        <v/>
      </c>
      <c r="R203" s="59" t="str">
        <f t="shared" si="82"/>
        <v>July 2021</v>
      </c>
      <c r="S203" s="61">
        <f t="shared" si="83"/>
        <v>44390</v>
      </c>
      <c r="Z203" s="62">
        <f t="shared" si="84"/>
        <v>44390</v>
      </c>
      <c r="AA203" s="63" t="s">
        <v>253</v>
      </c>
    </row>
    <row r="204" spans="2:27" x14ac:dyDescent="0.2">
      <c r="B204" s="58">
        <f t="shared" si="85"/>
        <v>44391</v>
      </c>
      <c r="C204" s="59" t="str">
        <f t="shared" si="73"/>
        <v>14</v>
      </c>
      <c r="D204" s="59" t="str">
        <f t="shared" si="74"/>
        <v>Wednesday</v>
      </c>
      <c r="E204" s="59" t="str">
        <f t="shared" si="75"/>
        <v>July</v>
      </c>
      <c r="F204" s="59" t="str">
        <f t="shared" si="76"/>
        <v>2021</v>
      </c>
      <c r="G204" s="59" t="str">
        <f t="shared" si="86"/>
        <v>Week_29</v>
      </c>
      <c r="H204" s="59" t="str">
        <f t="shared" si="87"/>
        <v>July 2021</v>
      </c>
      <c r="I204" s="59" t="str">
        <f t="shared" si="88"/>
        <v>Week_29</v>
      </c>
      <c r="J204" s="60">
        <f t="shared" si="77"/>
        <v>44391</v>
      </c>
      <c r="K204" s="59">
        <f t="shared" si="89"/>
        <v>29</v>
      </c>
      <c r="L204" s="59">
        <f t="shared" si="78"/>
        <v>29</v>
      </c>
      <c r="M204" s="59" t="str">
        <f t="shared" si="79"/>
        <v>Week_</v>
      </c>
      <c r="N204" s="59" t="str">
        <f t="shared" si="80"/>
        <v>Week_29</v>
      </c>
      <c r="O204" s="59">
        <f t="shared" si="90"/>
        <v>0</v>
      </c>
      <c r="P204" s="59" t="str">
        <f t="shared" si="91"/>
        <v/>
      </c>
      <c r="Q204" s="59" t="str">
        <f t="shared" si="81"/>
        <v/>
      </c>
      <c r="R204" s="59" t="str">
        <f t="shared" si="82"/>
        <v>July 2021</v>
      </c>
      <c r="S204" s="61">
        <f t="shared" si="83"/>
        <v>44391</v>
      </c>
      <c r="Z204" s="62">
        <f t="shared" si="84"/>
        <v>44391</v>
      </c>
      <c r="AA204" s="63" t="s">
        <v>253</v>
      </c>
    </row>
    <row r="205" spans="2:27" x14ac:dyDescent="0.2">
      <c r="B205" s="58">
        <f t="shared" si="85"/>
        <v>44392</v>
      </c>
      <c r="C205" s="59" t="str">
        <f t="shared" si="73"/>
        <v>15</v>
      </c>
      <c r="D205" s="59" t="str">
        <f t="shared" si="74"/>
        <v>Thursday</v>
      </c>
      <c r="E205" s="59" t="str">
        <f t="shared" si="75"/>
        <v>July</v>
      </c>
      <c r="F205" s="59" t="str">
        <f t="shared" si="76"/>
        <v>2021</v>
      </c>
      <c r="G205" s="59" t="str">
        <f t="shared" si="86"/>
        <v>Week_29</v>
      </c>
      <c r="H205" s="59" t="str">
        <f t="shared" si="87"/>
        <v>July 2021</v>
      </c>
      <c r="I205" s="59" t="str">
        <f t="shared" si="88"/>
        <v>Week_29</v>
      </c>
      <c r="J205" s="60">
        <f t="shared" si="77"/>
        <v>44392</v>
      </c>
      <c r="K205" s="59">
        <f t="shared" si="89"/>
        <v>29</v>
      </c>
      <c r="L205" s="59">
        <f t="shared" si="78"/>
        <v>29</v>
      </c>
      <c r="M205" s="59" t="str">
        <f t="shared" si="79"/>
        <v>Week_</v>
      </c>
      <c r="N205" s="59" t="str">
        <f t="shared" si="80"/>
        <v>Week_29</v>
      </c>
      <c r="O205" s="59">
        <f t="shared" si="90"/>
        <v>0</v>
      </c>
      <c r="P205" s="59" t="str">
        <f t="shared" si="91"/>
        <v/>
      </c>
      <c r="Q205" s="59" t="str">
        <f t="shared" si="81"/>
        <v/>
      </c>
      <c r="R205" s="59" t="str">
        <f t="shared" si="82"/>
        <v>July 2021</v>
      </c>
      <c r="S205" s="61">
        <f t="shared" si="83"/>
        <v>44392</v>
      </c>
      <c r="Z205" s="62">
        <f t="shared" si="84"/>
        <v>44392</v>
      </c>
      <c r="AA205" s="63" t="s">
        <v>253</v>
      </c>
    </row>
    <row r="206" spans="2:27" x14ac:dyDescent="0.2">
      <c r="B206" s="58">
        <f t="shared" si="85"/>
        <v>44393</v>
      </c>
      <c r="C206" s="59" t="str">
        <f t="shared" si="73"/>
        <v>16</v>
      </c>
      <c r="D206" s="59" t="str">
        <f t="shared" si="74"/>
        <v>Friday</v>
      </c>
      <c r="E206" s="59" t="str">
        <f t="shared" si="75"/>
        <v>July</v>
      </c>
      <c r="F206" s="59" t="str">
        <f t="shared" si="76"/>
        <v>2021</v>
      </c>
      <c r="G206" s="59" t="str">
        <f t="shared" si="86"/>
        <v>Week_29</v>
      </c>
      <c r="H206" s="59" t="str">
        <f t="shared" si="87"/>
        <v>July 2021</v>
      </c>
      <c r="I206" s="59" t="str">
        <f t="shared" si="88"/>
        <v>Week_29</v>
      </c>
      <c r="J206" s="60">
        <f t="shared" si="77"/>
        <v>44393</v>
      </c>
      <c r="K206" s="59">
        <f t="shared" si="89"/>
        <v>29</v>
      </c>
      <c r="L206" s="59">
        <f t="shared" si="78"/>
        <v>29</v>
      </c>
      <c r="M206" s="59" t="str">
        <f t="shared" si="79"/>
        <v>Week_</v>
      </c>
      <c r="N206" s="59" t="str">
        <f t="shared" si="80"/>
        <v>Week_29</v>
      </c>
      <c r="O206" s="59">
        <f t="shared" si="90"/>
        <v>0</v>
      </c>
      <c r="P206" s="59" t="str">
        <f t="shared" si="91"/>
        <v/>
      </c>
      <c r="Q206" s="59" t="str">
        <f t="shared" si="81"/>
        <v/>
      </c>
      <c r="R206" s="59" t="str">
        <f t="shared" si="82"/>
        <v>July 2021</v>
      </c>
      <c r="S206" s="61">
        <f t="shared" si="83"/>
        <v>44393</v>
      </c>
      <c r="Z206" s="62">
        <f t="shared" si="84"/>
        <v>44393</v>
      </c>
      <c r="AA206" s="63" t="s">
        <v>253</v>
      </c>
    </row>
    <row r="207" spans="2:27" x14ac:dyDescent="0.2">
      <c r="B207" s="58">
        <f t="shared" si="85"/>
        <v>44394</v>
      </c>
      <c r="C207" s="59" t="str">
        <f t="shared" si="73"/>
        <v>17</v>
      </c>
      <c r="D207" s="59" t="str">
        <f t="shared" si="74"/>
        <v>Saturday</v>
      </c>
      <c r="E207" s="59" t="str">
        <f t="shared" si="75"/>
        <v>July</v>
      </c>
      <c r="F207" s="59" t="str">
        <f t="shared" si="76"/>
        <v>2021</v>
      </c>
      <c r="G207" s="59" t="str">
        <f t="shared" si="86"/>
        <v>Week_29</v>
      </c>
      <c r="H207" s="59" t="str">
        <f t="shared" si="87"/>
        <v>July 2021</v>
      </c>
      <c r="I207" s="59" t="str">
        <f t="shared" si="88"/>
        <v>Week_29</v>
      </c>
      <c r="J207" s="60">
        <f t="shared" si="77"/>
        <v>44394</v>
      </c>
      <c r="K207" s="59">
        <f t="shared" si="89"/>
        <v>29</v>
      </c>
      <c r="L207" s="59">
        <f t="shared" si="78"/>
        <v>29</v>
      </c>
      <c r="M207" s="59" t="str">
        <f t="shared" si="79"/>
        <v>Week_</v>
      </c>
      <c r="N207" s="59" t="str">
        <f t="shared" si="80"/>
        <v>Week_29</v>
      </c>
      <c r="O207" s="59">
        <f t="shared" si="90"/>
        <v>0</v>
      </c>
      <c r="P207" s="59" t="str">
        <f t="shared" si="91"/>
        <v/>
      </c>
      <c r="Q207" s="59" t="str">
        <f t="shared" si="81"/>
        <v/>
      </c>
      <c r="R207" s="59" t="str">
        <f t="shared" si="82"/>
        <v>July 2021</v>
      </c>
      <c r="S207" s="61">
        <f t="shared" si="83"/>
        <v>44394</v>
      </c>
      <c r="Z207" s="62">
        <f t="shared" si="84"/>
        <v>44394</v>
      </c>
      <c r="AA207" s="63" t="s">
        <v>253</v>
      </c>
    </row>
    <row r="208" spans="2:27" x14ac:dyDescent="0.2">
      <c r="B208" s="58">
        <f t="shared" si="85"/>
        <v>44395</v>
      </c>
      <c r="C208" s="59" t="str">
        <f t="shared" si="73"/>
        <v>18</v>
      </c>
      <c r="D208" s="59" t="str">
        <f t="shared" si="74"/>
        <v>Sunday</v>
      </c>
      <c r="E208" s="59" t="str">
        <f t="shared" si="75"/>
        <v>July</v>
      </c>
      <c r="F208" s="59" t="str">
        <f t="shared" si="76"/>
        <v>2021</v>
      </c>
      <c r="G208" s="59" t="str">
        <f t="shared" si="86"/>
        <v>Week_29</v>
      </c>
      <c r="H208" s="59" t="str">
        <f t="shared" si="87"/>
        <v>July 2021</v>
      </c>
      <c r="I208" s="59" t="str">
        <f t="shared" si="88"/>
        <v>Week_29</v>
      </c>
      <c r="J208" s="60">
        <f t="shared" si="77"/>
        <v>44395</v>
      </c>
      <c r="K208" s="59">
        <f t="shared" si="89"/>
        <v>29</v>
      </c>
      <c r="L208" s="59">
        <f t="shared" si="78"/>
        <v>29</v>
      </c>
      <c r="M208" s="59" t="str">
        <f t="shared" si="79"/>
        <v>Week_</v>
      </c>
      <c r="N208" s="59" t="str">
        <f t="shared" si="80"/>
        <v>Week_29</v>
      </c>
      <c r="O208" s="59">
        <f t="shared" si="90"/>
        <v>0</v>
      </c>
      <c r="P208" s="59" t="str">
        <f t="shared" si="91"/>
        <v/>
      </c>
      <c r="Q208" s="59" t="str">
        <f t="shared" si="81"/>
        <v/>
      </c>
      <c r="R208" s="59" t="str">
        <f t="shared" si="82"/>
        <v>July 2021</v>
      </c>
      <c r="S208" s="61">
        <f t="shared" si="83"/>
        <v>44395</v>
      </c>
      <c r="Z208" s="62">
        <f t="shared" si="84"/>
        <v>44395</v>
      </c>
      <c r="AA208" s="63" t="s">
        <v>253</v>
      </c>
    </row>
    <row r="209" spans="2:27" x14ac:dyDescent="0.2">
      <c r="B209" s="58">
        <f t="shared" si="85"/>
        <v>44396</v>
      </c>
      <c r="C209" s="59" t="str">
        <f t="shared" si="73"/>
        <v>19</v>
      </c>
      <c r="D209" s="59" t="str">
        <f t="shared" si="74"/>
        <v>Monday</v>
      </c>
      <c r="E209" s="59" t="str">
        <f t="shared" si="75"/>
        <v>July</v>
      </c>
      <c r="F209" s="59" t="str">
        <f t="shared" si="76"/>
        <v>2021</v>
      </c>
      <c r="G209" s="59" t="str">
        <f t="shared" si="86"/>
        <v>Week_30</v>
      </c>
      <c r="H209" s="59" t="str">
        <f t="shared" si="87"/>
        <v>July 2021</v>
      </c>
      <c r="I209" s="59" t="str">
        <f t="shared" si="88"/>
        <v>Start WeekWeek_30</v>
      </c>
      <c r="J209" s="60">
        <f t="shared" si="77"/>
        <v>44396</v>
      </c>
      <c r="K209" s="59">
        <f t="shared" si="89"/>
        <v>30</v>
      </c>
      <c r="L209" s="59">
        <f t="shared" si="78"/>
        <v>30</v>
      </c>
      <c r="M209" s="59" t="str">
        <f t="shared" si="79"/>
        <v>Week_</v>
      </c>
      <c r="N209" s="59" t="str">
        <f t="shared" si="80"/>
        <v>Week_30</v>
      </c>
      <c r="O209" s="59">
        <f t="shared" si="90"/>
        <v>1</v>
      </c>
      <c r="P209" s="59" t="str">
        <f t="shared" si="91"/>
        <v>Start Week</v>
      </c>
      <c r="Q209" s="59" t="str">
        <f t="shared" si="81"/>
        <v/>
      </c>
      <c r="R209" s="59" t="str">
        <f t="shared" si="82"/>
        <v>July 2021</v>
      </c>
      <c r="S209" s="61">
        <f t="shared" si="83"/>
        <v>44396</v>
      </c>
      <c r="Z209" s="62">
        <f t="shared" si="84"/>
        <v>44396</v>
      </c>
      <c r="AA209" s="63" t="s">
        <v>253</v>
      </c>
    </row>
    <row r="210" spans="2:27" x14ac:dyDescent="0.2">
      <c r="B210" s="58">
        <f t="shared" si="85"/>
        <v>44397</v>
      </c>
      <c r="C210" s="59" t="str">
        <f t="shared" si="73"/>
        <v>20</v>
      </c>
      <c r="D210" s="59" t="str">
        <f t="shared" si="74"/>
        <v>Tuesday</v>
      </c>
      <c r="E210" s="59" t="str">
        <f t="shared" si="75"/>
        <v>July</v>
      </c>
      <c r="F210" s="59" t="str">
        <f t="shared" si="76"/>
        <v>2021</v>
      </c>
      <c r="G210" s="59" t="str">
        <f t="shared" si="86"/>
        <v>Week_30</v>
      </c>
      <c r="H210" s="59" t="str">
        <f t="shared" si="87"/>
        <v>July 2021</v>
      </c>
      <c r="I210" s="59" t="str">
        <f t="shared" si="88"/>
        <v>Week_30</v>
      </c>
      <c r="J210" s="60">
        <f t="shared" si="77"/>
        <v>44397</v>
      </c>
      <c r="K210" s="59">
        <f t="shared" si="89"/>
        <v>30</v>
      </c>
      <c r="L210" s="59">
        <f t="shared" si="78"/>
        <v>30</v>
      </c>
      <c r="M210" s="59" t="str">
        <f t="shared" si="79"/>
        <v>Week_</v>
      </c>
      <c r="N210" s="59" t="str">
        <f t="shared" si="80"/>
        <v>Week_30</v>
      </c>
      <c r="O210" s="59">
        <f t="shared" si="90"/>
        <v>0</v>
      </c>
      <c r="P210" s="59" t="str">
        <f t="shared" si="91"/>
        <v/>
      </c>
      <c r="Q210" s="59" t="str">
        <f t="shared" si="81"/>
        <v/>
      </c>
      <c r="R210" s="59" t="str">
        <f t="shared" si="82"/>
        <v>July 2021</v>
      </c>
      <c r="S210" s="61">
        <f t="shared" si="83"/>
        <v>44397</v>
      </c>
      <c r="Z210" s="62">
        <f t="shared" si="84"/>
        <v>44397</v>
      </c>
      <c r="AA210" s="63" t="s">
        <v>253</v>
      </c>
    </row>
    <row r="211" spans="2:27" x14ac:dyDescent="0.2">
      <c r="B211" s="58">
        <f t="shared" si="85"/>
        <v>44398</v>
      </c>
      <c r="C211" s="59" t="str">
        <f t="shared" si="73"/>
        <v>21</v>
      </c>
      <c r="D211" s="59" t="str">
        <f t="shared" si="74"/>
        <v>Wednesday</v>
      </c>
      <c r="E211" s="59" t="str">
        <f t="shared" si="75"/>
        <v>July</v>
      </c>
      <c r="F211" s="59" t="str">
        <f t="shared" si="76"/>
        <v>2021</v>
      </c>
      <c r="G211" s="59" t="str">
        <f t="shared" si="86"/>
        <v>Week_30</v>
      </c>
      <c r="H211" s="59" t="str">
        <f t="shared" si="87"/>
        <v>July 2021</v>
      </c>
      <c r="I211" s="59" t="str">
        <f t="shared" si="88"/>
        <v>Week_30</v>
      </c>
      <c r="J211" s="60">
        <f t="shared" si="77"/>
        <v>44398</v>
      </c>
      <c r="K211" s="59">
        <f t="shared" si="89"/>
        <v>30</v>
      </c>
      <c r="L211" s="59">
        <f t="shared" si="78"/>
        <v>30</v>
      </c>
      <c r="M211" s="59" t="str">
        <f t="shared" si="79"/>
        <v>Week_</v>
      </c>
      <c r="N211" s="59" t="str">
        <f t="shared" si="80"/>
        <v>Week_30</v>
      </c>
      <c r="O211" s="59">
        <f t="shared" si="90"/>
        <v>0</v>
      </c>
      <c r="P211" s="59" t="str">
        <f t="shared" si="91"/>
        <v/>
      </c>
      <c r="Q211" s="59" t="str">
        <f t="shared" si="81"/>
        <v/>
      </c>
      <c r="R211" s="59" t="str">
        <f t="shared" si="82"/>
        <v>July 2021</v>
      </c>
      <c r="S211" s="61">
        <f t="shared" si="83"/>
        <v>44398</v>
      </c>
      <c r="Z211" s="62">
        <f t="shared" si="84"/>
        <v>44398</v>
      </c>
      <c r="AA211" s="63" t="s">
        <v>253</v>
      </c>
    </row>
    <row r="212" spans="2:27" x14ac:dyDescent="0.2">
      <c r="B212" s="58">
        <f t="shared" si="85"/>
        <v>44399</v>
      </c>
      <c r="C212" s="59" t="str">
        <f t="shared" si="73"/>
        <v>22</v>
      </c>
      <c r="D212" s="59" t="str">
        <f t="shared" si="74"/>
        <v>Thursday</v>
      </c>
      <c r="E212" s="59" t="str">
        <f t="shared" si="75"/>
        <v>July</v>
      </c>
      <c r="F212" s="59" t="str">
        <f t="shared" si="76"/>
        <v>2021</v>
      </c>
      <c r="G212" s="59" t="str">
        <f t="shared" si="86"/>
        <v>Week_30</v>
      </c>
      <c r="H212" s="59" t="str">
        <f t="shared" si="87"/>
        <v>July 2021</v>
      </c>
      <c r="I212" s="59" t="str">
        <f t="shared" si="88"/>
        <v>Week_30</v>
      </c>
      <c r="J212" s="60">
        <f t="shared" si="77"/>
        <v>44399</v>
      </c>
      <c r="K212" s="59">
        <f t="shared" si="89"/>
        <v>30</v>
      </c>
      <c r="L212" s="59">
        <f t="shared" si="78"/>
        <v>30</v>
      </c>
      <c r="M212" s="59" t="str">
        <f t="shared" si="79"/>
        <v>Week_</v>
      </c>
      <c r="N212" s="59" t="str">
        <f t="shared" si="80"/>
        <v>Week_30</v>
      </c>
      <c r="O212" s="59">
        <f t="shared" si="90"/>
        <v>0</v>
      </c>
      <c r="P212" s="59" t="str">
        <f t="shared" si="91"/>
        <v/>
      </c>
      <c r="Q212" s="59" t="str">
        <f t="shared" si="81"/>
        <v/>
      </c>
      <c r="R212" s="59" t="str">
        <f t="shared" si="82"/>
        <v>July 2021</v>
      </c>
      <c r="S212" s="61">
        <f t="shared" si="83"/>
        <v>44399</v>
      </c>
      <c r="Z212" s="62">
        <f t="shared" si="84"/>
        <v>44399</v>
      </c>
      <c r="AA212" s="63" t="s">
        <v>253</v>
      </c>
    </row>
    <row r="213" spans="2:27" x14ac:dyDescent="0.2">
      <c r="B213" s="58">
        <f t="shared" si="85"/>
        <v>44400</v>
      </c>
      <c r="C213" s="59" t="str">
        <f t="shared" si="73"/>
        <v>23</v>
      </c>
      <c r="D213" s="59" t="str">
        <f t="shared" si="74"/>
        <v>Friday</v>
      </c>
      <c r="E213" s="59" t="str">
        <f t="shared" si="75"/>
        <v>July</v>
      </c>
      <c r="F213" s="59" t="str">
        <f t="shared" si="76"/>
        <v>2021</v>
      </c>
      <c r="G213" s="59" t="str">
        <f t="shared" si="86"/>
        <v>Week_30</v>
      </c>
      <c r="H213" s="59" t="str">
        <f t="shared" si="87"/>
        <v>July 2021</v>
      </c>
      <c r="I213" s="59" t="str">
        <f t="shared" si="88"/>
        <v>Week_30</v>
      </c>
      <c r="J213" s="60">
        <f t="shared" si="77"/>
        <v>44400</v>
      </c>
      <c r="K213" s="59">
        <f t="shared" si="89"/>
        <v>30</v>
      </c>
      <c r="L213" s="59">
        <f t="shared" si="78"/>
        <v>30</v>
      </c>
      <c r="M213" s="59" t="str">
        <f t="shared" si="79"/>
        <v>Week_</v>
      </c>
      <c r="N213" s="59" t="str">
        <f t="shared" si="80"/>
        <v>Week_30</v>
      </c>
      <c r="O213" s="59">
        <f t="shared" si="90"/>
        <v>0</v>
      </c>
      <c r="P213" s="59" t="str">
        <f t="shared" si="91"/>
        <v/>
      </c>
      <c r="Q213" s="59" t="str">
        <f t="shared" si="81"/>
        <v/>
      </c>
      <c r="R213" s="59" t="str">
        <f t="shared" si="82"/>
        <v>July 2021</v>
      </c>
      <c r="S213" s="61">
        <f t="shared" si="83"/>
        <v>44400</v>
      </c>
      <c r="Z213" s="62">
        <f t="shared" si="84"/>
        <v>44400</v>
      </c>
      <c r="AA213" s="63" t="s">
        <v>253</v>
      </c>
    </row>
    <row r="214" spans="2:27" x14ac:dyDescent="0.2">
      <c r="B214" s="58">
        <f t="shared" si="85"/>
        <v>44401</v>
      </c>
      <c r="C214" s="59" t="str">
        <f t="shared" si="73"/>
        <v>24</v>
      </c>
      <c r="D214" s="59" t="str">
        <f t="shared" si="74"/>
        <v>Saturday</v>
      </c>
      <c r="E214" s="59" t="str">
        <f t="shared" si="75"/>
        <v>July</v>
      </c>
      <c r="F214" s="59" t="str">
        <f t="shared" si="76"/>
        <v>2021</v>
      </c>
      <c r="G214" s="59" t="str">
        <f t="shared" si="86"/>
        <v>Week_30</v>
      </c>
      <c r="H214" s="59" t="str">
        <f t="shared" si="87"/>
        <v>July 2021</v>
      </c>
      <c r="I214" s="59" t="str">
        <f t="shared" si="88"/>
        <v>Week_30</v>
      </c>
      <c r="J214" s="60">
        <f t="shared" si="77"/>
        <v>44401</v>
      </c>
      <c r="K214" s="59">
        <f t="shared" si="89"/>
        <v>30</v>
      </c>
      <c r="L214" s="59">
        <f t="shared" si="78"/>
        <v>30</v>
      </c>
      <c r="M214" s="59" t="str">
        <f t="shared" si="79"/>
        <v>Week_</v>
      </c>
      <c r="N214" s="59" t="str">
        <f t="shared" si="80"/>
        <v>Week_30</v>
      </c>
      <c r="O214" s="59">
        <f t="shared" si="90"/>
        <v>0</v>
      </c>
      <c r="P214" s="59" t="str">
        <f t="shared" si="91"/>
        <v/>
      </c>
      <c r="Q214" s="59" t="str">
        <f t="shared" si="81"/>
        <v/>
      </c>
      <c r="R214" s="59" t="str">
        <f t="shared" si="82"/>
        <v>July 2021</v>
      </c>
      <c r="S214" s="61">
        <f t="shared" si="83"/>
        <v>44401</v>
      </c>
      <c r="Z214" s="62">
        <f t="shared" si="84"/>
        <v>44401</v>
      </c>
      <c r="AA214" s="63" t="s">
        <v>253</v>
      </c>
    </row>
    <row r="215" spans="2:27" x14ac:dyDescent="0.2">
      <c r="B215" s="58">
        <f t="shared" si="85"/>
        <v>44402</v>
      </c>
      <c r="C215" s="59" t="str">
        <f t="shared" si="73"/>
        <v>25</v>
      </c>
      <c r="D215" s="59" t="str">
        <f t="shared" si="74"/>
        <v>Sunday</v>
      </c>
      <c r="E215" s="59" t="str">
        <f t="shared" si="75"/>
        <v>July</v>
      </c>
      <c r="F215" s="59" t="str">
        <f t="shared" si="76"/>
        <v>2021</v>
      </c>
      <c r="G215" s="59" t="str">
        <f t="shared" si="86"/>
        <v>Week_30</v>
      </c>
      <c r="H215" s="59" t="str">
        <f t="shared" si="87"/>
        <v>July 2021</v>
      </c>
      <c r="I215" s="59" t="str">
        <f t="shared" si="88"/>
        <v>Week_30</v>
      </c>
      <c r="J215" s="60">
        <f t="shared" si="77"/>
        <v>44402</v>
      </c>
      <c r="K215" s="59">
        <f t="shared" si="89"/>
        <v>30</v>
      </c>
      <c r="L215" s="59">
        <f t="shared" si="78"/>
        <v>30</v>
      </c>
      <c r="M215" s="59" t="str">
        <f t="shared" si="79"/>
        <v>Week_</v>
      </c>
      <c r="N215" s="59" t="str">
        <f t="shared" si="80"/>
        <v>Week_30</v>
      </c>
      <c r="O215" s="59">
        <f t="shared" si="90"/>
        <v>0</v>
      </c>
      <c r="P215" s="59" t="str">
        <f t="shared" si="91"/>
        <v/>
      </c>
      <c r="Q215" s="59" t="str">
        <f t="shared" si="81"/>
        <v/>
      </c>
      <c r="R215" s="59" t="str">
        <f t="shared" si="82"/>
        <v>July 2021</v>
      </c>
      <c r="S215" s="61">
        <f t="shared" si="83"/>
        <v>44402</v>
      </c>
      <c r="Z215" s="62">
        <f t="shared" si="84"/>
        <v>44402</v>
      </c>
      <c r="AA215" s="63" t="s">
        <v>253</v>
      </c>
    </row>
    <row r="216" spans="2:27" x14ac:dyDescent="0.2">
      <c r="B216" s="58">
        <f t="shared" si="85"/>
        <v>44403</v>
      </c>
      <c r="C216" s="59" t="str">
        <f t="shared" si="73"/>
        <v>26</v>
      </c>
      <c r="D216" s="59" t="str">
        <f t="shared" si="74"/>
        <v>Monday</v>
      </c>
      <c r="E216" s="59" t="str">
        <f t="shared" si="75"/>
        <v>July</v>
      </c>
      <c r="F216" s="59" t="str">
        <f t="shared" si="76"/>
        <v>2021</v>
      </c>
      <c r="G216" s="59" t="str">
        <f t="shared" si="86"/>
        <v>Week_31</v>
      </c>
      <c r="H216" s="59" t="str">
        <f t="shared" si="87"/>
        <v>July 2021</v>
      </c>
      <c r="I216" s="59" t="str">
        <f t="shared" si="88"/>
        <v>Start WeekWeek_31</v>
      </c>
      <c r="J216" s="60">
        <f t="shared" si="77"/>
        <v>44403</v>
      </c>
      <c r="K216" s="59">
        <f t="shared" si="89"/>
        <v>31</v>
      </c>
      <c r="L216" s="59">
        <f t="shared" si="78"/>
        <v>31</v>
      </c>
      <c r="M216" s="59" t="str">
        <f t="shared" si="79"/>
        <v>Week_</v>
      </c>
      <c r="N216" s="59" t="str">
        <f t="shared" si="80"/>
        <v>Week_31</v>
      </c>
      <c r="O216" s="59">
        <f t="shared" si="90"/>
        <v>1</v>
      </c>
      <c r="P216" s="59" t="str">
        <f t="shared" si="91"/>
        <v>Start Week</v>
      </c>
      <c r="Q216" s="59" t="str">
        <f t="shared" si="81"/>
        <v/>
      </c>
      <c r="R216" s="59" t="str">
        <f t="shared" si="82"/>
        <v>July 2021</v>
      </c>
      <c r="S216" s="61">
        <f t="shared" si="83"/>
        <v>44403</v>
      </c>
      <c r="Z216" s="62">
        <f t="shared" si="84"/>
        <v>44403</v>
      </c>
      <c r="AA216" s="63" t="s">
        <v>253</v>
      </c>
    </row>
    <row r="217" spans="2:27" x14ac:dyDescent="0.2">
      <c r="B217" s="58">
        <f t="shared" si="85"/>
        <v>44404</v>
      </c>
      <c r="C217" s="59" t="str">
        <f t="shared" si="73"/>
        <v>27</v>
      </c>
      <c r="D217" s="59" t="str">
        <f t="shared" si="74"/>
        <v>Tuesday</v>
      </c>
      <c r="E217" s="59" t="str">
        <f t="shared" si="75"/>
        <v>July</v>
      </c>
      <c r="F217" s="59" t="str">
        <f t="shared" si="76"/>
        <v>2021</v>
      </c>
      <c r="G217" s="59" t="str">
        <f t="shared" si="86"/>
        <v>Week_31</v>
      </c>
      <c r="H217" s="59" t="str">
        <f t="shared" si="87"/>
        <v>July 2021</v>
      </c>
      <c r="I217" s="59" t="str">
        <f t="shared" si="88"/>
        <v>Week_31</v>
      </c>
      <c r="J217" s="60">
        <f t="shared" si="77"/>
        <v>44404</v>
      </c>
      <c r="K217" s="59">
        <f t="shared" si="89"/>
        <v>31</v>
      </c>
      <c r="L217" s="59">
        <f t="shared" si="78"/>
        <v>31</v>
      </c>
      <c r="M217" s="59" t="str">
        <f t="shared" si="79"/>
        <v>Week_</v>
      </c>
      <c r="N217" s="59" t="str">
        <f t="shared" si="80"/>
        <v>Week_31</v>
      </c>
      <c r="O217" s="59">
        <f t="shared" si="90"/>
        <v>0</v>
      </c>
      <c r="P217" s="59" t="str">
        <f t="shared" si="91"/>
        <v/>
      </c>
      <c r="Q217" s="59" t="str">
        <f t="shared" si="81"/>
        <v/>
      </c>
      <c r="R217" s="59" t="str">
        <f t="shared" si="82"/>
        <v>July 2021</v>
      </c>
      <c r="S217" s="61">
        <f t="shared" si="83"/>
        <v>44404</v>
      </c>
      <c r="Z217" s="62">
        <f t="shared" si="84"/>
        <v>44404</v>
      </c>
      <c r="AA217" s="63" t="s">
        <v>253</v>
      </c>
    </row>
    <row r="218" spans="2:27" x14ac:dyDescent="0.2">
      <c r="B218" s="58">
        <f t="shared" si="85"/>
        <v>44405</v>
      </c>
      <c r="C218" s="59" t="str">
        <f t="shared" si="73"/>
        <v>28</v>
      </c>
      <c r="D218" s="59" t="str">
        <f t="shared" si="74"/>
        <v>Wednesday</v>
      </c>
      <c r="E218" s="59" t="str">
        <f t="shared" si="75"/>
        <v>July</v>
      </c>
      <c r="F218" s="59" t="str">
        <f t="shared" si="76"/>
        <v>2021</v>
      </c>
      <c r="G218" s="59" t="str">
        <f t="shared" si="86"/>
        <v>Week_31</v>
      </c>
      <c r="H218" s="59" t="str">
        <f t="shared" si="87"/>
        <v>July 2021</v>
      </c>
      <c r="I218" s="59" t="str">
        <f t="shared" si="88"/>
        <v>Week_31</v>
      </c>
      <c r="J218" s="60">
        <f t="shared" si="77"/>
        <v>44405</v>
      </c>
      <c r="K218" s="59">
        <f t="shared" si="89"/>
        <v>31</v>
      </c>
      <c r="L218" s="59">
        <f t="shared" si="78"/>
        <v>31</v>
      </c>
      <c r="M218" s="59" t="str">
        <f t="shared" si="79"/>
        <v>Week_</v>
      </c>
      <c r="N218" s="59" t="str">
        <f t="shared" si="80"/>
        <v>Week_31</v>
      </c>
      <c r="O218" s="59">
        <f t="shared" si="90"/>
        <v>0</v>
      </c>
      <c r="P218" s="59" t="str">
        <f t="shared" si="91"/>
        <v/>
      </c>
      <c r="Q218" s="59" t="str">
        <f t="shared" si="81"/>
        <v/>
      </c>
      <c r="R218" s="59" t="str">
        <f t="shared" si="82"/>
        <v>July 2021</v>
      </c>
      <c r="S218" s="61">
        <f t="shared" si="83"/>
        <v>44405</v>
      </c>
      <c r="Z218" s="62">
        <f t="shared" si="84"/>
        <v>44405</v>
      </c>
      <c r="AA218" s="63" t="s">
        <v>253</v>
      </c>
    </row>
    <row r="219" spans="2:27" x14ac:dyDescent="0.2">
      <c r="B219" s="58">
        <f t="shared" si="85"/>
        <v>44406</v>
      </c>
      <c r="C219" s="59" t="str">
        <f t="shared" si="73"/>
        <v>29</v>
      </c>
      <c r="D219" s="59" t="str">
        <f t="shared" si="74"/>
        <v>Thursday</v>
      </c>
      <c r="E219" s="59" t="str">
        <f t="shared" si="75"/>
        <v>July</v>
      </c>
      <c r="F219" s="59" t="str">
        <f t="shared" si="76"/>
        <v>2021</v>
      </c>
      <c r="G219" s="59" t="str">
        <f t="shared" si="86"/>
        <v>Week_31</v>
      </c>
      <c r="H219" s="59" t="str">
        <f t="shared" si="87"/>
        <v>July 2021</v>
      </c>
      <c r="I219" s="59" t="str">
        <f t="shared" si="88"/>
        <v>Week_31</v>
      </c>
      <c r="J219" s="60">
        <f t="shared" si="77"/>
        <v>44406</v>
      </c>
      <c r="K219" s="59">
        <f t="shared" si="89"/>
        <v>31</v>
      </c>
      <c r="L219" s="59">
        <f t="shared" si="78"/>
        <v>31</v>
      </c>
      <c r="M219" s="59" t="str">
        <f t="shared" si="79"/>
        <v>Week_</v>
      </c>
      <c r="N219" s="59" t="str">
        <f t="shared" si="80"/>
        <v>Week_31</v>
      </c>
      <c r="O219" s="59">
        <f t="shared" si="90"/>
        <v>0</v>
      </c>
      <c r="P219" s="59" t="str">
        <f t="shared" si="91"/>
        <v/>
      </c>
      <c r="Q219" s="59" t="str">
        <f t="shared" si="81"/>
        <v/>
      </c>
      <c r="R219" s="59" t="str">
        <f t="shared" si="82"/>
        <v>July 2021</v>
      </c>
      <c r="S219" s="61">
        <f t="shared" si="83"/>
        <v>44406</v>
      </c>
      <c r="Z219" s="62">
        <f t="shared" si="84"/>
        <v>44406</v>
      </c>
      <c r="AA219" s="63" t="s">
        <v>253</v>
      </c>
    </row>
    <row r="220" spans="2:27" x14ac:dyDescent="0.2">
      <c r="B220" s="58">
        <f t="shared" si="85"/>
        <v>44407</v>
      </c>
      <c r="C220" s="59" t="str">
        <f t="shared" si="73"/>
        <v>30</v>
      </c>
      <c r="D220" s="59" t="str">
        <f t="shared" si="74"/>
        <v>Friday</v>
      </c>
      <c r="E220" s="59" t="str">
        <f t="shared" si="75"/>
        <v>July</v>
      </c>
      <c r="F220" s="59" t="str">
        <f t="shared" si="76"/>
        <v>2021</v>
      </c>
      <c r="G220" s="59" t="str">
        <f t="shared" si="86"/>
        <v>Week_31</v>
      </c>
      <c r="H220" s="59" t="str">
        <f t="shared" si="87"/>
        <v>July 2021</v>
      </c>
      <c r="I220" s="59" t="str">
        <f t="shared" si="88"/>
        <v>Week_31</v>
      </c>
      <c r="J220" s="60">
        <f t="shared" si="77"/>
        <v>44407</v>
      </c>
      <c r="K220" s="59">
        <f t="shared" si="89"/>
        <v>31</v>
      </c>
      <c r="L220" s="59">
        <f t="shared" si="78"/>
        <v>31</v>
      </c>
      <c r="M220" s="59" t="str">
        <f t="shared" si="79"/>
        <v>Week_</v>
      </c>
      <c r="N220" s="59" t="str">
        <f t="shared" si="80"/>
        <v>Week_31</v>
      </c>
      <c r="O220" s="59">
        <f t="shared" si="90"/>
        <v>0</v>
      </c>
      <c r="P220" s="59" t="str">
        <f t="shared" si="91"/>
        <v/>
      </c>
      <c r="Q220" s="59" t="str">
        <f t="shared" si="81"/>
        <v/>
      </c>
      <c r="R220" s="59" t="str">
        <f t="shared" si="82"/>
        <v>July 2021</v>
      </c>
      <c r="S220" s="61">
        <f t="shared" si="83"/>
        <v>44407</v>
      </c>
      <c r="Z220" s="62">
        <f t="shared" si="84"/>
        <v>44407</v>
      </c>
      <c r="AA220" s="63" t="s">
        <v>253</v>
      </c>
    </row>
    <row r="221" spans="2:27" x14ac:dyDescent="0.2">
      <c r="B221" s="58">
        <f t="shared" si="85"/>
        <v>44408</v>
      </c>
      <c r="C221" s="59" t="str">
        <f t="shared" si="73"/>
        <v>31</v>
      </c>
      <c r="D221" s="59" t="str">
        <f t="shared" si="74"/>
        <v>Saturday</v>
      </c>
      <c r="E221" s="59" t="str">
        <f t="shared" si="75"/>
        <v>July</v>
      </c>
      <c r="F221" s="59" t="str">
        <f t="shared" si="76"/>
        <v>2021</v>
      </c>
      <c r="G221" s="59" t="str">
        <f t="shared" si="86"/>
        <v>Week_31</v>
      </c>
      <c r="H221" s="59" t="str">
        <f t="shared" si="87"/>
        <v>July 2021</v>
      </c>
      <c r="I221" s="59" t="str">
        <f t="shared" si="88"/>
        <v>Week_31</v>
      </c>
      <c r="J221" s="60">
        <f t="shared" si="77"/>
        <v>44408</v>
      </c>
      <c r="K221" s="59">
        <f t="shared" si="89"/>
        <v>31</v>
      </c>
      <c r="L221" s="59">
        <f t="shared" si="78"/>
        <v>31</v>
      </c>
      <c r="M221" s="59" t="str">
        <f t="shared" si="79"/>
        <v>Week_</v>
      </c>
      <c r="N221" s="59" t="str">
        <f t="shared" si="80"/>
        <v>Week_31</v>
      </c>
      <c r="O221" s="59">
        <f t="shared" si="90"/>
        <v>0</v>
      </c>
      <c r="P221" s="59" t="str">
        <f t="shared" si="91"/>
        <v/>
      </c>
      <c r="Q221" s="59" t="str">
        <f t="shared" si="81"/>
        <v/>
      </c>
      <c r="R221" s="59" t="str">
        <f t="shared" si="82"/>
        <v>July 2021</v>
      </c>
      <c r="S221" s="61">
        <f t="shared" si="83"/>
        <v>44408</v>
      </c>
      <c r="Z221" s="62">
        <f t="shared" si="84"/>
        <v>44408</v>
      </c>
      <c r="AA221" s="63" t="s">
        <v>253</v>
      </c>
    </row>
    <row r="222" spans="2:27" x14ac:dyDescent="0.2">
      <c r="B222" s="58">
        <f t="shared" si="85"/>
        <v>44409</v>
      </c>
      <c r="C222" s="59" t="str">
        <f t="shared" si="73"/>
        <v>01</v>
      </c>
      <c r="D222" s="59" t="str">
        <f t="shared" si="74"/>
        <v>Sunday</v>
      </c>
      <c r="E222" s="59" t="str">
        <f t="shared" si="75"/>
        <v>August</v>
      </c>
      <c r="F222" s="59" t="str">
        <f t="shared" si="76"/>
        <v>2021</v>
      </c>
      <c r="G222" s="59" t="str">
        <f t="shared" si="86"/>
        <v>Week_31</v>
      </c>
      <c r="H222" s="59" t="str">
        <f t="shared" si="87"/>
        <v>August 2021</v>
      </c>
      <c r="I222" s="59" t="str">
        <f t="shared" si="88"/>
        <v>Week_31</v>
      </c>
      <c r="J222" s="60">
        <f t="shared" si="77"/>
        <v>44409</v>
      </c>
      <c r="K222" s="59">
        <f t="shared" si="89"/>
        <v>31</v>
      </c>
      <c r="L222" s="59">
        <f t="shared" si="78"/>
        <v>31</v>
      </c>
      <c r="M222" s="59" t="str">
        <f t="shared" si="79"/>
        <v>Week_</v>
      </c>
      <c r="N222" s="59" t="str">
        <f t="shared" si="80"/>
        <v>Week_31</v>
      </c>
      <c r="O222" s="59">
        <f t="shared" si="90"/>
        <v>0</v>
      </c>
      <c r="P222" s="59" t="str">
        <f t="shared" si="91"/>
        <v/>
      </c>
      <c r="Q222" s="59" t="str">
        <f t="shared" si="81"/>
        <v>Start Month</v>
      </c>
      <c r="R222" s="59" t="str">
        <f t="shared" si="82"/>
        <v>Start MonthAugust 2021</v>
      </c>
      <c r="S222" s="61">
        <f t="shared" si="83"/>
        <v>44409</v>
      </c>
      <c r="Z222" s="62">
        <f t="shared" si="84"/>
        <v>44409</v>
      </c>
      <c r="AA222" s="63" t="s">
        <v>253</v>
      </c>
    </row>
    <row r="223" spans="2:27" x14ac:dyDescent="0.2">
      <c r="B223" s="58">
        <f t="shared" si="85"/>
        <v>44410</v>
      </c>
      <c r="C223" s="59" t="str">
        <f t="shared" si="73"/>
        <v>02</v>
      </c>
      <c r="D223" s="59" t="str">
        <f t="shared" si="74"/>
        <v>Monday</v>
      </c>
      <c r="E223" s="59" t="str">
        <f t="shared" si="75"/>
        <v>August</v>
      </c>
      <c r="F223" s="59" t="str">
        <f t="shared" si="76"/>
        <v>2021</v>
      </c>
      <c r="G223" s="59" t="str">
        <f t="shared" si="86"/>
        <v>Week_32</v>
      </c>
      <c r="H223" s="59" t="str">
        <f t="shared" si="87"/>
        <v>August 2021</v>
      </c>
      <c r="I223" s="59" t="str">
        <f t="shared" si="88"/>
        <v>Start WeekWeek_32</v>
      </c>
      <c r="J223" s="60">
        <f t="shared" si="77"/>
        <v>44410</v>
      </c>
      <c r="K223" s="59">
        <f t="shared" si="89"/>
        <v>32</v>
      </c>
      <c r="L223" s="59">
        <f t="shared" si="78"/>
        <v>32</v>
      </c>
      <c r="M223" s="59" t="str">
        <f t="shared" si="79"/>
        <v>Week_</v>
      </c>
      <c r="N223" s="59" t="str">
        <f t="shared" si="80"/>
        <v>Week_32</v>
      </c>
      <c r="O223" s="59">
        <f t="shared" si="90"/>
        <v>1</v>
      </c>
      <c r="P223" s="59" t="str">
        <f t="shared" si="91"/>
        <v>Start Week</v>
      </c>
      <c r="Q223" s="59" t="str">
        <f t="shared" si="81"/>
        <v/>
      </c>
      <c r="R223" s="59" t="str">
        <f t="shared" si="82"/>
        <v>August 2021</v>
      </c>
      <c r="S223" s="61">
        <f t="shared" si="83"/>
        <v>44410</v>
      </c>
      <c r="Z223" s="62">
        <f t="shared" si="84"/>
        <v>44410</v>
      </c>
      <c r="AA223" s="63" t="s">
        <v>253</v>
      </c>
    </row>
    <row r="224" spans="2:27" x14ac:dyDescent="0.2">
      <c r="B224" s="58">
        <f t="shared" si="85"/>
        <v>44411</v>
      </c>
      <c r="C224" s="59" t="str">
        <f t="shared" si="73"/>
        <v>03</v>
      </c>
      <c r="D224" s="59" t="str">
        <f t="shared" si="74"/>
        <v>Tuesday</v>
      </c>
      <c r="E224" s="59" t="str">
        <f t="shared" si="75"/>
        <v>August</v>
      </c>
      <c r="F224" s="59" t="str">
        <f t="shared" si="76"/>
        <v>2021</v>
      </c>
      <c r="G224" s="59" t="str">
        <f t="shared" si="86"/>
        <v>Week_32</v>
      </c>
      <c r="H224" s="59" t="str">
        <f t="shared" si="87"/>
        <v>August 2021</v>
      </c>
      <c r="I224" s="59" t="str">
        <f t="shared" si="88"/>
        <v>Week_32</v>
      </c>
      <c r="J224" s="60">
        <f t="shared" si="77"/>
        <v>44411</v>
      </c>
      <c r="K224" s="59">
        <f t="shared" si="89"/>
        <v>32</v>
      </c>
      <c r="L224" s="59">
        <f t="shared" si="78"/>
        <v>32</v>
      </c>
      <c r="M224" s="59" t="str">
        <f t="shared" si="79"/>
        <v>Week_</v>
      </c>
      <c r="N224" s="59" t="str">
        <f t="shared" si="80"/>
        <v>Week_32</v>
      </c>
      <c r="O224" s="59">
        <f t="shared" si="90"/>
        <v>0</v>
      </c>
      <c r="P224" s="59" t="str">
        <f t="shared" si="91"/>
        <v/>
      </c>
      <c r="Q224" s="59" t="str">
        <f t="shared" si="81"/>
        <v/>
      </c>
      <c r="R224" s="59" t="str">
        <f t="shared" si="82"/>
        <v>August 2021</v>
      </c>
      <c r="S224" s="61">
        <f t="shared" si="83"/>
        <v>44411</v>
      </c>
      <c r="Z224" s="62">
        <f t="shared" si="84"/>
        <v>44411</v>
      </c>
      <c r="AA224" s="63" t="s">
        <v>253</v>
      </c>
    </row>
    <row r="225" spans="2:27" x14ac:dyDescent="0.2">
      <c r="B225" s="58">
        <f t="shared" si="85"/>
        <v>44412</v>
      </c>
      <c r="C225" s="59" t="str">
        <f t="shared" si="73"/>
        <v>04</v>
      </c>
      <c r="D225" s="59" t="str">
        <f t="shared" si="74"/>
        <v>Wednesday</v>
      </c>
      <c r="E225" s="59" t="str">
        <f t="shared" si="75"/>
        <v>August</v>
      </c>
      <c r="F225" s="59" t="str">
        <f t="shared" si="76"/>
        <v>2021</v>
      </c>
      <c r="G225" s="59" t="str">
        <f t="shared" si="86"/>
        <v>Week_32</v>
      </c>
      <c r="H225" s="59" t="str">
        <f t="shared" si="87"/>
        <v>August 2021</v>
      </c>
      <c r="I225" s="59" t="str">
        <f t="shared" si="88"/>
        <v>Week_32</v>
      </c>
      <c r="J225" s="60">
        <f t="shared" si="77"/>
        <v>44412</v>
      </c>
      <c r="K225" s="59">
        <f t="shared" si="89"/>
        <v>32</v>
      </c>
      <c r="L225" s="59">
        <f t="shared" si="78"/>
        <v>32</v>
      </c>
      <c r="M225" s="59" t="str">
        <f t="shared" si="79"/>
        <v>Week_</v>
      </c>
      <c r="N225" s="59" t="str">
        <f t="shared" si="80"/>
        <v>Week_32</v>
      </c>
      <c r="O225" s="59">
        <f t="shared" si="90"/>
        <v>0</v>
      </c>
      <c r="P225" s="59" t="str">
        <f t="shared" si="91"/>
        <v/>
      </c>
      <c r="Q225" s="59" t="str">
        <f t="shared" si="81"/>
        <v/>
      </c>
      <c r="R225" s="59" t="str">
        <f t="shared" si="82"/>
        <v>August 2021</v>
      </c>
      <c r="S225" s="61">
        <f t="shared" si="83"/>
        <v>44412</v>
      </c>
      <c r="Z225" s="62">
        <f t="shared" si="84"/>
        <v>44412</v>
      </c>
      <c r="AA225" s="63" t="s">
        <v>253</v>
      </c>
    </row>
    <row r="226" spans="2:27" x14ac:dyDescent="0.2">
      <c r="B226" s="58">
        <f t="shared" si="85"/>
        <v>44413</v>
      </c>
      <c r="C226" s="59" t="str">
        <f t="shared" si="73"/>
        <v>05</v>
      </c>
      <c r="D226" s="59" t="str">
        <f t="shared" si="74"/>
        <v>Thursday</v>
      </c>
      <c r="E226" s="59" t="str">
        <f t="shared" si="75"/>
        <v>August</v>
      </c>
      <c r="F226" s="59" t="str">
        <f t="shared" si="76"/>
        <v>2021</v>
      </c>
      <c r="G226" s="59" t="str">
        <f t="shared" si="86"/>
        <v>Week_32</v>
      </c>
      <c r="H226" s="59" t="str">
        <f t="shared" si="87"/>
        <v>August 2021</v>
      </c>
      <c r="I226" s="59" t="str">
        <f t="shared" si="88"/>
        <v>Week_32</v>
      </c>
      <c r="J226" s="60">
        <f t="shared" si="77"/>
        <v>44413</v>
      </c>
      <c r="K226" s="59">
        <f t="shared" si="89"/>
        <v>32</v>
      </c>
      <c r="L226" s="59">
        <f t="shared" si="78"/>
        <v>32</v>
      </c>
      <c r="M226" s="59" t="str">
        <f t="shared" si="79"/>
        <v>Week_</v>
      </c>
      <c r="N226" s="59" t="str">
        <f t="shared" si="80"/>
        <v>Week_32</v>
      </c>
      <c r="O226" s="59">
        <f t="shared" si="90"/>
        <v>0</v>
      </c>
      <c r="P226" s="59" t="str">
        <f t="shared" si="91"/>
        <v/>
      </c>
      <c r="Q226" s="59" t="str">
        <f t="shared" si="81"/>
        <v/>
      </c>
      <c r="R226" s="59" t="str">
        <f t="shared" si="82"/>
        <v>August 2021</v>
      </c>
      <c r="S226" s="61">
        <f t="shared" si="83"/>
        <v>44413</v>
      </c>
      <c r="Z226" s="62">
        <f t="shared" si="84"/>
        <v>44413</v>
      </c>
      <c r="AA226" s="63" t="s">
        <v>253</v>
      </c>
    </row>
    <row r="227" spans="2:27" x14ac:dyDescent="0.2">
      <c r="B227" s="58">
        <f t="shared" si="85"/>
        <v>44414</v>
      </c>
      <c r="C227" s="59" t="str">
        <f t="shared" si="73"/>
        <v>06</v>
      </c>
      <c r="D227" s="59" t="str">
        <f t="shared" si="74"/>
        <v>Friday</v>
      </c>
      <c r="E227" s="59" t="str">
        <f t="shared" si="75"/>
        <v>August</v>
      </c>
      <c r="F227" s="59" t="str">
        <f t="shared" si="76"/>
        <v>2021</v>
      </c>
      <c r="G227" s="59" t="str">
        <f t="shared" si="86"/>
        <v>Week_32</v>
      </c>
      <c r="H227" s="59" t="str">
        <f t="shared" si="87"/>
        <v>August 2021</v>
      </c>
      <c r="I227" s="59" t="str">
        <f t="shared" si="88"/>
        <v>Week_32</v>
      </c>
      <c r="J227" s="60">
        <f t="shared" si="77"/>
        <v>44414</v>
      </c>
      <c r="K227" s="59">
        <f t="shared" si="89"/>
        <v>32</v>
      </c>
      <c r="L227" s="59">
        <f t="shared" si="78"/>
        <v>32</v>
      </c>
      <c r="M227" s="59" t="str">
        <f t="shared" si="79"/>
        <v>Week_</v>
      </c>
      <c r="N227" s="59" t="str">
        <f t="shared" si="80"/>
        <v>Week_32</v>
      </c>
      <c r="O227" s="59">
        <f t="shared" si="90"/>
        <v>0</v>
      </c>
      <c r="P227" s="59" t="str">
        <f t="shared" si="91"/>
        <v/>
      </c>
      <c r="Q227" s="59" t="str">
        <f t="shared" si="81"/>
        <v/>
      </c>
      <c r="R227" s="59" t="str">
        <f t="shared" si="82"/>
        <v>August 2021</v>
      </c>
      <c r="S227" s="61">
        <f t="shared" si="83"/>
        <v>44414</v>
      </c>
      <c r="Z227" s="62">
        <f t="shared" si="84"/>
        <v>44414</v>
      </c>
      <c r="AA227" s="63" t="s">
        <v>253</v>
      </c>
    </row>
    <row r="228" spans="2:27" x14ac:dyDescent="0.2">
      <c r="B228" s="58">
        <f t="shared" si="85"/>
        <v>44415</v>
      </c>
      <c r="C228" s="59" t="str">
        <f t="shared" si="73"/>
        <v>07</v>
      </c>
      <c r="D228" s="59" t="str">
        <f t="shared" si="74"/>
        <v>Saturday</v>
      </c>
      <c r="E228" s="59" t="str">
        <f t="shared" si="75"/>
        <v>August</v>
      </c>
      <c r="F228" s="59" t="str">
        <f t="shared" si="76"/>
        <v>2021</v>
      </c>
      <c r="G228" s="59" t="str">
        <f t="shared" si="86"/>
        <v>Week_32</v>
      </c>
      <c r="H228" s="59" t="str">
        <f t="shared" si="87"/>
        <v>August 2021</v>
      </c>
      <c r="I228" s="59" t="str">
        <f t="shared" si="88"/>
        <v>Week_32</v>
      </c>
      <c r="J228" s="60">
        <f t="shared" si="77"/>
        <v>44415</v>
      </c>
      <c r="K228" s="59">
        <f t="shared" si="89"/>
        <v>32</v>
      </c>
      <c r="L228" s="59">
        <f t="shared" si="78"/>
        <v>32</v>
      </c>
      <c r="M228" s="59" t="str">
        <f t="shared" si="79"/>
        <v>Week_</v>
      </c>
      <c r="N228" s="59" t="str">
        <f t="shared" si="80"/>
        <v>Week_32</v>
      </c>
      <c r="O228" s="59">
        <f t="shared" si="90"/>
        <v>0</v>
      </c>
      <c r="P228" s="59" t="str">
        <f t="shared" si="91"/>
        <v/>
      </c>
      <c r="Q228" s="59" t="str">
        <f t="shared" si="81"/>
        <v/>
      </c>
      <c r="R228" s="59" t="str">
        <f t="shared" si="82"/>
        <v>August 2021</v>
      </c>
      <c r="S228" s="61">
        <f t="shared" si="83"/>
        <v>44415</v>
      </c>
      <c r="Z228" s="62">
        <f t="shared" si="84"/>
        <v>44415</v>
      </c>
      <c r="AA228" s="63" t="s">
        <v>253</v>
      </c>
    </row>
    <row r="229" spans="2:27" x14ac:dyDescent="0.2">
      <c r="B229" s="58">
        <f t="shared" si="85"/>
        <v>44416</v>
      </c>
      <c r="C229" s="59" t="str">
        <f t="shared" si="73"/>
        <v>08</v>
      </c>
      <c r="D229" s="59" t="str">
        <f t="shared" si="74"/>
        <v>Sunday</v>
      </c>
      <c r="E229" s="59" t="str">
        <f t="shared" si="75"/>
        <v>August</v>
      </c>
      <c r="F229" s="59" t="str">
        <f t="shared" si="76"/>
        <v>2021</v>
      </c>
      <c r="G229" s="59" t="str">
        <f t="shared" si="86"/>
        <v>Week_32</v>
      </c>
      <c r="H229" s="59" t="str">
        <f t="shared" si="87"/>
        <v>August 2021</v>
      </c>
      <c r="I229" s="59" t="str">
        <f t="shared" si="88"/>
        <v>Week_32</v>
      </c>
      <c r="J229" s="60">
        <f t="shared" si="77"/>
        <v>44416</v>
      </c>
      <c r="K229" s="59">
        <f t="shared" si="89"/>
        <v>32</v>
      </c>
      <c r="L229" s="59">
        <f t="shared" si="78"/>
        <v>32</v>
      </c>
      <c r="M229" s="59" t="str">
        <f t="shared" si="79"/>
        <v>Week_</v>
      </c>
      <c r="N229" s="59" t="str">
        <f t="shared" si="80"/>
        <v>Week_32</v>
      </c>
      <c r="O229" s="59">
        <f t="shared" si="90"/>
        <v>0</v>
      </c>
      <c r="P229" s="59" t="str">
        <f t="shared" si="91"/>
        <v/>
      </c>
      <c r="Q229" s="59" t="str">
        <f t="shared" si="81"/>
        <v/>
      </c>
      <c r="R229" s="59" t="str">
        <f t="shared" si="82"/>
        <v>August 2021</v>
      </c>
      <c r="S229" s="61">
        <f t="shared" si="83"/>
        <v>44416</v>
      </c>
      <c r="Z229" s="62">
        <f t="shared" si="84"/>
        <v>44416</v>
      </c>
      <c r="AA229" s="63" t="s">
        <v>253</v>
      </c>
    </row>
    <row r="230" spans="2:27" x14ac:dyDescent="0.2">
      <c r="B230" s="58">
        <f t="shared" si="85"/>
        <v>44417</v>
      </c>
      <c r="C230" s="59" t="str">
        <f t="shared" si="73"/>
        <v>09</v>
      </c>
      <c r="D230" s="59" t="str">
        <f t="shared" si="74"/>
        <v>Monday</v>
      </c>
      <c r="E230" s="59" t="str">
        <f t="shared" si="75"/>
        <v>August</v>
      </c>
      <c r="F230" s="59" t="str">
        <f t="shared" si="76"/>
        <v>2021</v>
      </c>
      <c r="G230" s="59" t="str">
        <f t="shared" si="86"/>
        <v>Week_33</v>
      </c>
      <c r="H230" s="59" t="str">
        <f t="shared" si="87"/>
        <v>August 2021</v>
      </c>
      <c r="I230" s="59" t="str">
        <f t="shared" si="88"/>
        <v>Start WeekWeek_33</v>
      </c>
      <c r="J230" s="60">
        <f t="shared" si="77"/>
        <v>44417</v>
      </c>
      <c r="K230" s="59">
        <f t="shared" si="89"/>
        <v>33</v>
      </c>
      <c r="L230" s="59">
        <f t="shared" si="78"/>
        <v>33</v>
      </c>
      <c r="M230" s="59" t="str">
        <f t="shared" si="79"/>
        <v>Week_</v>
      </c>
      <c r="N230" s="59" t="str">
        <f t="shared" si="80"/>
        <v>Week_33</v>
      </c>
      <c r="O230" s="59">
        <f t="shared" si="90"/>
        <v>1</v>
      </c>
      <c r="P230" s="59" t="str">
        <f t="shared" si="91"/>
        <v>Start Week</v>
      </c>
      <c r="Q230" s="59" t="str">
        <f t="shared" si="81"/>
        <v/>
      </c>
      <c r="R230" s="59" t="str">
        <f t="shared" si="82"/>
        <v>August 2021</v>
      </c>
      <c r="S230" s="61">
        <f t="shared" si="83"/>
        <v>44417</v>
      </c>
      <c r="Z230" s="62">
        <f t="shared" si="84"/>
        <v>44417</v>
      </c>
      <c r="AA230" s="63" t="s">
        <v>253</v>
      </c>
    </row>
    <row r="231" spans="2:27" x14ac:dyDescent="0.2">
      <c r="B231" s="58">
        <f t="shared" si="85"/>
        <v>44418</v>
      </c>
      <c r="C231" s="59" t="str">
        <f t="shared" si="73"/>
        <v>10</v>
      </c>
      <c r="D231" s="59" t="str">
        <f t="shared" si="74"/>
        <v>Tuesday</v>
      </c>
      <c r="E231" s="59" t="str">
        <f t="shared" si="75"/>
        <v>August</v>
      </c>
      <c r="F231" s="59" t="str">
        <f t="shared" si="76"/>
        <v>2021</v>
      </c>
      <c r="G231" s="59" t="str">
        <f t="shared" si="86"/>
        <v>Week_33</v>
      </c>
      <c r="H231" s="59" t="str">
        <f t="shared" si="87"/>
        <v>August 2021</v>
      </c>
      <c r="I231" s="59" t="str">
        <f t="shared" si="88"/>
        <v>Week_33</v>
      </c>
      <c r="J231" s="60">
        <f t="shared" si="77"/>
        <v>44418</v>
      </c>
      <c r="K231" s="59">
        <f t="shared" si="89"/>
        <v>33</v>
      </c>
      <c r="L231" s="59">
        <f t="shared" si="78"/>
        <v>33</v>
      </c>
      <c r="M231" s="59" t="str">
        <f t="shared" si="79"/>
        <v>Week_</v>
      </c>
      <c r="N231" s="59" t="str">
        <f t="shared" si="80"/>
        <v>Week_33</v>
      </c>
      <c r="O231" s="59">
        <f t="shared" si="90"/>
        <v>0</v>
      </c>
      <c r="P231" s="59" t="str">
        <f t="shared" si="91"/>
        <v/>
      </c>
      <c r="Q231" s="59" t="str">
        <f t="shared" si="81"/>
        <v/>
      </c>
      <c r="R231" s="59" t="str">
        <f t="shared" si="82"/>
        <v>August 2021</v>
      </c>
      <c r="S231" s="61">
        <f t="shared" si="83"/>
        <v>44418</v>
      </c>
      <c r="Z231" s="62">
        <f t="shared" si="84"/>
        <v>44418</v>
      </c>
      <c r="AA231" s="63" t="s">
        <v>253</v>
      </c>
    </row>
    <row r="232" spans="2:27" x14ac:dyDescent="0.2">
      <c r="B232" s="58">
        <f t="shared" si="85"/>
        <v>44419</v>
      </c>
      <c r="C232" s="59" t="str">
        <f t="shared" si="73"/>
        <v>11</v>
      </c>
      <c r="D232" s="59" t="str">
        <f t="shared" si="74"/>
        <v>Wednesday</v>
      </c>
      <c r="E232" s="59" t="str">
        <f t="shared" si="75"/>
        <v>August</v>
      </c>
      <c r="F232" s="59" t="str">
        <f t="shared" si="76"/>
        <v>2021</v>
      </c>
      <c r="G232" s="59" t="str">
        <f t="shared" si="86"/>
        <v>Week_33</v>
      </c>
      <c r="H232" s="59" t="str">
        <f t="shared" si="87"/>
        <v>August 2021</v>
      </c>
      <c r="I232" s="59" t="str">
        <f t="shared" si="88"/>
        <v>Week_33</v>
      </c>
      <c r="J232" s="60">
        <f t="shared" si="77"/>
        <v>44419</v>
      </c>
      <c r="K232" s="59">
        <f t="shared" si="89"/>
        <v>33</v>
      </c>
      <c r="L232" s="59">
        <f t="shared" si="78"/>
        <v>33</v>
      </c>
      <c r="M232" s="59" t="str">
        <f t="shared" si="79"/>
        <v>Week_</v>
      </c>
      <c r="N232" s="59" t="str">
        <f t="shared" si="80"/>
        <v>Week_33</v>
      </c>
      <c r="O232" s="59">
        <f t="shared" si="90"/>
        <v>0</v>
      </c>
      <c r="P232" s="59" t="str">
        <f t="shared" si="91"/>
        <v/>
      </c>
      <c r="Q232" s="59" t="str">
        <f t="shared" si="81"/>
        <v/>
      </c>
      <c r="R232" s="59" t="str">
        <f t="shared" si="82"/>
        <v>August 2021</v>
      </c>
      <c r="S232" s="61">
        <f t="shared" si="83"/>
        <v>44419</v>
      </c>
      <c r="Z232" s="62">
        <f t="shared" si="84"/>
        <v>44419</v>
      </c>
      <c r="AA232" s="63" t="s">
        <v>253</v>
      </c>
    </row>
    <row r="233" spans="2:27" x14ac:dyDescent="0.2">
      <c r="B233" s="58">
        <f t="shared" si="85"/>
        <v>44420</v>
      </c>
      <c r="C233" s="59" t="str">
        <f t="shared" si="73"/>
        <v>12</v>
      </c>
      <c r="D233" s="59" t="str">
        <f t="shared" si="74"/>
        <v>Thursday</v>
      </c>
      <c r="E233" s="59" t="str">
        <f t="shared" si="75"/>
        <v>August</v>
      </c>
      <c r="F233" s="59" t="str">
        <f t="shared" si="76"/>
        <v>2021</v>
      </c>
      <c r="G233" s="59" t="str">
        <f t="shared" si="86"/>
        <v>Week_33</v>
      </c>
      <c r="H233" s="59" t="str">
        <f t="shared" si="87"/>
        <v>August 2021</v>
      </c>
      <c r="I233" s="59" t="str">
        <f t="shared" si="88"/>
        <v>Week_33</v>
      </c>
      <c r="J233" s="60">
        <f t="shared" si="77"/>
        <v>44420</v>
      </c>
      <c r="K233" s="59">
        <f t="shared" si="89"/>
        <v>33</v>
      </c>
      <c r="L233" s="59">
        <f t="shared" si="78"/>
        <v>33</v>
      </c>
      <c r="M233" s="59" t="str">
        <f t="shared" si="79"/>
        <v>Week_</v>
      </c>
      <c r="N233" s="59" t="str">
        <f t="shared" si="80"/>
        <v>Week_33</v>
      </c>
      <c r="O233" s="59">
        <f t="shared" si="90"/>
        <v>0</v>
      </c>
      <c r="P233" s="59" t="str">
        <f t="shared" si="91"/>
        <v/>
      </c>
      <c r="Q233" s="59" t="str">
        <f t="shared" si="81"/>
        <v/>
      </c>
      <c r="R233" s="59" t="str">
        <f t="shared" si="82"/>
        <v>August 2021</v>
      </c>
      <c r="S233" s="61">
        <f t="shared" si="83"/>
        <v>44420</v>
      </c>
      <c r="Z233" s="62">
        <f t="shared" si="84"/>
        <v>44420</v>
      </c>
      <c r="AA233" s="63" t="s">
        <v>253</v>
      </c>
    </row>
    <row r="234" spans="2:27" x14ac:dyDescent="0.2">
      <c r="B234" s="58">
        <f t="shared" si="85"/>
        <v>44421</v>
      </c>
      <c r="C234" s="59" t="str">
        <f t="shared" si="73"/>
        <v>13</v>
      </c>
      <c r="D234" s="59" t="str">
        <f t="shared" si="74"/>
        <v>Friday</v>
      </c>
      <c r="E234" s="59" t="str">
        <f t="shared" si="75"/>
        <v>August</v>
      </c>
      <c r="F234" s="59" t="str">
        <f t="shared" si="76"/>
        <v>2021</v>
      </c>
      <c r="G234" s="59" t="str">
        <f t="shared" si="86"/>
        <v>Week_33</v>
      </c>
      <c r="H234" s="59" t="str">
        <f t="shared" si="87"/>
        <v>August 2021</v>
      </c>
      <c r="I234" s="59" t="str">
        <f t="shared" si="88"/>
        <v>Week_33</v>
      </c>
      <c r="J234" s="60">
        <f t="shared" si="77"/>
        <v>44421</v>
      </c>
      <c r="K234" s="59">
        <f t="shared" si="89"/>
        <v>33</v>
      </c>
      <c r="L234" s="59">
        <f t="shared" si="78"/>
        <v>33</v>
      </c>
      <c r="M234" s="59" t="str">
        <f t="shared" si="79"/>
        <v>Week_</v>
      </c>
      <c r="N234" s="59" t="str">
        <f t="shared" si="80"/>
        <v>Week_33</v>
      </c>
      <c r="O234" s="59">
        <f t="shared" si="90"/>
        <v>0</v>
      </c>
      <c r="P234" s="59" t="str">
        <f t="shared" si="91"/>
        <v/>
      </c>
      <c r="Q234" s="59" t="str">
        <f t="shared" si="81"/>
        <v/>
      </c>
      <c r="R234" s="59" t="str">
        <f t="shared" si="82"/>
        <v>August 2021</v>
      </c>
      <c r="S234" s="61">
        <f t="shared" si="83"/>
        <v>44421</v>
      </c>
      <c r="Z234" s="62">
        <f t="shared" si="84"/>
        <v>44421</v>
      </c>
      <c r="AA234" s="63" t="s">
        <v>253</v>
      </c>
    </row>
    <row r="235" spans="2:27" x14ac:dyDescent="0.2">
      <c r="B235" s="58">
        <f t="shared" si="85"/>
        <v>44422</v>
      </c>
      <c r="C235" s="59" t="str">
        <f t="shared" si="73"/>
        <v>14</v>
      </c>
      <c r="D235" s="59" t="str">
        <f t="shared" si="74"/>
        <v>Saturday</v>
      </c>
      <c r="E235" s="59" t="str">
        <f t="shared" si="75"/>
        <v>August</v>
      </c>
      <c r="F235" s="59" t="str">
        <f t="shared" si="76"/>
        <v>2021</v>
      </c>
      <c r="G235" s="59" t="str">
        <f t="shared" si="86"/>
        <v>Week_33</v>
      </c>
      <c r="H235" s="59" t="str">
        <f t="shared" si="87"/>
        <v>August 2021</v>
      </c>
      <c r="I235" s="59" t="str">
        <f t="shared" si="88"/>
        <v>Week_33</v>
      </c>
      <c r="J235" s="60">
        <f t="shared" si="77"/>
        <v>44422</v>
      </c>
      <c r="K235" s="59">
        <f t="shared" si="89"/>
        <v>33</v>
      </c>
      <c r="L235" s="59">
        <f t="shared" si="78"/>
        <v>33</v>
      </c>
      <c r="M235" s="59" t="str">
        <f t="shared" si="79"/>
        <v>Week_</v>
      </c>
      <c r="N235" s="59" t="str">
        <f t="shared" si="80"/>
        <v>Week_33</v>
      </c>
      <c r="O235" s="59">
        <f t="shared" si="90"/>
        <v>0</v>
      </c>
      <c r="P235" s="59" t="str">
        <f t="shared" si="91"/>
        <v/>
      </c>
      <c r="Q235" s="59" t="str">
        <f t="shared" si="81"/>
        <v/>
      </c>
      <c r="R235" s="59" t="str">
        <f t="shared" si="82"/>
        <v>August 2021</v>
      </c>
      <c r="S235" s="61">
        <f t="shared" si="83"/>
        <v>44422</v>
      </c>
      <c r="Z235" s="62">
        <f t="shared" si="84"/>
        <v>44422</v>
      </c>
      <c r="AA235" s="63" t="s">
        <v>253</v>
      </c>
    </row>
    <row r="236" spans="2:27" x14ac:dyDescent="0.2">
      <c r="B236" s="58">
        <f t="shared" si="85"/>
        <v>44423</v>
      </c>
      <c r="C236" s="59" t="str">
        <f t="shared" si="73"/>
        <v>15</v>
      </c>
      <c r="D236" s="59" t="str">
        <f t="shared" si="74"/>
        <v>Sunday</v>
      </c>
      <c r="E236" s="59" t="str">
        <f t="shared" si="75"/>
        <v>August</v>
      </c>
      <c r="F236" s="59" t="str">
        <f t="shared" si="76"/>
        <v>2021</v>
      </c>
      <c r="G236" s="59" t="str">
        <f t="shared" si="86"/>
        <v>Week_33</v>
      </c>
      <c r="H236" s="59" t="str">
        <f t="shared" si="87"/>
        <v>August 2021</v>
      </c>
      <c r="I236" s="59" t="str">
        <f t="shared" si="88"/>
        <v>Week_33</v>
      </c>
      <c r="J236" s="60">
        <f t="shared" si="77"/>
        <v>44423</v>
      </c>
      <c r="K236" s="59">
        <f t="shared" si="89"/>
        <v>33</v>
      </c>
      <c r="L236" s="59">
        <f t="shared" si="78"/>
        <v>33</v>
      </c>
      <c r="M236" s="59" t="str">
        <f t="shared" si="79"/>
        <v>Week_</v>
      </c>
      <c r="N236" s="59" t="str">
        <f t="shared" si="80"/>
        <v>Week_33</v>
      </c>
      <c r="O236" s="59">
        <f t="shared" si="90"/>
        <v>0</v>
      </c>
      <c r="P236" s="59" t="str">
        <f t="shared" si="91"/>
        <v/>
      </c>
      <c r="Q236" s="59" t="str">
        <f t="shared" si="81"/>
        <v/>
      </c>
      <c r="R236" s="59" t="str">
        <f t="shared" si="82"/>
        <v>August 2021</v>
      </c>
      <c r="S236" s="61">
        <f t="shared" si="83"/>
        <v>44423</v>
      </c>
      <c r="Z236" s="62">
        <f t="shared" si="84"/>
        <v>44423</v>
      </c>
      <c r="AA236" s="63" t="s">
        <v>253</v>
      </c>
    </row>
    <row r="237" spans="2:27" x14ac:dyDescent="0.2">
      <c r="B237" s="58">
        <f t="shared" si="85"/>
        <v>44424</v>
      </c>
      <c r="C237" s="59" t="str">
        <f t="shared" si="73"/>
        <v>16</v>
      </c>
      <c r="D237" s="59" t="str">
        <f t="shared" si="74"/>
        <v>Monday</v>
      </c>
      <c r="E237" s="59" t="str">
        <f t="shared" si="75"/>
        <v>August</v>
      </c>
      <c r="F237" s="59" t="str">
        <f t="shared" si="76"/>
        <v>2021</v>
      </c>
      <c r="G237" s="59" t="str">
        <f t="shared" si="86"/>
        <v>Week_34</v>
      </c>
      <c r="H237" s="59" t="str">
        <f t="shared" si="87"/>
        <v>August 2021</v>
      </c>
      <c r="I237" s="59" t="str">
        <f t="shared" si="88"/>
        <v>Start WeekWeek_34</v>
      </c>
      <c r="J237" s="60">
        <f t="shared" si="77"/>
        <v>44424</v>
      </c>
      <c r="K237" s="59">
        <f t="shared" si="89"/>
        <v>34</v>
      </c>
      <c r="L237" s="59">
        <f t="shared" si="78"/>
        <v>34</v>
      </c>
      <c r="M237" s="59" t="str">
        <f t="shared" si="79"/>
        <v>Week_</v>
      </c>
      <c r="N237" s="59" t="str">
        <f t="shared" si="80"/>
        <v>Week_34</v>
      </c>
      <c r="O237" s="59">
        <f t="shared" si="90"/>
        <v>1</v>
      </c>
      <c r="P237" s="59" t="str">
        <f t="shared" si="91"/>
        <v>Start Week</v>
      </c>
      <c r="Q237" s="59" t="str">
        <f t="shared" si="81"/>
        <v/>
      </c>
      <c r="R237" s="59" t="str">
        <f t="shared" si="82"/>
        <v>August 2021</v>
      </c>
      <c r="S237" s="61">
        <f t="shared" si="83"/>
        <v>44424</v>
      </c>
      <c r="Z237" s="62">
        <f t="shared" si="84"/>
        <v>44424</v>
      </c>
      <c r="AA237" s="63" t="s">
        <v>253</v>
      </c>
    </row>
    <row r="238" spans="2:27" x14ac:dyDescent="0.2">
      <c r="B238" s="58">
        <f t="shared" si="85"/>
        <v>44425</v>
      </c>
      <c r="C238" s="59" t="str">
        <f t="shared" si="73"/>
        <v>17</v>
      </c>
      <c r="D238" s="59" t="str">
        <f t="shared" si="74"/>
        <v>Tuesday</v>
      </c>
      <c r="E238" s="59" t="str">
        <f t="shared" si="75"/>
        <v>August</v>
      </c>
      <c r="F238" s="59" t="str">
        <f t="shared" si="76"/>
        <v>2021</v>
      </c>
      <c r="G238" s="59" t="str">
        <f t="shared" si="86"/>
        <v>Week_34</v>
      </c>
      <c r="H238" s="59" t="str">
        <f t="shared" si="87"/>
        <v>August 2021</v>
      </c>
      <c r="I238" s="59" t="str">
        <f t="shared" si="88"/>
        <v>Week_34</v>
      </c>
      <c r="J238" s="60">
        <f t="shared" si="77"/>
        <v>44425</v>
      </c>
      <c r="K238" s="59">
        <f t="shared" si="89"/>
        <v>34</v>
      </c>
      <c r="L238" s="59">
        <f t="shared" si="78"/>
        <v>34</v>
      </c>
      <c r="M238" s="59" t="str">
        <f t="shared" si="79"/>
        <v>Week_</v>
      </c>
      <c r="N238" s="59" t="str">
        <f t="shared" si="80"/>
        <v>Week_34</v>
      </c>
      <c r="O238" s="59">
        <f t="shared" si="90"/>
        <v>0</v>
      </c>
      <c r="P238" s="59" t="str">
        <f t="shared" si="91"/>
        <v/>
      </c>
      <c r="Q238" s="59" t="str">
        <f t="shared" si="81"/>
        <v/>
      </c>
      <c r="R238" s="59" t="str">
        <f t="shared" si="82"/>
        <v>August 2021</v>
      </c>
      <c r="S238" s="61">
        <f t="shared" si="83"/>
        <v>44425</v>
      </c>
      <c r="Z238" s="62">
        <f t="shared" si="84"/>
        <v>44425</v>
      </c>
      <c r="AA238" s="63" t="s">
        <v>253</v>
      </c>
    </row>
    <row r="239" spans="2:27" x14ac:dyDescent="0.2">
      <c r="B239" s="58">
        <f t="shared" si="85"/>
        <v>44426</v>
      </c>
      <c r="C239" s="59" t="str">
        <f t="shared" si="73"/>
        <v>18</v>
      </c>
      <c r="D239" s="59" t="str">
        <f t="shared" si="74"/>
        <v>Wednesday</v>
      </c>
      <c r="E239" s="59" t="str">
        <f t="shared" si="75"/>
        <v>August</v>
      </c>
      <c r="F239" s="59" t="str">
        <f t="shared" si="76"/>
        <v>2021</v>
      </c>
      <c r="G239" s="59" t="str">
        <f t="shared" si="86"/>
        <v>Week_34</v>
      </c>
      <c r="H239" s="59" t="str">
        <f t="shared" si="87"/>
        <v>August 2021</v>
      </c>
      <c r="I239" s="59" t="str">
        <f t="shared" si="88"/>
        <v>Week_34</v>
      </c>
      <c r="J239" s="60">
        <f t="shared" si="77"/>
        <v>44426</v>
      </c>
      <c r="K239" s="59">
        <f t="shared" si="89"/>
        <v>34</v>
      </c>
      <c r="L239" s="59">
        <f t="shared" si="78"/>
        <v>34</v>
      </c>
      <c r="M239" s="59" t="str">
        <f t="shared" si="79"/>
        <v>Week_</v>
      </c>
      <c r="N239" s="59" t="str">
        <f t="shared" si="80"/>
        <v>Week_34</v>
      </c>
      <c r="O239" s="59">
        <f t="shared" si="90"/>
        <v>0</v>
      </c>
      <c r="P239" s="59" t="str">
        <f t="shared" si="91"/>
        <v/>
      </c>
      <c r="Q239" s="59" t="str">
        <f t="shared" si="81"/>
        <v/>
      </c>
      <c r="R239" s="59" t="str">
        <f t="shared" si="82"/>
        <v>August 2021</v>
      </c>
      <c r="S239" s="61">
        <f t="shared" si="83"/>
        <v>44426</v>
      </c>
      <c r="Z239" s="62">
        <f t="shared" si="84"/>
        <v>44426</v>
      </c>
      <c r="AA239" s="63" t="s">
        <v>253</v>
      </c>
    </row>
    <row r="240" spans="2:27" x14ac:dyDescent="0.2">
      <c r="B240" s="58">
        <f t="shared" si="85"/>
        <v>44427</v>
      </c>
      <c r="C240" s="59" t="str">
        <f t="shared" si="73"/>
        <v>19</v>
      </c>
      <c r="D240" s="59" t="str">
        <f t="shared" si="74"/>
        <v>Thursday</v>
      </c>
      <c r="E240" s="59" t="str">
        <f t="shared" si="75"/>
        <v>August</v>
      </c>
      <c r="F240" s="59" t="str">
        <f t="shared" si="76"/>
        <v>2021</v>
      </c>
      <c r="G240" s="59" t="str">
        <f t="shared" si="86"/>
        <v>Week_34</v>
      </c>
      <c r="H240" s="59" t="str">
        <f t="shared" si="87"/>
        <v>August 2021</v>
      </c>
      <c r="I240" s="59" t="str">
        <f t="shared" si="88"/>
        <v>Week_34</v>
      </c>
      <c r="J240" s="60">
        <f t="shared" si="77"/>
        <v>44427</v>
      </c>
      <c r="K240" s="59">
        <f t="shared" si="89"/>
        <v>34</v>
      </c>
      <c r="L240" s="59">
        <f t="shared" si="78"/>
        <v>34</v>
      </c>
      <c r="M240" s="59" t="str">
        <f t="shared" si="79"/>
        <v>Week_</v>
      </c>
      <c r="N240" s="59" t="str">
        <f t="shared" si="80"/>
        <v>Week_34</v>
      </c>
      <c r="O240" s="59">
        <f t="shared" si="90"/>
        <v>0</v>
      </c>
      <c r="P240" s="59" t="str">
        <f t="shared" si="91"/>
        <v/>
      </c>
      <c r="Q240" s="59" t="str">
        <f t="shared" si="81"/>
        <v/>
      </c>
      <c r="R240" s="59" t="str">
        <f t="shared" si="82"/>
        <v>August 2021</v>
      </c>
      <c r="S240" s="61">
        <f t="shared" si="83"/>
        <v>44427</v>
      </c>
      <c r="Z240" s="62">
        <f t="shared" si="84"/>
        <v>44427</v>
      </c>
      <c r="AA240" s="63" t="s">
        <v>253</v>
      </c>
    </row>
    <row r="241" spans="2:27" x14ac:dyDescent="0.2">
      <c r="B241" s="58">
        <f t="shared" si="85"/>
        <v>44428</v>
      </c>
      <c r="C241" s="59" t="str">
        <f t="shared" si="73"/>
        <v>20</v>
      </c>
      <c r="D241" s="59" t="str">
        <f t="shared" si="74"/>
        <v>Friday</v>
      </c>
      <c r="E241" s="59" t="str">
        <f t="shared" si="75"/>
        <v>August</v>
      </c>
      <c r="F241" s="59" t="str">
        <f t="shared" si="76"/>
        <v>2021</v>
      </c>
      <c r="G241" s="59" t="str">
        <f t="shared" si="86"/>
        <v>Week_34</v>
      </c>
      <c r="H241" s="59" t="str">
        <f t="shared" si="87"/>
        <v>August 2021</v>
      </c>
      <c r="I241" s="59" t="str">
        <f t="shared" si="88"/>
        <v>Week_34</v>
      </c>
      <c r="J241" s="60">
        <f t="shared" si="77"/>
        <v>44428</v>
      </c>
      <c r="K241" s="59">
        <f t="shared" si="89"/>
        <v>34</v>
      </c>
      <c r="L241" s="59">
        <f t="shared" si="78"/>
        <v>34</v>
      </c>
      <c r="M241" s="59" t="str">
        <f t="shared" si="79"/>
        <v>Week_</v>
      </c>
      <c r="N241" s="59" t="str">
        <f t="shared" si="80"/>
        <v>Week_34</v>
      </c>
      <c r="O241" s="59">
        <f t="shared" si="90"/>
        <v>0</v>
      </c>
      <c r="P241" s="59" t="str">
        <f t="shared" si="91"/>
        <v/>
      </c>
      <c r="Q241" s="59" t="str">
        <f t="shared" si="81"/>
        <v/>
      </c>
      <c r="R241" s="59" t="str">
        <f t="shared" si="82"/>
        <v>August 2021</v>
      </c>
      <c r="S241" s="61">
        <f t="shared" si="83"/>
        <v>44428</v>
      </c>
      <c r="Z241" s="62">
        <f t="shared" si="84"/>
        <v>44428</v>
      </c>
      <c r="AA241" s="63" t="s">
        <v>253</v>
      </c>
    </row>
    <row r="242" spans="2:27" x14ac:dyDescent="0.2">
      <c r="B242" s="58">
        <f t="shared" si="85"/>
        <v>44429</v>
      </c>
      <c r="C242" s="59" t="str">
        <f t="shared" si="73"/>
        <v>21</v>
      </c>
      <c r="D242" s="59" t="str">
        <f t="shared" si="74"/>
        <v>Saturday</v>
      </c>
      <c r="E242" s="59" t="str">
        <f t="shared" si="75"/>
        <v>August</v>
      </c>
      <c r="F242" s="59" t="str">
        <f t="shared" si="76"/>
        <v>2021</v>
      </c>
      <c r="G242" s="59" t="str">
        <f t="shared" si="86"/>
        <v>Week_34</v>
      </c>
      <c r="H242" s="59" t="str">
        <f t="shared" si="87"/>
        <v>August 2021</v>
      </c>
      <c r="I242" s="59" t="str">
        <f t="shared" si="88"/>
        <v>Week_34</v>
      </c>
      <c r="J242" s="60">
        <f t="shared" si="77"/>
        <v>44429</v>
      </c>
      <c r="K242" s="59">
        <f t="shared" si="89"/>
        <v>34</v>
      </c>
      <c r="L242" s="59">
        <f t="shared" si="78"/>
        <v>34</v>
      </c>
      <c r="M242" s="59" t="str">
        <f t="shared" si="79"/>
        <v>Week_</v>
      </c>
      <c r="N242" s="59" t="str">
        <f t="shared" si="80"/>
        <v>Week_34</v>
      </c>
      <c r="O242" s="59">
        <f t="shared" si="90"/>
        <v>0</v>
      </c>
      <c r="P242" s="59" t="str">
        <f t="shared" si="91"/>
        <v/>
      </c>
      <c r="Q242" s="59" t="str">
        <f t="shared" si="81"/>
        <v/>
      </c>
      <c r="R242" s="59" t="str">
        <f t="shared" si="82"/>
        <v>August 2021</v>
      </c>
      <c r="S242" s="61">
        <f t="shared" si="83"/>
        <v>44429</v>
      </c>
      <c r="Z242" s="62">
        <f t="shared" si="84"/>
        <v>44429</v>
      </c>
      <c r="AA242" s="63" t="s">
        <v>253</v>
      </c>
    </row>
    <row r="243" spans="2:27" x14ac:dyDescent="0.2">
      <c r="B243" s="58">
        <f t="shared" si="85"/>
        <v>44430</v>
      </c>
      <c r="C243" s="59" t="str">
        <f t="shared" si="73"/>
        <v>22</v>
      </c>
      <c r="D243" s="59" t="str">
        <f t="shared" si="74"/>
        <v>Sunday</v>
      </c>
      <c r="E243" s="59" t="str">
        <f t="shared" si="75"/>
        <v>August</v>
      </c>
      <c r="F243" s="59" t="str">
        <f t="shared" si="76"/>
        <v>2021</v>
      </c>
      <c r="G243" s="59" t="str">
        <f t="shared" si="86"/>
        <v>Week_34</v>
      </c>
      <c r="H243" s="59" t="str">
        <f t="shared" si="87"/>
        <v>August 2021</v>
      </c>
      <c r="I243" s="59" t="str">
        <f t="shared" si="88"/>
        <v>Week_34</v>
      </c>
      <c r="J243" s="60">
        <f t="shared" si="77"/>
        <v>44430</v>
      </c>
      <c r="K243" s="59">
        <f t="shared" si="89"/>
        <v>34</v>
      </c>
      <c r="L243" s="59">
        <f t="shared" si="78"/>
        <v>34</v>
      </c>
      <c r="M243" s="59" t="str">
        <f t="shared" si="79"/>
        <v>Week_</v>
      </c>
      <c r="N243" s="59" t="str">
        <f t="shared" si="80"/>
        <v>Week_34</v>
      </c>
      <c r="O243" s="59">
        <f t="shared" si="90"/>
        <v>0</v>
      </c>
      <c r="P243" s="59" t="str">
        <f t="shared" si="91"/>
        <v/>
      </c>
      <c r="Q243" s="59" t="str">
        <f t="shared" si="81"/>
        <v/>
      </c>
      <c r="R243" s="59" t="str">
        <f t="shared" si="82"/>
        <v>August 2021</v>
      </c>
      <c r="S243" s="61">
        <f t="shared" si="83"/>
        <v>44430</v>
      </c>
      <c r="Z243" s="62">
        <f t="shared" si="84"/>
        <v>44430</v>
      </c>
      <c r="AA243" s="63" t="s">
        <v>253</v>
      </c>
    </row>
    <row r="244" spans="2:27" x14ac:dyDescent="0.2">
      <c r="B244" s="58">
        <f t="shared" si="85"/>
        <v>44431</v>
      </c>
      <c r="C244" s="59" t="str">
        <f t="shared" si="73"/>
        <v>23</v>
      </c>
      <c r="D244" s="59" t="str">
        <f t="shared" si="74"/>
        <v>Monday</v>
      </c>
      <c r="E244" s="59" t="str">
        <f t="shared" si="75"/>
        <v>August</v>
      </c>
      <c r="F244" s="59" t="str">
        <f t="shared" si="76"/>
        <v>2021</v>
      </c>
      <c r="G244" s="59" t="str">
        <f t="shared" si="86"/>
        <v>Week_35</v>
      </c>
      <c r="H244" s="59" t="str">
        <f t="shared" si="87"/>
        <v>August 2021</v>
      </c>
      <c r="I244" s="59" t="str">
        <f t="shared" si="88"/>
        <v>Start WeekWeek_35</v>
      </c>
      <c r="J244" s="60">
        <f t="shared" si="77"/>
        <v>44431</v>
      </c>
      <c r="K244" s="59">
        <f t="shared" si="89"/>
        <v>35</v>
      </c>
      <c r="L244" s="59">
        <f t="shared" si="78"/>
        <v>35</v>
      </c>
      <c r="M244" s="59" t="str">
        <f t="shared" si="79"/>
        <v>Week_</v>
      </c>
      <c r="N244" s="59" t="str">
        <f t="shared" si="80"/>
        <v>Week_35</v>
      </c>
      <c r="O244" s="59">
        <f t="shared" si="90"/>
        <v>1</v>
      </c>
      <c r="P244" s="59" t="str">
        <f t="shared" si="91"/>
        <v>Start Week</v>
      </c>
      <c r="Q244" s="59" t="str">
        <f t="shared" si="81"/>
        <v/>
      </c>
      <c r="R244" s="59" t="str">
        <f t="shared" si="82"/>
        <v>August 2021</v>
      </c>
      <c r="S244" s="61">
        <f t="shared" si="83"/>
        <v>44431</v>
      </c>
      <c r="Z244" s="62">
        <f t="shared" si="84"/>
        <v>44431</v>
      </c>
      <c r="AA244" s="63" t="s">
        <v>253</v>
      </c>
    </row>
    <row r="245" spans="2:27" x14ac:dyDescent="0.2">
      <c r="B245" s="58">
        <f t="shared" si="85"/>
        <v>44432</v>
      </c>
      <c r="C245" s="59" t="str">
        <f t="shared" si="73"/>
        <v>24</v>
      </c>
      <c r="D245" s="59" t="str">
        <f t="shared" si="74"/>
        <v>Tuesday</v>
      </c>
      <c r="E245" s="59" t="str">
        <f t="shared" si="75"/>
        <v>August</v>
      </c>
      <c r="F245" s="59" t="str">
        <f t="shared" si="76"/>
        <v>2021</v>
      </c>
      <c r="G245" s="59" t="str">
        <f t="shared" si="86"/>
        <v>Week_35</v>
      </c>
      <c r="H245" s="59" t="str">
        <f t="shared" si="87"/>
        <v>August 2021</v>
      </c>
      <c r="I245" s="59" t="str">
        <f t="shared" si="88"/>
        <v>Week_35</v>
      </c>
      <c r="J245" s="60">
        <f t="shared" si="77"/>
        <v>44432</v>
      </c>
      <c r="K245" s="59">
        <f t="shared" si="89"/>
        <v>35</v>
      </c>
      <c r="L245" s="59">
        <f t="shared" si="78"/>
        <v>35</v>
      </c>
      <c r="M245" s="59" t="str">
        <f t="shared" si="79"/>
        <v>Week_</v>
      </c>
      <c r="N245" s="59" t="str">
        <f t="shared" si="80"/>
        <v>Week_35</v>
      </c>
      <c r="O245" s="59">
        <f t="shared" si="90"/>
        <v>0</v>
      </c>
      <c r="P245" s="59" t="str">
        <f t="shared" si="91"/>
        <v/>
      </c>
      <c r="Q245" s="59" t="str">
        <f t="shared" si="81"/>
        <v/>
      </c>
      <c r="R245" s="59" t="str">
        <f t="shared" si="82"/>
        <v>August 2021</v>
      </c>
      <c r="S245" s="61">
        <f t="shared" si="83"/>
        <v>44432</v>
      </c>
      <c r="Z245" s="62">
        <f t="shared" si="84"/>
        <v>44432</v>
      </c>
      <c r="AA245" s="63" t="s">
        <v>253</v>
      </c>
    </row>
    <row r="246" spans="2:27" x14ac:dyDescent="0.2">
      <c r="B246" s="58">
        <f t="shared" si="85"/>
        <v>44433</v>
      </c>
      <c r="C246" s="59" t="str">
        <f t="shared" si="73"/>
        <v>25</v>
      </c>
      <c r="D246" s="59" t="str">
        <f t="shared" si="74"/>
        <v>Wednesday</v>
      </c>
      <c r="E246" s="59" t="str">
        <f t="shared" si="75"/>
        <v>August</v>
      </c>
      <c r="F246" s="59" t="str">
        <f t="shared" si="76"/>
        <v>2021</v>
      </c>
      <c r="G246" s="59" t="str">
        <f t="shared" si="86"/>
        <v>Week_35</v>
      </c>
      <c r="H246" s="59" t="str">
        <f t="shared" si="87"/>
        <v>August 2021</v>
      </c>
      <c r="I246" s="59" t="str">
        <f t="shared" si="88"/>
        <v>Week_35</v>
      </c>
      <c r="J246" s="60">
        <f t="shared" si="77"/>
        <v>44433</v>
      </c>
      <c r="K246" s="59">
        <f t="shared" si="89"/>
        <v>35</v>
      </c>
      <c r="L246" s="59">
        <f t="shared" si="78"/>
        <v>35</v>
      </c>
      <c r="M246" s="59" t="str">
        <f t="shared" si="79"/>
        <v>Week_</v>
      </c>
      <c r="N246" s="59" t="str">
        <f t="shared" si="80"/>
        <v>Week_35</v>
      </c>
      <c r="O246" s="59">
        <f t="shared" si="90"/>
        <v>0</v>
      </c>
      <c r="P246" s="59" t="str">
        <f t="shared" si="91"/>
        <v/>
      </c>
      <c r="Q246" s="59" t="str">
        <f t="shared" si="81"/>
        <v/>
      </c>
      <c r="R246" s="59" t="str">
        <f t="shared" si="82"/>
        <v>August 2021</v>
      </c>
      <c r="S246" s="61">
        <f t="shared" si="83"/>
        <v>44433</v>
      </c>
      <c r="Z246" s="62">
        <f t="shared" si="84"/>
        <v>44433</v>
      </c>
      <c r="AA246" s="63" t="s">
        <v>253</v>
      </c>
    </row>
    <row r="247" spans="2:27" x14ac:dyDescent="0.2">
      <c r="B247" s="58">
        <f t="shared" si="85"/>
        <v>44434</v>
      </c>
      <c r="C247" s="59" t="str">
        <f t="shared" si="73"/>
        <v>26</v>
      </c>
      <c r="D247" s="59" t="str">
        <f t="shared" si="74"/>
        <v>Thursday</v>
      </c>
      <c r="E247" s="59" t="str">
        <f t="shared" si="75"/>
        <v>August</v>
      </c>
      <c r="F247" s="59" t="str">
        <f t="shared" si="76"/>
        <v>2021</v>
      </c>
      <c r="G247" s="59" t="str">
        <f t="shared" si="86"/>
        <v>Week_35</v>
      </c>
      <c r="H247" s="59" t="str">
        <f t="shared" si="87"/>
        <v>August 2021</v>
      </c>
      <c r="I247" s="59" t="str">
        <f t="shared" si="88"/>
        <v>Week_35</v>
      </c>
      <c r="J247" s="60">
        <f t="shared" si="77"/>
        <v>44434</v>
      </c>
      <c r="K247" s="59">
        <f t="shared" si="89"/>
        <v>35</v>
      </c>
      <c r="L247" s="59">
        <f t="shared" si="78"/>
        <v>35</v>
      </c>
      <c r="M247" s="59" t="str">
        <f t="shared" si="79"/>
        <v>Week_</v>
      </c>
      <c r="N247" s="59" t="str">
        <f t="shared" si="80"/>
        <v>Week_35</v>
      </c>
      <c r="O247" s="59">
        <f t="shared" si="90"/>
        <v>0</v>
      </c>
      <c r="P247" s="59" t="str">
        <f t="shared" si="91"/>
        <v/>
      </c>
      <c r="Q247" s="59" t="str">
        <f t="shared" si="81"/>
        <v/>
      </c>
      <c r="R247" s="59" t="str">
        <f t="shared" si="82"/>
        <v>August 2021</v>
      </c>
      <c r="S247" s="61">
        <f t="shared" si="83"/>
        <v>44434</v>
      </c>
      <c r="Z247" s="62">
        <f t="shared" si="84"/>
        <v>44434</v>
      </c>
      <c r="AA247" s="63" t="s">
        <v>253</v>
      </c>
    </row>
    <row r="248" spans="2:27" x14ac:dyDescent="0.2">
      <c r="B248" s="58">
        <f t="shared" si="85"/>
        <v>44435</v>
      </c>
      <c r="C248" s="59" t="str">
        <f t="shared" si="73"/>
        <v>27</v>
      </c>
      <c r="D248" s="59" t="str">
        <f t="shared" si="74"/>
        <v>Friday</v>
      </c>
      <c r="E248" s="59" t="str">
        <f t="shared" si="75"/>
        <v>August</v>
      </c>
      <c r="F248" s="59" t="str">
        <f t="shared" si="76"/>
        <v>2021</v>
      </c>
      <c r="G248" s="59" t="str">
        <f t="shared" si="86"/>
        <v>Week_35</v>
      </c>
      <c r="H248" s="59" t="str">
        <f t="shared" si="87"/>
        <v>August 2021</v>
      </c>
      <c r="I248" s="59" t="str">
        <f t="shared" si="88"/>
        <v>Week_35</v>
      </c>
      <c r="J248" s="60">
        <f t="shared" si="77"/>
        <v>44435</v>
      </c>
      <c r="K248" s="59">
        <f t="shared" si="89"/>
        <v>35</v>
      </c>
      <c r="L248" s="59">
        <f t="shared" si="78"/>
        <v>35</v>
      </c>
      <c r="M248" s="59" t="str">
        <f t="shared" si="79"/>
        <v>Week_</v>
      </c>
      <c r="N248" s="59" t="str">
        <f t="shared" si="80"/>
        <v>Week_35</v>
      </c>
      <c r="O248" s="59">
        <f t="shared" si="90"/>
        <v>0</v>
      </c>
      <c r="P248" s="59" t="str">
        <f t="shared" si="91"/>
        <v/>
      </c>
      <c r="Q248" s="59" t="str">
        <f t="shared" si="81"/>
        <v/>
      </c>
      <c r="R248" s="59" t="str">
        <f t="shared" si="82"/>
        <v>August 2021</v>
      </c>
      <c r="S248" s="61">
        <f t="shared" si="83"/>
        <v>44435</v>
      </c>
      <c r="Z248" s="62">
        <f t="shared" si="84"/>
        <v>44435</v>
      </c>
      <c r="AA248" s="63" t="s">
        <v>253</v>
      </c>
    </row>
    <row r="249" spans="2:27" x14ac:dyDescent="0.2">
      <c r="B249" s="58">
        <f t="shared" si="85"/>
        <v>44436</v>
      </c>
      <c r="C249" s="59" t="str">
        <f t="shared" si="73"/>
        <v>28</v>
      </c>
      <c r="D249" s="59" t="str">
        <f t="shared" si="74"/>
        <v>Saturday</v>
      </c>
      <c r="E249" s="59" t="str">
        <f t="shared" si="75"/>
        <v>August</v>
      </c>
      <c r="F249" s="59" t="str">
        <f t="shared" si="76"/>
        <v>2021</v>
      </c>
      <c r="G249" s="59" t="str">
        <f t="shared" si="86"/>
        <v>Week_35</v>
      </c>
      <c r="H249" s="59" t="str">
        <f t="shared" si="87"/>
        <v>August 2021</v>
      </c>
      <c r="I249" s="59" t="str">
        <f t="shared" si="88"/>
        <v>Week_35</v>
      </c>
      <c r="J249" s="60">
        <f t="shared" si="77"/>
        <v>44436</v>
      </c>
      <c r="K249" s="59">
        <f t="shared" si="89"/>
        <v>35</v>
      </c>
      <c r="L249" s="59">
        <f t="shared" si="78"/>
        <v>35</v>
      </c>
      <c r="M249" s="59" t="str">
        <f t="shared" si="79"/>
        <v>Week_</v>
      </c>
      <c r="N249" s="59" t="str">
        <f t="shared" si="80"/>
        <v>Week_35</v>
      </c>
      <c r="O249" s="59">
        <f t="shared" si="90"/>
        <v>0</v>
      </c>
      <c r="P249" s="59" t="str">
        <f t="shared" si="91"/>
        <v/>
      </c>
      <c r="Q249" s="59" t="str">
        <f t="shared" si="81"/>
        <v/>
      </c>
      <c r="R249" s="59" t="str">
        <f t="shared" si="82"/>
        <v>August 2021</v>
      </c>
      <c r="S249" s="61">
        <f t="shared" si="83"/>
        <v>44436</v>
      </c>
      <c r="Z249" s="62">
        <f t="shared" si="84"/>
        <v>44436</v>
      </c>
      <c r="AA249" s="63" t="s">
        <v>253</v>
      </c>
    </row>
    <row r="250" spans="2:27" x14ac:dyDescent="0.2">
      <c r="B250" s="58">
        <f t="shared" si="85"/>
        <v>44437</v>
      </c>
      <c r="C250" s="59" t="str">
        <f t="shared" si="73"/>
        <v>29</v>
      </c>
      <c r="D250" s="59" t="str">
        <f t="shared" si="74"/>
        <v>Sunday</v>
      </c>
      <c r="E250" s="59" t="str">
        <f t="shared" si="75"/>
        <v>August</v>
      </c>
      <c r="F250" s="59" t="str">
        <f t="shared" si="76"/>
        <v>2021</v>
      </c>
      <c r="G250" s="59" t="str">
        <f t="shared" si="86"/>
        <v>Week_35</v>
      </c>
      <c r="H250" s="59" t="str">
        <f t="shared" si="87"/>
        <v>August 2021</v>
      </c>
      <c r="I250" s="59" t="str">
        <f t="shared" si="88"/>
        <v>Week_35</v>
      </c>
      <c r="J250" s="60">
        <f t="shared" si="77"/>
        <v>44437</v>
      </c>
      <c r="K250" s="59">
        <f t="shared" si="89"/>
        <v>35</v>
      </c>
      <c r="L250" s="59">
        <f t="shared" si="78"/>
        <v>35</v>
      </c>
      <c r="M250" s="59" t="str">
        <f t="shared" si="79"/>
        <v>Week_</v>
      </c>
      <c r="N250" s="59" t="str">
        <f t="shared" si="80"/>
        <v>Week_35</v>
      </c>
      <c r="O250" s="59">
        <f t="shared" si="90"/>
        <v>0</v>
      </c>
      <c r="P250" s="59" t="str">
        <f t="shared" si="91"/>
        <v/>
      </c>
      <c r="Q250" s="59" t="str">
        <f t="shared" si="81"/>
        <v/>
      </c>
      <c r="R250" s="59" t="str">
        <f t="shared" si="82"/>
        <v>August 2021</v>
      </c>
      <c r="S250" s="61">
        <f t="shared" si="83"/>
        <v>44437</v>
      </c>
      <c r="Z250" s="62">
        <f t="shared" si="84"/>
        <v>44437</v>
      </c>
      <c r="AA250" s="63" t="s">
        <v>253</v>
      </c>
    </row>
    <row r="251" spans="2:27" x14ac:dyDescent="0.2">
      <c r="B251" s="58">
        <f t="shared" si="85"/>
        <v>44438</v>
      </c>
      <c r="C251" s="59" t="str">
        <f t="shared" si="73"/>
        <v>30</v>
      </c>
      <c r="D251" s="59" t="str">
        <f t="shared" si="74"/>
        <v>Monday</v>
      </c>
      <c r="E251" s="59" t="str">
        <f t="shared" si="75"/>
        <v>August</v>
      </c>
      <c r="F251" s="59" t="str">
        <f t="shared" si="76"/>
        <v>2021</v>
      </c>
      <c r="G251" s="59" t="str">
        <f t="shared" si="86"/>
        <v>Week_36</v>
      </c>
      <c r="H251" s="59" t="str">
        <f t="shared" si="87"/>
        <v>August 2021</v>
      </c>
      <c r="I251" s="59" t="str">
        <f t="shared" si="88"/>
        <v>Start WeekWeek_36</v>
      </c>
      <c r="J251" s="60">
        <f t="shared" si="77"/>
        <v>44438</v>
      </c>
      <c r="K251" s="59">
        <f t="shared" si="89"/>
        <v>36</v>
      </c>
      <c r="L251" s="59">
        <f t="shared" si="78"/>
        <v>36</v>
      </c>
      <c r="M251" s="59" t="str">
        <f t="shared" si="79"/>
        <v>Week_</v>
      </c>
      <c r="N251" s="59" t="str">
        <f t="shared" si="80"/>
        <v>Week_36</v>
      </c>
      <c r="O251" s="59">
        <f t="shared" si="90"/>
        <v>1</v>
      </c>
      <c r="P251" s="59" t="str">
        <f t="shared" si="91"/>
        <v>Start Week</v>
      </c>
      <c r="Q251" s="59" t="str">
        <f t="shared" si="81"/>
        <v/>
      </c>
      <c r="R251" s="59" t="str">
        <f t="shared" si="82"/>
        <v>August 2021</v>
      </c>
      <c r="S251" s="61">
        <f t="shared" si="83"/>
        <v>44438</v>
      </c>
      <c r="Z251" s="62">
        <f t="shared" si="84"/>
        <v>44438</v>
      </c>
      <c r="AA251" s="63" t="s">
        <v>253</v>
      </c>
    </row>
    <row r="252" spans="2:27" x14ac:dyDescent="0.2">
      <c r="B252" s="58">
        <f t="shared" si="85"/>
        <v>44439</v>
      </c>
      <c r="C252" s="59" t="str">
        <f t="shared" si="73"/>
        <v>31</v>
      </c>
      <c r="D252" s="59" t="str">
        <f t="shared" si="74"/>
        <v>Tuesday</v>
      </c>
      <c r="E252" s="59" t="str">
        <f t="shared" si="75"/>
        <v>August</v>
      </c>
      <c r="F252" s="59" t="str">
        <f t="shared" si="76"/>
        <v>2021</v>
      </c>
      <c r="G252" s="59" t="str">
        <f t="shared" si="86"/>
        <v>Week_36</v>
      </c>
      <c r="H252" s="59" t="str">
        <f t="shared" si="87"/>
        <v>August 2021</v>
      </c>
      <c r="I252" s="59" t="str">
        <f t="shared" si="88"/>
        <v>Week_36</v>
      </c>
      <c r="J252" s="60">
        <f t="shared" si="77"/>
        <v>44439</v>
      </c>
      <c r="K252" s="59">
        <f t="shared" si="89"/>
        <v>36</v>
      </c>
      <c r="L252" s="59">
        <f t="shared" si="78"/>
        <v>36</v>
      </c>
      <c r="M252" s="59" t="str">
        <f t="shared" si="79"/>
        <v>Week_</v>
      </c>
      <c r="N252" s="59" t="str">
        <f t="shared" si="80"/>
        <v>Week_36</v>
      </c>
      <c r="O252" s="59">
        <f t="shared" si="90"/>
        <v>0</v>
      </c>
      <c r="P252" s="59" t="str">
        <f t="shared" si="91"/>
        <v/>
      </c>
      <c r="Q252" s="59" t="str">
        <f t="shared" si="81"/>
        <v/>
      </c>
      <c r="R252" s="59" t="str">
        <f t="shared" si="82"/>
        <v>August 2021</v>
      </c>
      <c r="S252" s="61">
        <f t="shared" si="83"/>
        <v>44439</v>
      </c>
      <c r="Z252" s="62">
        <f t="shared" si="84"/>
        <v>44439</v>
      </c>
      <c r="AA252" s="63" t="s">
        <v>253</v>
      </c>
    </row>
    <row r="253" spans="2:27" x14ac:dyDescent="0.2">
      <c r="B253" s="58">
        <f t="shared" si="85"/>
        <v>44440</v>
      </c>
      <c r="C253" s="59" t="str">
        <f t="shared" si="73"/>
        <v>01</v>
      </c>
      <c r="D253" s="59" t="str">
        <f t="shared" si="74"/>
        <v>Wednesday</v>
      </c>
      <c r="E253" s="59" t="str">
        <f t="shared" si="75"/>
        <v>September</v>
      </c>
      <c r="F253" s="59" t="str">
        <f t="shared" si="76"/>
        <v>2021</v>
      </c>
      <c r="G253" s="59" t="str">
        <f t="shared" si="86"/>
        <v>Week_36</v>
      </c>
      <c r="H253" s="59" t="str">
        <f t="shared" si="87"/>
        <v>September 2021</v>
      </c>
      <c r="I253" s="59" t="str">
        <f t="shared" si="88"/>
        <v>Week_36</v>
      </c>
      <c r="J253" s="60">
        <f t="shared" si="77"/>
        <v>44440</v>
      </c>
      <c r="K253" s="59">
        <f t="shared" si="89"/>
        <v>36</v>
      </c>
      <c r="L253" s="59">
        <f t="shared" si="78"/>
        <v>36</v>
      </c>
      <c r="M253" s="59" t="str">
        <f t="shared" si="79"/>
        <v>Week_</v>
      </c>
      <c r="N253" s="59" t="str">
        <f t="shared" si="80"/>
        <v>Week_36</v>
      </c>
      <c r="O253" s="59">
        <f t="shared" si="90"/>
        <v>0</v>
      </c>
      <c r="P253" s="59" t="str">
        <f t="shared" si="91"/>
        <v/>
      </c>
      <c r="Q253" s="59" t="str">
        <f t="shared" si="81"/>
        <v>Start Month</v>
      </c>
      <c r="R253" s="59" t="str">
        <f t="shared" si="82"/>
        <v>Start MonthSeptember 2021</v>
      </c>
      <c r="S253" s="61">
        <f t="shared" si="83"/>
        <v>44440</v>
      </c>
      <c r="Z253" s="62">
        <f t="shared" si="84"/>
        <v>44440</v>
      </c>
      <c r="AA253" s="63" t="s">
        <v>253</v>
      </c>
    </row>
    <row r="254" spans="2:27" x14ac:dyDescent="0.2">
      <c r="B254" s="58">
        <f t="shared" si="85"/>
        <v>44441</v>
      </c>
      <c r="C254" s="59" t="str">
        <f t="shared" si="73"/>
        <v>02</v>
      </c>
      <c r="D254" s="59" t="str">
        <f t="shared" si="74"/>
        <v>Thursday</v>
      </c>
      <c r="E254" s="59" t="str">
        <f t="shared" si="75"/>
        <v>September</v>
      </c>
      <c r="F254" s="59" t="str">
        <f t="shared" si="76"/>
        <v>2021</v>
      </c>
      <c r="G254" s="59" t="str">
        <f t="shared" si="86"/>
        <v>Week_36</v>
      </c>
      <c r="H254" s="59" t="str">
        <f t="shared" si="87"/>
        <v>September 2021</v>
      </c>
      <c r="I254" s="59" t="str">
        <f t="shared" si="88"/>
        <v>Week_36</v>
      </c>
      <c r="J254" s="60">
        <f t="shared" si="77"/>
        <v>44441</v>
      </c>
      <c r="K254" s="59">
        <f t="shared" si="89"/>
        <v>36</v>
      </c>
      <c r="L254" s="59">
        <f t="shared" si="78"/>
        <v>36</v>
      </c>
      <c r="M254" s="59" t="str">
        <f t="shared" si="79"/>
        <v>Week_</v>
      </c>
      <c r="N254" s="59" t="str">
        <f t="shared" si="80"/>
        <v>Week_36</v>
      </c>
      <c r="O254" s="59">
        <f t="shared" si="90"/>
        <v>0</v>
      </c>
      <c r="P254" s="59" t="str">
        <f t="shared" si="91"/>
        <v/>
      </c>
      <c r="Q254" s="59" t="str">
        <f t="shared" si="81"/>
        <v/>
      </c>
      <c r="R254" s="59" t="str">
        <f t="shared" si="82"/>
        <v>September 2021</v>
      </c>
      <c r="S254" s="61">
        <f t="shared" si="83"/>
        <v>44441</v>
      </c>
      <c r="Z254" s="62">
        <f t="shared" si="84"/>
        <v>44441</v>
      </c>
      <c r="AA254" s="63" t="s">
        <v>253</v>
      </c>
    </row>
    <row r="255" spans="2:27" x14ac:dyDescent="0.2">
      <c r="B255" s="58">
        <f t="shared" si="85"/>
        <v>44442</v>
      </c>
      <c r="C255" s="59" t="str">
        <f t="shared" si="73"/>
        <v>03</v>
      </c>
      <c r="D255" s="59" t="str">
        <f t="shared" si="74"/>
        <v>Friday</v>
      </c>
      <c r="E255" s="59" t="str">
        <f t="shared" si="75"/>
        <v>September</v>
      </c>
      <c r="F255" s="59" t="str">
        <f t="shared" si="76"/>
        <v>2021</v>
      </c>
      <c r="G255" s="59" t="str">
        <f t="shared" si="86"/>
        <v>Week_36</v>
      </c>
      <c r="H255" s="59" t="str">
        <f t="shared" si="87"/>
        <v>September 2021</v>
      </c>
      <c r="I255" s="59" t="str">
        <f t="shared" si="88"/>
        <v>Week_36</v>
      </c>
      <c r="J255" s="60">
        <f t="shared" si="77"/>
        <v>44442</v>
      </c>
      <c r="K255" s="59">
        <f t="shared" si="89"/>
        <v>36</v>
      </c>
      <c r="L255" s="59">
        <f t="shared" si="78"/>
        <v>36</v>
      </c>
      <c r="M255" s="59" t="str">
        <f t="shared" si="79"/>
        <v>Week_</v>
      </c>
      <c r="N255" s="59" t="str">
        <f t="shared" si="80"/>
        <v>Week_36</v>
      </c>
      <c r="O255" s="59">
        <f t="shared" si="90"/>
        <v>0</v>
      </c>
      <c r="P255" s="59" t="str">
        <f t="shared" si="91"/>
        <v/>
      </c>
      <c r="Q255" s="59" t="str">
        <f t="shared" si="81"/>
        <v/>
      </c>
      <c r="R255" s="59" t="str">
        <f t="shared" si="82"/>
        <v>September 2021</v>
      </c>
      <c r="S255" s="61">
        <f t="shared" si="83"/>
        <v>44442</v>
      </c>
      <c r="Z255" s="62">
        <f t="shared" si="84"/>
        <v>44442</v>
      </c>
      <c r="AA255" s="63" t="s">
        <v>253</v>
      </c>
    </row>
    <row r="256" spans="2:27" x14ac:dyDescent="0.2">
      <c r="B256" s="58">
        <f t="shared" si="85"/>
        <v>44443</v>
      </c>
      <c r="C256" s="59" t="str">
        <f t="shared" si="73"/>
        <v>04</v>
      </c>
      <c r="D256" s="59" t="str">
        <f t="shared" si="74"/>
        <v>Saturday</v>
      </c>
      <c r="E256" s="59" t="str">
        <f t="shared" si="75"/>
        <v>September</v>
      </c>
      <c r="F256" s="59" t="str">
        <f t="shared" si="76"/>
        <v>2021</v>
      </c>
      <c r="G256" s="59" t="str">
        <f t="shared" si="86"/>
        <v>Week_36</v>
      </c>
      <c r="H256" s="59" t="str">
        <f t="shared" si="87"/>
        <v>September 2021</v>
      </c>
      <c r="I256" s="59" t="str">
        <f t="shared" si="88"/>
        <v>Week_36</v>
      </c>
      <c r="J256" s="60">
        <f t="shared" si="77"/>
        <v>44443</v>
      </c>
      <c r="K256" s="59">
        <f t="shared" si="89"/>
        <v>36</v>
      </c>
      <c r="L256" s="59">
        <f t="shared" si="78"/>
        <v>36</v>
      </c>
      <c r="M256" s="59" t="str">
        <f t="shared" si="79"/>
        <v>Week_</v>
      </c>
      <c r="N256" s="59" t="str">
        <f t="shared" si="80"/>
        <v>Week_36</v>
      </c>
      <c r="O256" s="59">
        <f t="shared" si="90"/>
        <v>0</v>
      </c>
      <c r="P256" s="59" t="str">
        <f t="shared" si="91"/>
        <v/>
      </c>
      <c r="Q256" s="59" t="str">
        <f t="shared" si="81"/>
        <v/>
      </c>
      <c r="R256" s="59" t="str">
        <f t="shared" si="82"/>
        <v>September 2021</v>
      </c>
      <c r="S256" s="61">
        <f t="shared" si="83"/>
        <v>44443</v>
      </c>
      <c r="Z256" s="62">
        <f t="shared" si="84"/>
        <v>44443</v>
      </c>
      <c r="AA256" s="63" t="s">
        <v>253</v>
      </c>
    </row>
    <row r="257" spans="2:27" x14ac:dyDescent="0.2">
      <c r="B257" s="58">
        <f t="shared" si="85"/>
        <v>44444</v>
      </c>
      <c r="C257" s="59" t="str">
        <f t="shared" si="73"/>
        <v>05</v>
      </c>
      <c r="D257" s="59" t="str">
        <f t="shared" si="74"/>
        <v>Sunday</v>
      </c>
      <c r="E257" s="59" t="str">
        <f t="shared" si="75"/>
        <v>September</v>
      </c>
      <c r="F257" s="59" t="str">
        <f t="shared" si="76"/>
        <v>2021</v>
      </c>
      <c r="G257" s="59" t="str">
        <f t="shared" si="86"/>
        <v>Week_36</v>
      </c>
      <c r="H257" s="59" t="str">
        <f t="shared" si="87"/>
        <v>September 2021</v>
      </c>
      <c r="I257" s="59" t="str">
        <f t="shared" si="88"/>
        <v>Week_36</v>
      </c>
      <c r="J257" s="60">
        <f t="shared" si="77"/>
        <v>44444</v>
      </c>
      <c r="K257" s="59">
        <f t="shared" si="89"/>
        <v>36</v>
      </c>
      <c r="L257" s="59">
        <f t="shared" si="78"/>
        <v>36</v>
      </c>
      <c r="M257" s="59" t="str">
        <f t="shared" si="79"/>
        <v>Week_</v>
      </c>
      <c r="N257" s="59" t="str">
        <f t="shared" si="80"/>
        <v>Week_36</v>
      </c>
      <c r="O257" s="59">
        <f t="shared" si="90"/>
        <v>0</v>
      </c>
      <c r="P257" s="59" t="str">
        <f t="shared" si="91"/>
        <v/>
      </c>
      <c r="Q257" s="59" t="str">
        <f t="shared" si="81"/>
        <v/>
      </c>
      <c r="R257" s="59" t="str">
        <f t="shared" si="82"/>
        <v>September 2021</v>
      </c>
      <c r="S257" s="61">
        <f t="shared" si="83"/>
        <v>44444</v>
      </c>
      <c r="Z257" s="62">
        <f t="shared" si="84"/>
        <v>44444</v>
      </c>
      <c r="AA257" s="63" t="s">
        <v>253</v>
      </c>
    </row>
    <row r="258" spans="2:27" x14ac:dyDescent="0.2">
      <c r="B258" s="58">
        <f t="shared" si="85"/>
        <v>44445</v>
      </c>
      <c r="C258" s="59" t="str">
        <f t="shared" si="73"/>
        <v>06</v>
      </c>
      <c r="D258" s="59" t="str">
        <f t="shared" si="74"/>
        <v>Monday</v>
      </c>
      <c r="E258" s="59" t="str">
        <f t="shared" si="75"/>
        <v>September</v>
      </c>
      <c r="F258" s="59" t="str">
        <f t="shared" si="76"/>
        <v>2021</v>
      </c>
      <c r="G258" s="59" t="str">
        <f t="shared" si="86"/>
        <v>Week_37</v>
      </c>
      <c r="H258" s="59" t="str">
        <f t="shared" si="87"/>
        <v>September 2021</v>
      </c>
      <c r="I258" s="59" t="str">
        <f t="shared" si="88"/>
        <v>Start WeekWeek_37</v>
      </c>
      <c r="J258" s="60">
        <f t="shared" si="77"/>
        <v>44445</v>
      </c>
      <c r="K258" s="59">
        <f t="shared" si="89"/>
        <v>37</v>
      </c>
      <c r="L258" s="59">
        <f t="shared" si="78"/>
        <v>37</v>
      </c>
      <c r="M258" s="59" t="str">
        <f t="shared" si="79"/>
        <v>Week_</v>
      </c>
      <c r="N258" s="59" t="str">
        <f t="shared" si="80"/>
        <v>Week_37</v>
      </c>
      <c r="O258" s="59">
        <f t="shared" si="90"/>
        <v>1</v>
      </c>
      <c r="P258" s="59" t="str">
        <f t="shared" si="91"/>
        <v>Start Week</v>
      </c>
      <c r="Q258" s="59" t="str">
        <f t="shared" si="81"/>
        <v/>
      </c>
      <c r="R258" s="59" t="str">
        <f t="shared" si="82"/>
        <v>September 2021</v>
      </c>
      <c r="S258" s="61">
        <f t="shared" si="83"/>
        <v>44445</v>
      </c>
      <c r="Z258" s="62">
        <f t="shared" si="84"/>
        <v>44445</v>
      </c>
      <c r="AA258" s="63" t="s">
        <v>253</v>
      </c>
    </row>
    <row r="259" spans="2:27" x14ac:dyDescent="0.2">
      <c r="B259" s="58">
        <f t="shared" si="85"/>
        <v>44446</v>
      </c>
      <c r="C259" s="59" t="str">
        <f t="shared" si="73"/>
        <v>07</v>
      </c>
      <c r="D259" s="59" t="str">
        <f t="shared" si="74"/>
        <v>Tuesday</v>
      </c>
      <c r="E259" s="59" t="str">
        <f t="shared" si="75"/>
        <v>September</v>
      </c>
      <c r="F259" s="59" t="str">
        <f t="shared" si="76"/>
        <v>2021</v>
      </c>
      <c r="G259" s="59" t="str">
        <f t="shared" si="86"/>
        <v>Week_37</v>
      </c>
      <c r="H259" s="59" t="str">
        <f t="shared" si="87"/>
        <v>September 2021</v>
      </c>
      <c r="I259" s="59" t="str">
        <f t="shared" si="88"/>
        <v>Week_37</v>
      </c>
      <c r="J259" s="60">
        <f t="shared" si="77"/>
        <v>44446</v>
      </c>
      <c r="K259" s="59">
        <f t="shared" si="89"/>
        <v>37</v>
      </c>
      <c r="L259" s="59">
        <f t="shared" si="78"/>
        <v>37</v>
      </c>
      <c r="M259" s="59" t="str">
        <f t="shared" si="79"/>
        <v>Week_</v>
      </c>
      <c r="N259" s="59" t="str">
        <f t="shared" si="80"/>
        <v>Week_37</v>
      </c>
      <c r="O259" s="59">
        <f t="shared" si="90"/>
        <v>0</v>
      </c>
      <c r="P259" s="59" t="str">
        <f t="shared" si="91"/>
        <v/>
      </c>
      <c r="Q259" s="59" t="str">
        <f t="shared" si="81"/>
        <v/>
      </c>
      <c r="R259" s="59" t="str">
        <f t="shared" si="82"/>
        <v>September 2021</v>
      </c>
      <c r="S259" s="61">
        <f t="shared" si="83"/>
        <v>44446</v>
      </c>
      <c r="Z259" s="62">
        <f t="shared" si="84"/>
        <v>44446</v>
      </c>
      <c r="AA259" s="63" t="s">
        <v>253</v>
      </c>
    </row>
    <row r="260" spans="2:27" x14ac:dyDescent="0.2">
      <c r="B260" s="58">
        <f t="shared" si="85"/>
        <v>44447</v>
      </c>
      <c r="C260" s="59" t="str">
        <f t="shared" si="73"/>
        <v>08</v>
      </c>
      <c r="D260" s="59" t="str">
        <f t="shared" si="74"/>
        <v>Wednesday</v>
      </c>
      <c r="E260" s="59" t="str">
        <f t="shared" si="75"/>
        <v>September</v>
      </c>
      <c r="F260" s="59" t="str">
        <f t="shared" si="76"/>
        <v>2021</v>
      </c>
      <c r="G260" s="59" t="str">
        <f t="shared" si="86"/>
        <v>Week_37</v>
      </c>
      <c r="H260" s="59" t="str">
        <f t="shared" si="87"/>
        <v>September 2021</v>
      </c>
      <c r="I260" s="59" t="str">
        <f t="shared" si="88"/>
        <v>Week_37</v>
      </c>
      <c r="J260" s="60">
        <f t="shared" si="77"/>
        <v>44447</v>
      </c>
      <c r="K260" s="59">
        <f t="shared" si="89"/>
        <v>37</v>
      </c>
      <c r="L260" s="59">
        <f t="shared" si="78"/>
        <v>37</v>
      </c>
      <c r="M260" s="59" t="str">
        <f t="shared" si="79"/>
        <v>Week_</v>
      </c>
      <c r="N260" s="59" t="str">
        <f t="shared" si="80"/>
        <v>Week_37</v>
      </c>
      <c r="O260" s="59">
        <f t="shared" si="90"/>
        <v>0</v>
      </c>
      <c r="P260" s="59" t="str">
        <f t="shared" si="91"/>
        <v/>
      </c>
      <c r="Q260" s="59" t="str">
        <f t="shared" si="81"/>
        <v/>
      </c>
      <c r="R260" s="59" t="str">
        <f t="shared" si="82"/>
        <v>September 2021</v>
      </c>
      <c r="S260" s="61">
        <f t="shared" si="83"/>
        <v>44447</v>
      </c>
      <c r="Z260" s="62">
        <f t="shared" si="84"/>
        <v>44447</v>
      </c>
      <c r="AA260" s="63" t="s">
        <v>253</v>
      </c>
    </row>
    <row r="261" spans="2:27" x14ac:dyDescent="0.2">
      <c r="B261" s="58">
        <f t="shared" si="85"/>
        <v>44448</v>
      </c>
      <c r="C261" s="59" t="str">
        <f t="shared" si="73"/>
        <v>09</v>
      </c>
      <c r="D261" s="59" t="str">
        <f t="shared" si="74"/>
        <v>Thursday</v>
      </c>
      <c r="E261" s="59" t="str">
        <f t="shared" si="75"/>
        <v>September</v>
      </c>
      <c r="F261" s="59" t="str">
        <f t="shared" si="76"/>
        <v>2021</v>
      </c>
      <c r="G261" s="59" t="str">
        <f t="shared" si="86"/>
        <v>Week_37</v>
      </c>
      <c r="H261" s="59" t="str">
        <f t="shared" si="87"/>
        <v>September 2021</v>
      </c>
      <c r="I261" s="59" t="str">
        <f t="shared" si="88"/>
        <v>Week_37</v>
      </c>
      <c r="J261" s="60">
        <f t="shared" si="77"/>
        <v>44448</v>
      </c>
      <c r="K261" s="59">
        <f t="shared" si="89"/>
        <v>37</v>
      </c>
      <c r="L261" s="59">
        <f t="shared" si="78"/>
        <v>37</v>
      </c>
      <c r="M261" s="59" t="str">
        <f t="shared" si="79"/>
        <v>Week_</v>
      </c>
      <c r="N261" s="59" t="str">
        <f t="shared" si="80"/>
        <v>Week_37</v>
      </c>
      <c r="O261" s="59">
        <f t="shared" si="90"/>
        <v>0</v>
      </c>
      <c r="P261" s="59" t="str">
        <f t="shared" si="91"/>
        <v/>
      </c>
      <c r="Q261" s="59" t="str">
        <f t="shared" si="81"/>
        <v/>
      </c>
      <c r="R261" s="59" t="str">
        <f t="shared" si="82"/>
        <v>September 2021</v>
      </c>
      <c r="S261" s="61">
        <f t="shared" si="83"/>
        <v>44448</v>
      </c>
      <c r="Z261" s="62">
        <f t="shared" si="84"/>
        <v>44448</v>
      </c>
      <c r="AA261" s="63" t="s">
        <v>253</v>
      </c>
    </row>
    <row r="262" spans="2:27" x14ac:dyDescent="0.2">
      <c r="B262" s="58">
        <f t="shared" si="85"/>
        <v>44449</v>
      </c>
      <c r="C262" s="59" t="str">
        <f t="shared" si="73"/>
        <v>10</v>
      </c>
      <c r="D262" s="59" t="str">
        <f t="shared" si="74"/>
        <v>Friday</v>
      </c>
      <c r="E262" s="59" t="str">
        <f t="shared" si="75"/>
        <v>September</v>
      </c>
      <c r="F262" s="59" t="str">
        <f t="shared" si="76"/>
        <v>2021</v>
      </c>
      <c r="G262" s="59" t="str">
        <f t="shared" si="86"/>
        <v>Week_37</v>
      </c>
      <c r="H262" s="59" t="str">
        <f t="shared" si="87"/>
        <v>September 2021</v>
      </c>
      <c r="I262" s="59" t="str">
        <f t="shared" si="88"/>
        <v>Week_37</v>
      </c>
      <c r="J262" s="60">
        <f t="shared" si="77"/>
        <v>44449</v>
      </c>
      <c r="K262" s="59">
        <f t="shared" si="89"/>
        <v>37</v>
      </c>
      <c r="L262" s="59">
        <f t="shared" si="78"/>
        <v>37</v>
      </c>
      <c r="M262" s="59" t="str">
        <f t="shared" si="79"/>
        <v>Week_</v>
      </c>
      <c r="N262" s="59" t="str">
        <f t="shared" si="80"/>
        <v>Week_37</v>
      </c>
      <c r="O262" s="59">
        <f t="shared" si="90"/>
        <v>0</v>
      </c>
      <c r="P262" s="59" t="str">
        <f t="shared" si="91"/>
        <v/>
      </c>
      <c r="Q262" s="59" t="str">
        <f t="shared" si="81"/>
        <v/>
      </c>
      <c r="R262" s="59" t="str">
        <f t="shared" si="82"/>
        <v>September 2021</v>
      </c>
      <c r="S262" s="61">
        <f t="shared" si="83"/>
        <v>44449</v>
      </c>
      <c r="Z262" s="62">
        <f t="shared" si="84"/>
        <v>44449</v>
      </c>
      <c r="AA262" s="63" t="s">
        <v>253</v>
      </c>
    </row>
    <row r="263" spans="2:27" x14ac:dyDescent="0.2">
      <c r="B263" s="58">
        <f t="shared" si="85"/>
        <v>44450</v>
      </c>
      <c r="C263" s="59" t="str">
        <f t="shared" si="73"/>
        <v>11</v>
      </c>
      <c r="D263" s="59" t="str">
        <f t="shared" si="74"/>
        <v>Saturday</v>
      </c>
      <c r="E263" s="59" t="str">
        <f t="shared" si="75"/>
        <v>September</v>
      </c>
      <c r="F263" s="59" t="str">
        <f t="shared" si="76"/>
        <v>2021</v>
      </c>
      <c r="G263" s="59" t="str">
        <f t="shared" si="86"/>
        <v>Week_37</v>
      </c>
      <c r="H263" s="59" t="str">
        <f t="shared" si="87"/>
        <v>September 2021</v>
      </c>
      <c r="I263" s="59" t="str">
        <f t="shared" si="88"/>
        <v>Week_37</v>
      </c>
      <c r="J263" s="60">
        <f t="shared" si="77"/>
        <v>44450</v>
      </c>
      <c r="K263" s="59">
        <f t="shared" si="89"/>
        <v>37</v>
      </c>
      <c r="L263" s="59">
        <f t="shared" si="78"/>
        <v>37</v>
      </c>
      <c r="M263" s="59" t="str">
        <f t="shared" si="79"/>
        <v>Week_</v>
      </c>
      <c r="N263" s="59" t="str">
        <f t="shared" si="80"/>
        <v>Week_37</v>
      </c>
      <c r="O263" s="59">
        <f t="shared" si="90"/>
        <v>0</v>
      </c>
      <c r="P263" s="59" t="str">
        <f t="shared" si="91"/>
        <v/>
      </c>
      <c r="Q263" s="59" t="str">
        <f t="shared" si="81"/>
        <v/>
      </c>
      <c r="R263" s="59" t="str">
        <f t="shared" si="82"/>
        <v>September 2021</v>
      </c>
      <c r="S263" s="61">
        <f t="shared" si="83"/>
        <v>44450</v>
      </c>
      <c r="Z263" s="62">
        <f t="shared" si="84"/>
        <v>44450</v>
      </c>
      <c r="AA263" s="63" t="s">
        <v>253</v>
      </c>
    </row>
    <row r="264" spans="2:27" x14ac:dyDescent="0.2">
      <c r="B264" s="58">
        <f t="shared" si="85"/>
        <v>44451</v>
      </c>
      <c r="C264" s="59" t="str">
        <f t="shared" si="73"/>
        <v>12</v>
      </c>
      <c r="D264" s="59" t="str">
        <f t="shared" si="74"/>
        <v>Sunday</v>
      </c>
      <c r="E264" s="59" t="str">
        <f t="shared" si="75"/>
        <v>September</v>
      </c>
      <c r="F264" s="59" t="str">
        <f t="shared" si="76"/>
        <v>2021</v>
      </c>
      <c r="G264" s="59" t="str">
        <f t="shared" si="86"/>
        <v>Week_37</v>
      </c>
      <c r="H264" s="59" t="str">
        <f t="shared" si="87"/>
        <v>September 2021</v>
      </c>
      <c r="I264" s="59" t="str">
        <f t="shared" si="88"/>
        <v>Week_37</v>
      </c>
      <c r="J264" s="60">
        <f t="shared" si="77"/>
        <v>44451</v>
      </c>
      <c r="K264" s="59">
        <f t="shared" si="89"/>
        <v>37</v>
      </c>
      <c r="L264" s="59">
        <f t="shared" si="78"/>
        <v>37</v>
      </c>
      <c r="M264" s="59" t="str">
        <f t="shared" si="79"/>
        <v>Week_</v>
      </c>
      <c r="N264" s="59" t="str">
        <f t="shared" si="80"/>
        <v>Week_37</v>
      </c>
      <c r="O264" s="59">
        <f t="shared" si="90"/>
        <v>0</v>
      </c>
      <c r="P264" s="59" t="str">
        <f t="shared" si="91"/>
        <v/>
      </c>
      <c r="Q264" s="59" t="str">
        <f t="shared" si="81"/>
        <v/>
      </c>
      <c r="R264" s="59" t="str">
        <f t="shared" si="82"/>
        <v>September 2021</v>
      </c>
      <c r="S264" s="61">
        <f t="shared" si="83"/>
        <v>44451</v>
      </c>
      <c r="Z264" s="62">
        <f t="shared" si="84"/>
        <v>44451</v>
      </c>
      <c r="AA264" s="63" t="s">
        <v>253</v>
      </c>
    </row>
    <row r="265" spans="2:27" x14ac:dyDescent="0.2">
      <c r="B265" s="58">
        <f t="shared" si="85"/>
        <v>44452</v>
      </c>
      <c r="C265" s="59" t="str">
        <f t="shared" si="73"/>
        <v>13</v>
      </c>
      <c r="D265" s="59" t="str">
        <f t="shared" si="74"/>
        <v>Monday</v>
      </c>
      <c r="E265" s="59" t="str">
        <f t="shared" si="75"/>
        <v>September</v>
      </c>
      <c r="F265" s="59" t="str">
        <f t="shared" si="76"/>
        <v>2021</v>
      </c>
      <c r="G265" s="59" t="str">
        <f t="shared" si="86"/>
        <v>Week_38</v>
      </c>
      <c r="H265" s="59" t="str">
        <f t="shared" si="87"/>
        <v>September 2021</v>
      </c>
      <c r="I265" s="59" t="str">
        <f t="shared" si="88"/>
        <v>Start WeekWeek_38</v>
      </c>
      <c r="J265" s="60">
        <f t="shared" si="77"/>
        <v>44452</v>
      </c>
      <c r="K265" s="59">
        <f t="shared" si="89"/>
        <v>38</v>
      </c>
      <c r="L265" s="59">
        <f t="shared" si="78"/>
        <v>38</v>
      </c>
      <c r="M265" s="59" t="str">
        <f t="shared" si="79"/>
        <v>Week_</v>
      </c>
      <c r="N265" s="59" t="str">
        <f t="shared" si="80"/>
        <v>Week_38</v>
      </c>
      <c r="O265" s="59">
        <f t="shared" si="90"/>
        <v>1</v>
      </c>
      <c r="P265" s="59" t="str">
        <f t="shared" si="91"/>
        <v>Start Week</v>
      </c>
      <c r="Q265" s="59" t="str">
        <f t="shared" si="81"/>
        <v/>
      </c>
      <c r="R265" s="59" t="str">
        <f t="shared" si="82"/>
        <v>September 2021</v>
      </c>
      <c r="S265" s="61">
        <f t="shared" si="83"/>
        <v>44452</v>
      </c>
      <c r="Z265" s="62">
        <f t="shared" si="84"/>
        <v>44452</v>
      </c>
      <c r="AA265" s="63" t="s">
        <v>253</v>
      </c>
    </row>
    <row r="266" spans="2:27" x14ac:dyDescent="0.2">
      <c r="B266" s="58">
        <f t="shared" si="85"/>
        <v>44453</v>
      </c>
      <c r="C266" s="59" t="str">
        <f t="shared" ref="C266:C329" si="92">IF($B266="","",TEXT($B266,"dd"))</f>
        <v>14</v>
      </c>
      <c r="D266" s="59" t="str">
        <f t="shared" ref="D266:D329" si="93">IF($B266="","",TEXT($B266,"dddd"))</f>
        <v>Tuesday</v>
      </c>
      <c r="E266" s="59" t="str">
        <f t="shared" ref="E266:E329" si="94">IF($B266="","",TEXT($B266,"mmmm"))</f>
        <v>September</v>
      </c>
      <c r="F266" s="59" t="str">
        <f t="shared" ref="F266:F329" si="95">IF($B266="","",TEXT($B266,"yyyy"))</f>
        <v>2021</v>
      </c>
      <c r="G266" s="59" t="str">
        <f t="shared" si="86"/>
        <v>Week_38</v>
      </c>
      <c r="H266" s="59" t="str">
        <f t="shared" si="87"/>
        <v>September 2021</v>
      </c>
      <c r="I266" s="59" t="str">
        <f t="shared" si="88"/>
        <v>Week_38</v>
      </c>
      <c r="J266" s="60">
        <f t="shared" ref="J266:J329" si="96">+B266</f>
        <v>44453</v>
      </c>
      <c r="K266" s="59">
        <f t="shared" si="89"/>
        <v>38</v>
      </c>
      <c r="L266" s="59">
        <f t="shared" ref="L266:L329" si="97">IF(K266=1,"01",IF(K266=2,"02",IF(K266=3,"03",IF(K266=4,"04",IF(K266=5,"05",IF(K266=6,"06",IF(K266=7,"07",IF(K266=8,"08",IF(K266=9,"09",K266)))))))))</f>
        <v>38</v>
      </c>
      <c r="M266" s="59" t="str">
        <f t="shared" ref="M266:M329" si="98">IF(K266="","","Week_")</f>
        <v>Week_</v>
      </c>
      <c r="N266" s="59" t="str">
        <f t="shared" ref="N266:N329" si="99">CONCATENATE(M266,L266)</f>
        <v>Week_38</v>
      </c>
      <c r="O266" s="59">
        <f t="shared" si="90"/>
        <v>0</v>
      </c>
      <c r="P266" s="59" t="str">
        <f t="shared" si="91"/>
        <v/>
      </c>
      <c r="Q266" s="59" t="str">
        <f t="shared" ref="Q266:Q329" si="100">IF(C266="01","Start Month","")</f>
        <v/>
      </c>
      <c r="R266" s="59" t="str">
        <f t="shared" ref="R266:R329" si="101">+Q266&amp;H266</f>
        <v>September 2021</v>
      </c>
      <c r="S266" s="61">
        <f t="shared" ref="S266:S329" si="102">+B266</f>
        <v>44453</v>
      </c>
      <c r="Z266" s="62">
        <f t="shared" ref="Z266:Z329" si="103">+B266</f>
        <v>44453</v>
      </c>
      <c r="AA266" s="63" t="s">
        <v>253</v>
      </c>
    </row>
    <row r="267" spans="2:27" x14ac:dyDescent="0.2">
      <c r="B267" s="58">
        <f t="shared" ref="B267:B330" si="104">1+B266</f>
        <v>44454</v>
      </c>
      <c r="C267" s="59" t="str">
        <f t="shared" si="92"/>
        <v>15</v>
      </c>
      <c r="D267" s="59" t="str">
        <f t="shared" si="93"/>
        <v>Wednesday</v>
      </c>
      <c r="E267" s="59" t="str">
        <f t="shared" si="94"/>
        <v>September</v>
      </c>
      <c r="F267" s="59" t="str">
        <f t="shared" si="95"/>
        <v>2021</v>
      </c>
      <c r="G267" s="59" t="str">
        <f t="shared" ref="G267:G330" si="105">+N267</f>
        <v>Week_38</v>
      </c>
      <c r="H267" s="59" t="str">
        <f t="shared" ref="H267:H330" si="106">E267&amp;" "&amp;F267</f>
        <v>September 2021</v>
      </c>
      <c r="I267" s="59" t="str">
        <f t="shared" ref="I267:I330" si="107">+P267&amp;N267</f>
        <v>Week_38</v>
      </c>
      <c r="J267" s="60">
        <f t="shared" si="96"/>
        <v>44454</v>
      </c>
      <c r="K267" s="59">
        <f t="shared" ref="K267:K330" si="108">IF($D267=$C$3,K266+1,K266)</f>
        <v>38</v>
      </c>
      <c r="L267" s="59">
        <f t="shared" si="97"/>
        <v>38</v>
      </c>
      <c r="M267" s="59" t="str">
        <f t="shared" si="98"/>
        <v>Week_</v>
      </c>
      <c r="N267" s="59" t="str">
        <f t="shared" si="99"/>
        <v>Week_38</v>
      </c>
      <c r="O267" s="59">
        <f t="shared" ref="O267:O330" si="109">K267-K266</f>
        <v>0</v>
      </c>
      <c r="P267" s="59" t="str">
        <f t="shared" ref="P267:P330" si="110">IF(O267=1,"Start Week","")</f>
        <v/>
      </c>
      <c r="Q267" s="59" t="str">
        <f t="shared" si="100"/>
        <v/>
      </c>
      <c r="R267" s="59" t="str">
        <f t="shared" si="101"/>
        <v>September 2021</v>
      </c>
      <c r="S267" s="61">
        <f t="shared" si="102"/>
        <v>44454</v>
      </c>
      <c r="Z267" s="62">
        <f t="shared" si="103"/>
        <v>44454</v>
      </c>
      <c r="AA267" s="63" t="s">
        <v>253</v>
      </c>
    </row>
    <row r="268" spans="2:27" x14ac:dyDescent="0.2">
      <c r="B268" s="58">
        <f t="shared" si="104"/>
        <v>44455</v>
      </c>
      <c r="C268" s="59" t="str">
        <f t="shared" si="92"/>
        <v>16</v>
      </c>
      <c r="D268" s="59" t="str">
        <f t="shared" si="93"/>
        <v>Thursday</v>
      </c>
      <c r="E268" s="59" t="str">
        <f t="shared" si="94"/>
        <v>September</v>
      </c>
      <c r="F268" s="59" t="str">
        <f t="shared" si="95"/>
        <v>2021</v>
      </c>
      <c r="G268" s="59" t="str">
        <f t="shared" si="105"/>
        <v>Week_38</v>
      </c>
      <c r="H268" s="59" t="str">
        <f t="shared" si="106"/>
        <v>September 2021</v>
      </c>
      <c r="I268" s="59" t="str">
        <f t="shared" si="107"/>
        <v>Week_38</v>
      </c>
      <c r="J268" s="60">
        <f t="shared" si="96"/>
        <v>44455</v>
      </c>
      <c r="K268" s="59">
        <f t="shared" si="108"/>
        <v>38</v>
      </c>
      <c r="L268" s="59">
        <f t="shared" si="97"/>
        <v>38</v>
      </c>
      <c r="M268" s="59" t="str">
        <f t="shared" si="98"/>
        <v>Week_</v>
      </c>
      <c r="N268" s="59" t="str">
        <f t="shared" si="99"/>
        <v>Week_38</v>
      </c>
      <c r="O268" s="59">
        <f t="shared" si="109"/>
        <v>0</v>
      </c>
      <c r="P268" s="59" t="str">
        <f t="shared" si="110"/>
        <v/>
      </c>
      <c r="Q268" s="59" t="str">
        <f t="shared" si="100"/>
        <v/>
      </c>
      <c r="R268" s="59" t="str">
        <f t="shared" si="101"/>
        <v>September 2021</v>
      </c>
      <c r="S268" s="61">
        <f t="shared" si="102"/>
        <v>44455</v>
      </c>
      <c r="Z268" s="62">
        <f t="shared" si="103"/>
        <v>44455</v>
      </c>
      <c r="AA268" s="63" t="s">
        <v>253</v>
      </c>
    </row>
    <row r="269" spans="2:27" x14ac:dyDescent="0.2">
      <c r="B269" s="58">
        <f t="shared" si="104"/>
        <v>44456</v>
      </c>
      <c r="C269" s="59" t="str">
        <f t="shared" si="92"/>
        <v>17</v>
      </c>
      <c r="D269" s="59" t="str">
        <f t="shared" si="93"/>
        <v>Friday</v>
      </c>
      <c r="E269" s="59" t="str">
        <f t="shared" si="94"/>
        <v>September</v>
      </c>
      <c r="F269" s="59" t="str">
        <f t="shared" si="95"/>
        <v>2021</v>
      </c>
      <c r="G269" s="59" t="str">
        <f t="shared" si="105"/>
        <v>Week_38</v>
      </c>
      <c r="H269" s="59" t="str">
        <f t="shared" si="106"/>
        <v>September 2021</v>
      </c>
      <c r="I269" s="59" t="str">
        <f t="shared" si="107"/>
        <v>Week_38</v>
      </c>
      <c r="J269" s="60">
        <f t="shared" si="96"/>
        <v>44456</v>
      </c>
      <c r="K269" s="59">
        <f t="shared" si="108"/>
        <v>38</v>
      </c>
      <c r="L269" s="59">
        <f t="shared" si="97"/>
        <v>38</v>
      </c>
      <c r="M269" s="59" t="str">
        <f t="shared" si="98"/>
        <v>Week_</v>
      </c>
      <c r="N269" s="59" t="str">
        <f t="shared" si="99"/>
        <v>Week_38</v>
      </c>
      <c r="O269" s="59">
        <f t="shared" si="109"/>
        <v>0</v>
      </c>
      <c r="P269" s="59" t="str">
        <f t="shared" si="110"/>
        <v/>
      </c>
      <c r="Q269" s="59" t="str">
        <f t="shared" si="100"/>
        <v/>
      </c>
      <c r="R269" s="59" t="str">
        <f t="shared" si="101"/>
        <v>September 2021</v>
      </c>
      <c r="S269" s="61">
        <f t="shared" si="102"/>
        <v>44456</v>
      </c>
      <c r="Z269" s="62">
        <f t="shared" si="103"/>
        <v>44456</v>
      </c>
      <c r="AA269" s="63" t="s">
        <v>253</v>
      </c>
    </row>
    <row r="270" spans="2:27" x14ac:dyDescent="0.2">
      <c r="B270" s="58">
        <f t="shared" si="104"/>
        <v>44457</v>
      </c>
      <c r="C270" s="59" t="str">
        <f t="shared" si="92"/>
        <v>18</v>
      </c>
      <c r="D270" s="59" t="str">
        <f t="shared" si="93"/>
        <v>Saturday</v>
      </c>
      <c r="E270" s="59" t="str">
        <f t="shared" si="94"/>
        <v>September</v>
      </c>
      <c r="F270" s="59" t="str">
        <f t="shared" si="95"/>
        <v>2021</v>
      </c>
      <c r="G270" s="59" t="str">
        <f t="shared" si="105"/>
        <v>Week_38</v>
      </c>
      <c r="H270" s="59" t="str">
        <f t="shared" si="106"/>
        <v>September 2021</v>
      </c>
      <c r="I270" s="59" t="str">
        <f t="shared" si="107"/>
        <v>Week_38</v>
      </c>
      <c r="J270" s="60">
        <f t="shared" si="96"/>
        <v>44457</v>
      </c>
      <c r="K270" s="59">
        <f t="shared" si="108"/>
        <v>38</v>
      </c>
      <c r="L270" s="59">
        <f t="shared" si="97"/>
        <v>38</v>
      </c>
      <c r="M270" s="59" t="str">
        <f t="shared" si="98"/>
        <v>Week_</v>
      </c>
      <c r="N270" s="59" t="str">
        <f t="shared" si="99"/>
        <v>Week_38</v>
      </c>
      <c r="O270" s="59">
        <f t="shared" si="109"/>
        <v>0</v>
      </c>
      <c r="P270" s="59" t="str">
        <f t="shared" si="110"/>
        <v/>
      </c>
      <c r="Q270" s="59" t="str">
        <f t="shared" si="100"/>
        <v/>
      </c>
      <c r="R270" s="59" t="str">
        <f t="shared" si="101"/>
        <v>September 2021</v>
      </c>
      <c r="S270" s="61">
        <f t="shared" si="102"/>
        <v>44457</v>
      </c>
      <c r="Z270" s="62">
        <f t="shared" si="103"/>
        <v>44457</v>
      </c>
      <c r="AA270" s="63" t="s">
        <v>253</v>
      </c>
    </row>
    <row r="271" spans="2:27" x14ac:dyDescent="0.2">
      <c r="B271" s="58">
        <f t="shared" si="104"/>
        <v>44458</v>
      </c>
      <c r="C271" s="59" t="str">
        <f t="shared" si="92"/>
        <v>19</v>
      </c>
      <c r="D271" s="59" t="str">
        <f t="shared" si="93"/>
        <v>Sunday</v>
      </c>
      <c r="E271" s="59" t="str">
        <f t="shared" si="94"/>
        <v>September</v>
      </c>
      <c r="F271" s="59" t="str">
        <f t="shared" si="95"/>
        <v>2021</v>
      </c>
      <c r="G271" s="59" t="str">
        <f t="shared" si="105"/>
        <v>Week_38</v>
      </c>
      <c r="H271" s="59" t="str">
        <f t="shared" si="106"/>
        <v>September 2021</v>
      </c>
      <c r="I271" s="59" t="str">
        <f t="shared" si="107"/>
        <v>Week_38</v>
      </c>
      <c r="J271" s="60">
        <f t="shared" si="96"/>
        <v>44458</v>
      </c>
      <c r="K271" s="59">
        <f t="shared" si="108"/>
        <v>38</v>
      </c>
      <c r="L271" s="59">
        <f t="shared" si="97"/>
        <v>38</v>
      </c>
      <c r="M271" s="59" t="str">
        <f t="shared" si="98"/>
        <v>Week_</v>
      </c>
      <c r="N271" s="59" t="str">
        <f t="shared" si="99"/>
        <v>Week_38</v>
      </c>
      <c r="O271" s="59">
        <f t="shared" si="109"/>
        <v>0</v>
      </c>
      <c r="P271" s="59" t="str">
        <f t="shared" si="110"/>
        <v/>
      </c>
      <c r="Q271" s="59" t="str">
        <f t="shared" si="100"/>
        <v/>
      </c>
      <c r="R271" s="59" t="str">
        <f t="shared" si="101"/>
        <v>September 2021</v>
      </c>
      <c r="S271" s="61">
        <f t="shared" si="102"/>
        <v>44458</v>
      </c>
      <c r="Z271" s="62">
        <f t="shared" si="103"/>
        <v>44458</v>
      </c>
      <c r="AA271" s="63" t="s">
        <v>253</v>
      </c>
    </row>
    <row r="272" spans="2:27" x14ac:dyDescent="0.2">
      <c r="B272" s="58">
        <f t="shared" si="104"/>
        <v>44459</v>
      </c>
      <c r="C272" s="59" t="str">
        <f t="shared" si="92"/>
        <v>20</v>
      </c>
      <c r="D272" s="59" t="str">
        <f t="shared" si="93"/>
        <v>Monday</v>
      </c>
      <c r="E272" s="59" t="str">
        <f t="shared" si="94"/>
        <v>September</v>
      </c>
      <c r="F272" s="59" t="str">
        <f t="shared" si="95"/>
        <v>2021</v>
      </c>
      <c r="G272" s="59" t="str">
        <f t="shared" si="105"/>
        <v>Week_39</v>
      </c>
      <c r="H272" s="59" t="str">
        <f t="shared" si="106"/>
        <v>September 2021</v>
      </c>
      <c r="I272" s="59" t="str">
        <f t="shared" si="107"/>
        <v>Start WeekWeek_39</v>
      </c>
      <c r="J272" s="60">
        <f t="shared" si="96"/>
        <v>44459</v>
      </c>
      <c r="K272" s="59">
        <f t="shared" si="108"/>
        <v>39</v>
      </c>
      <c r="L272" s="59">
        <f t="shared" si="97"/>
        <v>39</v>
      </c>
      <c r="M272" s="59" t="str">
        <f t="shared" si="98"/>
        <v>Week_</v>
      </c>
      <c r="N272" s="59" t="str">
        <f t="shared" si="99"/>
        <v>Week_39</v>
      </c>
      <c r="O272" s="59">
        <f t="shared" si="109"/>
        <v>1</v>
      </c>
      <c r="P272" s="59" t="str">
        <f t="shared" si="110"/>
        <v>Start Week</v>
      </c>
      <c r="Q272" s="59" t="str">
        <f t="shared" si="100"/>
        <v/>
      </c>
      <c r="R272" s="59" t="str">
        <f t="shared" si="101"/>
        <v>September 2021</v>
      </c>
      <c r="S272" s="61">
        <f t="shared" si="102"/>
        <v>44459</v>
      </c>
      <c r="Z272" s="62">
        <f t="shared" si="103"/>
        <v>44459</v>
      </c>
      <c r="AA272" s="63" t="s">
        <v>253</v>
      </c>
    </row>
    <row r="273" spans="2:27" x14ac:dyDescent="0.2">
      <c r="B273" s="58">
        <f t="shared" si="104"/>
        <v>44460</v>
      </c>
      <c r="C273" s="59" t="str">
        <f t="shared" si="92"/>
        <v>21</v>
      </c>
      <c r="D273" s="59" t="str">
        <f t="shared" si="93"/>
        <v>Tuesday</v>
      </c>
      <c r="E273" s="59" t="str">
        <f t="shared" si="94"/>
        <v>September</v>
      </c>
      <c r="F273" s="59" t="str">
        <f t="shared" si="95"/>
        <v>2021</v>
      </c>
      <c r="G273" s="59" t="str">
        <f t="shared" si="105"/>
        <v>Week_39</v>
      </c>
      <c r="H273" s="59" t="str">
        <f t="shared" si="106"/>
        <v>September 2021</v>
      </c>
      <c r="I273" s="59" t="str">
        <f t="shared" si="107"/>
        <v>Week_39</v>
      </c>
      <c r="J273" s="60">
        <f t="shared" si="96"/>
        <v>44460</v>
      </c>
      <c r="K273" s="59">
        <f t="shared" si="108"/>
        <v>39</v>
      </c>
      <c r="L273" s="59">
        <f t="shared" si="97"/>
        <v>39</v>
      </c>
      <c r="M273" s="59" t="str">
        <f t="shared" si="98"/>
        <v>Week_</v>
      </c>
      <c r="N273" s="59" t="str">
        <f t="shared" si="99"/>
        <v>Week_39</v>
      </c>
      <c r="O273" s="59">
        <f t="shared" si="109"/>
        <v>0</v>
      </c>
      <c r="P273" s="59" t="str">
        <f t="shared" si="110"/>
        <v/>
      </c>
      <c r="Q273" s="59" t="str">
        <f t="shared" si="100"/>
        <v/>
      </c>
      <c r="R273" s="59" t="str">
        <f t="shared" si="101"/>
        <v>September 2021</v>
      </c>
      <c r="S273" s="61">
        <f t="shared" si="102"/>
        <v>44460</v>
      </c>
      <c r="Z273" s="62">
        <f t="shared" si="103"/>
        <v>44460</v>
      </c>
      <c r="AA273" s="63" t="s">
        <v>253</v>
      </c>
    </row>
    <row r="274" spans="2:27" x14ac:dyDescent="0.2">
      <c r="B274" s="58">
        <f t="shared" si="104"/>
        <v>44461</v>
      </c>
      <c r="C274" s="59" t="str">
        <f t="shared" si="92"/>
        <v>22</v>
      </c>
      <c r="D274" s="59" t="str">
        <f t="shared" si="93"/>
        <v>Wednesday</v>
      </c>
      <c r="E274" s="59" t="str">
        <f t="shared" si="94"/>
        <v>September</v>
      </c>
      <c r="F274" s="59" t="str">
        <f t="shared" si="95"/>
        <v>2021</v>
      </c>
      <c r="G274" s="59" t="str">
        <f t="shared" si="105"/>
        <v>Week_39</v>
      </c>
      <c r="H274" s="59" t="str">
        <f t="shared" si="106"/>
        <v>September 2021</v>
      </c>
      <c r="I274" s="59" t="str">
        <f t="shared" si="107"/>
        <v>Week_39</v>
      </c>
      <c r="J274" s="60">
        <f t="shared" si="96"/>
        <v>44461</v>
      </c>
      <c r="K274" s="59">
        <f t="shared" si="108"/>
        <v>39</v>
      </c>
      <c r="L274" s="59">
        <f t="shared" si="97"/>
        <v>39</v>
      </c>
      <c r="M274" s="59" t="str">
        <f t="shared" si="98"/>
        <v>Week_</v>
      </c>
      <c r="N274" s="59" t="str">
        <f t="shared" si="99"/>
        <v>Week_39</v>
      </c>
      <c r="O274" s="59">
        <f t="shared" si="109"/>
        <v>0</v>
      </c>
      <c r="P274" s="59" t="str">
        <f t="shared" si="110"/>
        <v/>
      </c>
      <c r="Q274" s="59" t="str">
        <f t="shared" si="100"/>
        <v/>
      </c>
      <c r="R274" s="59" t="str">
        <f t="shared" si="101"/>
        <v>September 2021</v>
      </c>
      <c r="S274" s="61">
        <f t="shared" si="102"/>
        <v>44461</v>
      </c>
      <c r="Z274" s="62">
        <f t="shared" si="103"/>
        <v>44461</v>
      </c>
      <c r="AA274" s="63" t="s">
        <v>253</v>
      </c>
    </row>
    <row r="275" spans="2:27" x14ac:dyDescent="0.2">
      <c r="B275" s="58">
        <f t="shared" si="104"/>
        <v>44462</v>
      </c>
      <c r="C275" s="59" t="str">
        <f t="shared" si="92"/>
        <v>23</v>
      </c>
      <c r="D275" s="59" t="str">
        <f t="shared" si="93"/>
        <v>Thursday</v>
      </c>
      <c r="E275" s="59" t="str">
        <f t="shared" si="94"/>
        <v>September</v>
      </c>
      <c r="F275" s="59" t="str">
        <f t="shared" si="95"/>
        <v>2021</v>
      </c>
      <c r="G275" s="59" t="str">
        <f t="shared" si="105"/>
        <v>Week_39</v>
      </c>
      <c r="H275" s="59" t="str">
        <f t="shared" si="106"/>
        <v>September 2021</v>
      </c>
      <c r="I275" s="59" t="str">
        <f t="shared" si="107"/>
        <v>Week_39</v>
      </c>
      <c r="J275" s="60">
        <f t="shared" si="96"/>
        <v>44462</v>
      </c>
      <c r="K275" s="59">
        <f t="shared" si="108"/>
        <v>39</v>
      </c>
      <c r="L275" s="59">
        <f t="shared" si="97"/>
        <v>39</v>
      </c>
      <c r="M275" s="59" t="str">
        <f t="shared" si="98"/>
        <v>Week_</v>
      </c>
      <c r="N275" s="59" t="str">
        <f t="shared" si="99"/>
        <v>Week_39</v>
      </c>
      <c r="O275" s="59">
        <f t="shared" si="109"/>
        <v>0</v>
      </c>
      <c r="P275" s="59" t="str">
        <f t="shared" si="110"/>
        <v/>
      </c>
      <c r="Q275" s="59" t="str">
        <f t="shared" si="100"/>
        <v/>
      </c>
      <c r="R275" s="59" t="str">
        <f t="shared" si="101"/>
        <v>September 2021</v>
      </c>
      <c r="S275" s="61">
        <f t="shared" si="102"/>
        <v>44462</v>
      </c>
      <c r="Z275" s="62">
        <f t="shared" si="103"/>
        <v>44462</v>
      </c>
      <c r="AA275" s="63" t="s">
        <v>253</v>
      </c>
    </row>
    <row r="276" spans="2:27" x14ac:dyDescent="0.2">
      <c r="B276" s="58">
        <f t="shared" si="104"/>
        <v>44463</v>
      </c>
      <c r="C276" s="59" t="str">
        <f t="shared" si="92"/>
        <v>24</v>
      </c>
      <c r="D276" s="59" t="str">
        <f t="shared" si="93"/>
        <v>Friday</v>
      </c>
      <c r="E276" s="59" t="str">
        <f t="shared" si="94"/>
        <v>September</v>
      </c>
      <c r="F276" s="59" t="str">
        <f t="shared" si="95"/>
        <v>2021</v>
      </c>
      <c r="G276" s="59" t="str">
        <f t="shared" si="105"/>
        <v>Week_39</v>
      </c>
      <c r="H276" s="59" t="str">
        <f t="shared" si="106"/>
        <v>September 2021</v>
      </c>
      <c r="I276" s="59" t="str">
        <f t="shared" si="107"/>
        <v>Week_39</v>
      </c>
      <c r="J276" s="60">
        <f t="shared" si="96"/>
        <v>44463</v>
      </c>
      <c r="K276" s="59">
        <f t="shared" si="108"/>
        <v>39</v>
      </c>
      <c r="L276" s="59">
        <f t="shared" si="97"/>
        <v>39</v>
      </c>
      <c r="M276" s="59" t="str">
        <f t="shared" si="98"/>
        <v>Week_</v>
      </c>
      <c r="N276" s="59" t="str">
        <f t="shared" si="99"/>
        <v>Week_39</v>
      </c>
      <c r="O276" s="59">
        <f t="shared" si="109"/>
        <v>0</v>
      </c>
      <c r="P276" s="59" t="str">
        <f t="shared" si="110"/>
        <v/>
      </c>
      <c r="Q276" s="59" t="str">
        <f t="shared" si="100"/>
        <v/>
      </c>
      <c r="R276" s="59" t="str">
        <f t="shared" si="101"/>
        <v>September 2021</v>
      </c>
      <c r="S276" s="61">
        <f t="shared" si="102"/>
        <v>44463</v>
      </c>
      <c r="Z276" s="62">
        <f t="shared" si="103"/>
        <v>44463</v>
      </c>
      <c r="AA276" s="63" t="s">
        <v>253</v>
      </c>
    </row>
    <row r="277" spans="2:27" x14ac:dyDescent="0.2">
      <c r="B277" s="58">
        <f t="shared" si="104"/>
        <v>44464</v>
      </c>
      <c r="C277" s="59" t="str">
        <f t="shared" si="92"/>
        <v>25</v>
      </c>
      <c r="D277" s="59" t="str">
        <f t="shared" si="93"/>
        <v>Saturday</v>
      </c>
      <c r="E277" s="59" t="str">
        <f t="shared" si="94"/>
        <v>September</v>
      </c>
      <c r="F277" s="59" t="str">
        <f t="shared" si="95"/>
        <v>2021</v>
      </c>
      <c r="G277" s="59" t="str">
        <f t="shared" si="105"/>
        <v>Week_39</v>
      </c>
      <c r="H277" s="59" t="str">
        <f t="shared" si="106"/>
        <v>September 2021</v>
      </c>
      <c r="I277" s="59" t="str">
        <f t="shared" si="107"/>
        <v>Week_39</v>
      </c>
      <c r="J277" s="60">
        <f t="shared" si="96"/>
        <v>44464</v>
      </c>
      <c r="K277" s="59">
        <f t="shared" si="108"/>
        <v>39</v>
      </c>
      <c r="L277" s="59">
        <f t="shared" si="97"/>
        <v>39</v>
      </c>
      <c r="M277" s="59" t="str">
        <f t="shared" si="98"/>
        <v>Week_</v>
      </c>
      <c r="N277" s="59" t="str">
        <f t="shared" si="99"/>
        <v>Week_39</v>
      </c>
      <c r="O277" s="59">
        <f t="shared" si="109"/>
        <v>0</v>
      </c>
      <c r="P277" s="59" t="str">
        <f t="shared" si="110"/>
        <v/>
      </c>
      <c r="Q277" s="59" t="str">
        <f t="shared" si="100"/>
        <v/>
      </c>
      <c r="R277" s="59" t="str">
        <f t="shared" si="101"/>
        <v>September 2021</v>
      </c>
      <c r="S277" s="61">
        <f t="shared" si="102"/>
        <v>44464</v>
      </c>
      <c r="Z277" s="62">
        <f t="shared" si="103"/>
        <v>44464</v>
      </c>
      <c r="AA277" s="63" t="s">
        <v>253</v>
      </c>
    </row>
    <row r="278" spans="2:27" x14ac:dyDescent="0.2">
      <c r="B278" s="58">
        <f t="shared" si="104"/>
        <v>44465</v>
      </c>
      <c r="C278" s="59" t="str">
        <f t="shared" si="92"/>
        <v>26</v>
      </c>
      <c r="D278" s="59" t="str">
        <f t="shared" si="93"/>
        <v>Sunday</v>
      </c>
      <c r="E278" s="59" t="str">
        <f t="shared" si="94"/>
        <v>September</v>
      </c>
      <c r="F278" s="59" t="str">
        <f t="shared" si="95"/>
        <v>2021</v>
      </c>
      <c r="G278" s="59" t="str">
        <f t="shared" si="105"/>
        <v>Week_39</v>
      </c>
      <c r="H278" s="59" t="str">
        <f t="shared" si="106"/>
        <v>September 2021</v>
      </c>
      <c r="I278" s="59" t="str">
        <f t="shared" si="107"/>
        <v>Week_39</v>
      </c>
      <c r="J278" s="60">
        <f t="shared" si="96"/>
        <v>44465</v>
      </c>
      <c r="K278" s="59">
        <f t="shared" si="108"/>
        <v>39</v>
      </c>
      <c r="L278" s="59">
        <f t="shared" si="97"/>
        <v>39</v>
      </c>
      <c r="M278" s="59" t="str">
        <f t="shared" si="98"/>
        <v>Week_</v>
      </c>
      <c r="N278" s="59" t="str">
        <f t="shared" si="99"/>
        <v>Week_39</v>
      </c>
      <c r="O278" s="59">
        <f t="shared" si="109"/>
        <v>0</v>
      </c>
      <c r="P278" s="59" t="str">
        <f t="shared" si="110"/>
        <v/>
      </c>
      <c r="Q278" s="59" t="str">
        <f t="shared" si="100"/>
        <v/>
      </c>
      <c r="R278" s="59" t="str">
        <f t="shared" si="101"/>
        <v>September 2021</v>
      </c>
      <c r="S278" s="61">
        <f t="shared" si="102"/>
        <v>44465</v>
      </c>
      <c r="Z278" s="62">
        <f t="shared" si="103"/>
        <v>44465</v>
      </c>
      <c r="AA278" s="63" t="s">
        <v>253</v>
      </c>
    </row>
    <row r="279" spans="2:27" x14ac:dyDescent="0.2">
      <c r="B279" s="58">
        <f t="shared" si="104"/>
        <v>44466</v>
      </c>
      <c r="C279" s="59" t="str">
        <f t="shared" si="92"/>
        <v>27</v>
      </c>
      <c r="D279" s="59" t="str">
        <f t="shared" si="93"/>
        <v>Monday</v>
      </c>
      <c r="E279" s="59" t="str">
        <f t="shared" si="94"/>
        <v>September</v>
      </c>
      <c r="F279" s="59" t="str">
        <f t="shared" si="95"/>
        <v>2021</v>
      </c>
      <c r="G279" s="59" t="str">
        <f t="shared" si="105"/>
        <v>Week_40</v>
      </c>
      <c r="H279" s="59" t="str">
        <f t="shared" si="106"/>
        <v>September 2021</v>
      </c>
      <c r="I279" s="59" t="str">
        <f t="shared" si="107"/>
        <v>Start WeekWeek_40</v>
      </c>
      <c r="J279" s="60">
        <f t="shared" si="96"/>
        <v>44466</v>
      </c>
      <c r="K279" s="59">
        <f t="shared" si="108"/>
        <v>40</v>
      </c>
      <c r="L279" s="59">
        <f t="shared" si="97"/>
        <v>40</v>
      </c>
      <c r="M279" s="59" t="str">
        <f t="shared" si="98"/>
        <v>Week_</v>
      </c>
      <c r="N279" s="59" t="str">
        <f t="shared" si="99"/>
        <v>Week_40</v>
      </c>
      <c r="O279" s="59">
        <f t="shared" si="109"/>
        <v>1</v>
      </c>
      <c r="P279" s="59" t="str">
        <f t="shared" si="110"/>
        <v>Start Week</v>
      </c>
      <c r="Q279" s="59" t="str">
        <f t="shared" si="100"/>
        <v/>
      </c>
      <c r="R279" s="59" t="str">
        <f t="shared" si="101"/>
        <v>September 2021</v>
      </c>
      <c r="S279" s="61">
        <f t="shared" si="102"/>
        <v>44466</v>
      </c>
      <c r="Z279" s="62">
        <f t="shared" si="103"/>
        <v>44466</v>
      </c>
      <c r="AA279" s="63" t="s">
        <v>253</v>
      </c>
    </row>
    <row r="280" spans="2:27" x14ac:dyDescent="0.2">
      <c r="B280" s="58">
        <f t="shared" si="104"/>
        <v>44467</v>
      </c>
      <c r="C280" s="59" t="str">
        <f t="shared" si="92"/>
        <v>28</v>
      </c>
      <c r="D280" s="59" t="str">
        <f t="shared" si="93"/>
        <v>Tuesday</v>
      </c>
      <c r="E280" s="59" t="str">
        <f t="shared" si="94"/>
        <v>September</v>
      </c>
      <c r="F280" s="59" t="str">
        <f t="shared" si="95"/>
        <v>2021</v>
      </c>
      <c r="G280" s="59" t="str">
        <f t="shared" si="105"/>
        <v>Week_40</v>
      </c>
      <c r="H280" s="59" t="str">
        <f t="shared" si="106"/>
        <v>September 2021</v>
      </c>
      <c r="I280" s="59" t="str">
        <f t="shared" si="107"/>
        <v>Week_40</v>
      </c>
      <c r="J280" s="60">
        <f t="shared" si="96"/>
        <v>44467</v>
      </c>
      <c r="K280" s="59">
        <f t="shared" si="108"/>
        <v>40</v>
      </c>
      <c r="L280" s="59">
        <f t="shared" si="97"/>
        <v>40</v>
      </c>
      <c r="M280" s="59" t="str">
        <f t="shared" si="98"/>
        <v>Week_</v>
      </c>
      <c r="N280" s="59" t="str">
        <f t="shared" si="99"/>
        <v>Week_40</v>
      </c>
      <c r="O280" s="59">
        <f t="shared" si="109"/>
        <v>0</v>
      </c>
      <c r="P280" s="59" t="str">
        <f t="shared" si="110"/>
        <v/>
      </c>
      <c r="Q280" s="59" t="str">
        <f t="shared" si="100"/>
        <v/>
      </c>
      <c r="R280" s="59" t="str">
        <f t="shared" si="101"/>
        <v>September 2021</v>
      </c>
      <c r="S280" s="61">
        <f t="shared" si="102"/>
        <v>44467</v>
      </c>
      <c r="Z280" s="62">
        <f t="shared" si="103"/>
        <v>44467</v>
      </c>
      <c r="AA280" s="63" t="s">
        <v>253</v>
      </c>
    </row>
    <row r="281" spans="2:27" x14ac:dyDescent="0.2">
      <c r="B281" s="58">
        <f t="shared" si="104"/>
        <v>44468</v>
      </c>
      <c r="C281" s="59" t="str">
        <f t="shared" si="92"/>
        <v>29</v>
      </c>
      <c r="D281" s="59" t="str">
        <f t="shared" si="93"/>
        <v>Wednesday</v>
      </c>
      <c r="E281" s="59" t="str">
        <f t="shared" si="94"/>
        <v>September</v>
      </c>
      <c r="F281" s="59" t="str">
        <f t="shared" si="95"/>
        <v>2021</v>
      </c>
      <c r="G281" s="59" t="str">
        <f t="shared" si="105"/>
        <v>Week_40</v>
      </c>
      <c r="H281" s="59" t="str">
        <f t="shared" si="106"/>
        <v>September 2021</v>
      </c>
      <c r="I281" s="59" t="str">
        <f t="shared" si="107"/>
        <v>Week_40</v>
      </c>
      <c r="J281" s="60">
        <f t="shared" si="96"/>
        <v>44468</v>
      </c>
      <c r="K281" s="59">
        <f t="shared" si="108"/>
        <v>40</v>
      </c>
      <c r="L281" s="59">
        <f t="shared" si="97"/>
        <v>40</v>
      </c>
      <c r="M281" s="59" t="str">
        <f t="shared" si="98"/>
        <v>Week_</v>
      </c>
      <c r="N281" s="59" t="str">
        <f t="shared" si="99"/>
        <v>Week_40</v>
      </c>
      <c r="O281" s="59">
        <f t="shared" si="109"/>
        <v>0</v>
      </c>
      <c r="P281" s="59" t="str">
        <f t="shared" si="110"/>
        <v/>
      </c>
      <c r="Q281" s="59" t="str">
        <f t="shared" si="100"/>
        <v/>
      </c>
      <c r="R281" s="59" t="str">
        <f t="shared" si="101"/>
        <v>September 2021</v>
      </c>
      <c r="S281" s="61">
        <f t="shared" si="102"/>
        <v>44468</v>
      </c>
      <c r="Z281" s="62">
        <f t="shared" si="103"/>
        <v>44468</v>
      </c>
      <c r="AA281" s="63" t="s">
        <v>253</v>
      </c>
    </row>
    <row r="282" spans="2:27" x14ac:dyDescent="0.2">
      <c r="B282" s="58">
        <f t="shared" si="104"/>
        <v>44469</v>
      </c>
      <c r="C282" s="59" t="str">
        <f t="shared" si="92"/>
        <v>30</v>
      </c>
      <c r="D282" s="59" t="str">
        <f t="shared" si="93"/>
        <v>Thursday</v>
      </c>
      <c r="E282" s="59" t="str">
        <f t="shared" si="94"/>
        <v>September</v>
      </c>
      <c r="F282" s="59" t="str">
        <f t="shared" si="95"/>
        <v>2021</v>
      </c>
      <c r="G282" s="59" t="str">
        <f t="shared" si="105"/>
        <v>Week_40</v>
      </c>
      <c r="H282" s="59" t="str">
        <f t="shared" si="106"/>
        <v>September 2021</v>
      </c>
      <c r="I282" s="59" t="str">
        <f t="shared" si="107"/>
        <v>Week_40</v>
      </c>
      <c r="J282" s="60">
        <f t="shared" si="96"/>
        <v>44469</v>
      </c>
      <c r="K282" s="59">
        <f t="shared" si="108"/>
        <v>40</v>
      </c>
      <c r="L282" s="59">
        <f t="shared" si="97"/>
        <v>40</v>
      </c>
      <c r="M282" s="59" t="str">
        <f t="shared" si="98"/>
        <v>Week_</v>
      </c>
      <c r="N282" s="59" t="str">
        <f t="shared" si="99"/>
        <v>Week_40</v>
      </c>
      <c r="O282" s="59">
        <f t="shared" si="109"/>
        <v>0</v>
      </c>
      <c r="P282" s="59" t="str">
        <f t="shared" si="110"/>
        <v/>
      </c>
      <c r="Q282" s="59" t="str">
        <f t="shared" si="100"/>
        <v/>
      </c>
      <c r="R282" s="59" t="str">
        <f t="shared" si="101"/>
        <v>September 2021</v>
      </c>
      <c r="S282" s="61">
        <f t="shared" si="102"/>
        <v>44469</v>
      </c>
      <c r="Z282" s="62">
        <f t="shared" si="103"/>
        <v>44469</v>
      </c>
      <c r="AA282" s="63" t="s">
        <v>253</v>
      </c>
    </row>
    <row r="283" spans="2:27" x14ac:dyDescent="0.2">
      <c r="B283" s="58">
        <f t="shared" si="104"/>
        <v>44470</v>
      </c>
      <c r="C283" s="59" t="str">
        <f t="shared" si="92"/>
        <v>01</v>
      </c>
      <c r="D283" s="59" t="str">
        <f t="shared" si="93"/>
        <v>Friday</v>
      </c>
      <c r="E283" s="59" t="str">
        <f t="shared" si="94"/>
        <v>October</v>
      </c>
      <c r="F283" s="59" t="str">
        <f t="shared" si="95"/>
        <v>2021</v>
      </c>
      <c r="G283" s="59" t="str">
        <f t="shared" si="105"/>
        <v>Week_40</v>
      </c>
      <c r="H283" s="59" t="str">
        <f t="shared" si="106"/>
        <v>October 2021</v>
      </c>
      <c r="I283" s="59" t="str">
        <f t="shared" si="107"/>
        <v>Week_40</v>
      </c>
      <c r="J283" s="60">
        <f t="shared" si="96"/>
        <v>44470</v>
      </c>
      <c r="K283" s="59">
        <f t="shared" si="108"/>
        <v>40</v>
      </c>
      <c r="L283" s="59">
        <f t="shared" si="97"/>
        <v>40</v>
      </c>
      <c r="M283" s="59" t="str">
        <f t="shared" si="98"/>
        <v>Week_</v>
      </c>
      <c r="N283" s="59" t="str">
        <f t="shared" si="99"/>
        <v>Week_40</v>
      </c>
      <c r="O283" s="59">
        <f t="shared" si="109"/>
        <v>0</v>
      </c>
      <c r="P283" s="59" t="str">
        <f t="shared" si="110"/>
        <v/>
      </c>
      <c r="Q283" s="59" t="str">
        <f t="shared" si="100"/>
        <v>Start Month</v>
      </c>
      <c r="R283" s="59" t="str">
        <f t="shared" si="101"/>
        <v>Start MonthOctober 2021</v>
      </c>
      <c r="S283" s="61">
        <f t="shared" si="102"/>
        <v>44470</v>
      </c>
      <c r="Z283" s="62">
        <f t="shared" si="103"/>
        <v>44470</v>
      </c>
      <c r="AA283" s="63" t="s">
        <v>253</v>
      </c>
    </row>
    <row r="284" spans="2:27" x14ac:dyDescent="0.2">
      <c r="B284" s="58">
        <f t="shared" si="104"/>
        <v>44471</v>
      </c>
      <c r="C284" s="59" t="str">
        <f t="shared" si="92"/>
        <v>02</v>
      </c>
      <c r="D284" s="59" t="str">
        <f t="shared" si="93"/>
        <v>Saturday</v>
      </c>
      <c r="E284" s="59" t="str">
        <f t="shared" si="94"/>
        <v>October</v>
      </c>
      <c r="F284" s="59" t="str">
        <f t="shared" si="95"/>
        <v>2021</v>
      </c>
      <c r="G284" s="59" t="str">
        <f t="shared" si="105"/>
        <v>Week_40</v>
      </c>
      <c r="H284" s="59" t="str">
        <f t="shared" si="106"/>
        <v>October 2021</v>
      </c>
      <c r="I284" s="59" t="str">
        <f t="shared" si="107"/>
        <v>Week_40</v>
      </c>
      <c r="J284" s="60">
        <f t="shared" si="96"/>
        <v>44471</v>
      </c>
      <c r="K284" s="59">
        <f t="shared" si="108"/>
        <v>40</v>
      </c>
      <c r="L284" s="59">
        <f t="shared" si="97"/>
        <v>40</v>
      </c>
      <c r="M284" s="59" t="str">
        <f t="shared" si="98"/>
        <v>Week_</v>
      </c>
      <c r="N284" s="59" t="str">
        <f t="shared" si="99"/>
        <v>Week_40</v>
      </c>
      <c r="O284" s="59">
        <f t="shared" si="109"/>
        <v>0</v>
      </c>
      <c r="P284" s="59" t="str">
        <f t="shared" si="110"/>
        <v/>
      </c>
      <c r="Q284" s="59" t="str">
        <f t="shared" si="100"/>
        <v/>
      </c>
      <c r="R284" s="59" t="str">
        <f t="shared" si="101"/>
        <v>October 2021</v>
      </c>
      <c r="S284" s="61">
        <f t="shared" si="102"/>
        <v>44471</v>
      </c>
      <c r="Z284" s="62">
        <f t="shared" si="103"/>
        <v>44471</v>
      </c>
      <c r="AA284" s="63" t="s">
        <v>253</v>
      </c>
    </row>
    <row r="285" spans="2:27" x14ac:dyDescent="0.2">
      <c r="B285" s="58">
        <f t="shared" si="104"/>
        <v>44472</v>
      </c>
      <c r="C285" s="59" t="str">
        <f t="shared" si="92"/>
        <v>03</v>
      </c>
      <c r="D285" s="59" t="str">
        <f t="shared" si="93"/>
        <v>Sunday</v>
      </c>
      <c r="E285" s="59" t="str">
        <f t="shared" si="94"/>
        <v>October</v>
      </c>
      <c r="F285" s="59" t="str">
        <f t="shared" si="95"/>
        <v>2021</v>
      </c>
      <c r="G285" s="59" t="str">
        <f t="shared" si="105"/>
        <v>Week_40</v>
      </c>
      <c r="H285" s="59" t="str">
        <f t="shared" si="106"/>
        <v>October 2021</v>
      </c>
      <c r="I285" s="59" t="str">
        <f t="shared" si="107"/>
        <v>Week_40</v>
      </c>
      <c r="J285" s="60">
        <f t="shared" si="96"/>
        <v>44472</v>
      </c>
      <c r="K285" s="59">
        <f t="shared" si="108"/>
        <v>40</v>
      </c>
      <c r="L285" s="59">
        <f t="shared" si="97"/>
        <v>40</v>
      </c>
      <c r="M285" s="59" t="str">
        <f t="shared" si="98"/>
        <v>Week_</v>
      </c>
      <c r="N285" s="59" t="str">
        <f t="shared" si="99"/>
        <v>Week_40</v>
      </c>
      <c r="O285" s="59">
        <f t="shared" si="109"/>
        <v>0</v>
      </c>
      <c r="P285" s="59" t="str">
        <f t="shared" si="110"/>
        <v/>
      </c>
      <c r="Q285" s="59" t="str">
        <f t="shared" si="100"/>
        <v/>
      </c>
      <c r="R285" s="59" t="str">
        <f t="shared" si="101"/>
        <v>October 2021</v>
      </c>
      <c r="S285" s="61">
        <f t="shared" si="102"/>
        <v>44472</v>
      </c>
      <c r="Z285" s="62">
        <f t="shared" si="103"/>
        <v>44472</v>
      </c>
      <c r="AA285" s="63" t="s">
        <v>253</v>
      </c>
    </row>
    <row r="286" spans="2:27" x14ac:dyDescent="0.2">
      <c r="B286" s="58">
        <f t="shared" si="104"/>
        <v>44473</v>
      </c>
      <c r="C286" s="59" t="str">
        <f t="shared" si="92"/>
        <v>04</v>
      </c>
      <c r="D286" s="59" t="str">
        <f t="shared" si="93"/>
        <v>Monday</v>
      </c>
      <c r="E286" s="59" t="str">
        <f t="shared" si="94"/>
        <v>October</v>
      </c>
      <c r="F286" s="59" t="str">
        <f t="shared" si="95"/>
        <v>2021</v>
      </c>
      <c r="G286" s="59" t="str">
        <f t="shared" si="105"/>
        <v>Week_41</v>
      </c>
      <c r="H286" s="59" t="str">
        <f t="shared" si="106"/>
        <v>October 2021</v>
      </c>
      <c r="I286" s="59" t="str">
        <f t="shared" si="107"/>
        <v>Start WeekWeek_41</v>
      </c>
      <c r="J286" s="60">
        <f t="shared" si="96"/>
        <v>44473</v>
      </c>
      <c r="K286" s="59">
        <f t="shared" si="108"/>
        <v>41</v>
      </c>
      <c r="L286" s="59">
        <f t="shared" si="97"/>
        <v>41</v>
      </c>
      <c r="M286" s="59" t="str">
        <f t="shared" si="98"/>
        <v>Week_</v>
      </c>
      <c r="N286" s="59" t="str">
        <f t="shared" si="99"/>
        <v>Week_41</v>
      </c>
      <c r="O286" s="59">
        <f t="shared" si="109"/>
        <v>1</v>
      </c>
      <c r="P286" s="59" t="str">
        <f t="shared" si="110"/>
        <v>Start Week</v>
      </c>
      <c r="Q286" s="59" t="str">
        <f t="shared" si="100"/>
        <v/>
      </c>
      <c r="R286" s="59" t="str">
        <f t="shared" si="101"/>
        <v>October 2021</v>
      </c>
      <c r="S286" s="61">
        <f t="shared" si="102"/>
        <v>44473</v>
      </c>
      <c r="Z286" s="62">
        <f t="shared" si="103"/>
        <v>44473</v>
      </c>
      <c r="AA286" s="63" t="s">
        <v>253</v>
      </c>
    </row>
    <row r="287" spans="2:27" x14ac:dyDescent="0.2">
      <c r="B287" s="58">
        <f t="shared" si="104"/>
        <v>44474</v>
      </c>
      <c r="C287" s="59" t="str">
        <f t="shared" si="92"/>
        <v>05</v>
      </c>
      <c r="D287" s="59" t="str">
        <f t="shared" si="93"/>
        <v>Tuesday</v>
      </c>
      <c r="E287" s="59" t="str">
        <f t="shared" si="94"/>
        <v>October</v>
      </c>
      <c r="F287" s="59" t="str">
        <f t="shared" si="95"/>
        <v>2021</v>
      </c>
      <c r="G287" s="59" t="str">
        <f t="shared" si="105"/>
        <v>Week_41</v>
      </c>
      <c r="H287" s="59" t="str">
        <f t="shared" si="106"/>
        <v>October 2021</v>
      </c>
      <c r="I287" s="59" t="str">
        <f t="shared" si="107"/>
        <v>Week_41</v>
      </c>
      <c r="J287" s="60">
        <f t="shared" si="96"/>
        <v>44474</v>
      </c>
      <c r="K287" s="59">
        <f t="shared" si="108"/>
        <v>41</v>
      </c>
      <c r="L287" s="59">
        <f t="shared" si="97"/>
        <v>41</v>
      </c>
      <c r="M287" s="59" t="str">
        <f t="shared" si="98"/>
        <v>Week_</v>
      </c>
      <c r="N287" s="59" t="str">
        <f t="shared" si="99"/>
        <v>Week_41</v>
      </c>
      <c r="O287" s="59">
        <f t="shared" si="109"/>
        <v>0</v>
      </c>
      <c r="P287" s="59" t="str">
        <f t="shared" si="110"/>
        <v/>
      </c>
      <c r="Q287" s="59" t="str">
        <f t="shared" si="100"/>
        <v/>
      </c>
      <c r="R287" s="59" t="str">
        <f t="shared" si="101"/>
        <v>October 2021</v>
      </c>
      <c r="S287" s="61">
        <f t="shared" si="102"/>
        <v>44474</v>
      </c>
      <c r="Z287" s="62">
        <f t="shared" si="103"/>
        <v>44474</v>
      </c>
      <c r="AA287" s="63" t="s">
        <v>253</v>
      </c>
    </row>
    <row r="288" spans="2:27" x14ac:dyDescent="0.2">
      <c r="B288" s="58">
        <f t="shared" si="104"/>
        <v>44475</v>
      </c>
      <c r="C288" s="59" t="str">
        <f t="shared" si="92"/>
        <v>06</v>
      </c>
      <c r="D288" s="59" t="str">
        <f t="shared" si="93"/>
        <v>Wednesday</v>
      </c>
      <c r="E288" s="59" t="str">
        <f t="shared" si="94"/>
        <v>October</v>
      </c>
      <c r="F288" s="59" t="str">
        <f t="shared" si="95"/>
        <v>2021</v>
      </c>
      <c r="G288" s="59" t="str">
        <f t="shared" si="105"/>
        <v>Week_41</v>
      </c>
      <c r="H288" s="59" t="str">
        <f t="shared" si="106"/>
        <v>October 2021</v>
      </c>
      <c r="I288" s="59" t="str">
        <f t="shared" si="107"/>
        <v>Week_41</v>
      </c>
      <c r="J288" s="60">
        <f t="shared" si="96"/>
        <v>44475</v>
      </c>
      <c r="K288" s="59">
        <f t="shared" si="108"/>
        <v>41</v>
      </c>
      <c r="L288" s="59">
        <f t="shared" si="97"/>
        <v>41</v>
      </c>
      <c r="M288" s="59" t="str">
        <f t="shared" si="98"/>
        <v>Week_</v>
      </c>
      <c r="N288" s="59" t="str">
        <f t="shared" si="99"/>
        <v>Week_41</v>
      </c>
      <c r="O288" s="59">
        <f t="shared" si="109"/>
        <v>0</v>
      </c>
      <c r="P288" s="59" t="str">
        <f t="shared" si="110"/>
        <v/>
      </c>
      <c r="Q288" s="59" t="str">
        <f t="shared" si="100"/>
        <v/>
      </c>
      <c r="R288" s="59" t="str">
        <f t="shared" si="101"/>
        <v>October 2021</v>
      </c>
      <c r="S288" s="61">
        <f t="shared" si="102"/>
        <v>44475</v>
      </c>
      <c r="Z288" s="62">
        <f t="shared" si="103"/>
        <v>44475</v>
      </c>
      <c r="AA288" s="63" t="s">
        <v>253</v>
      </c>
    </row>
    <row r="289" spans="2:27" x14ac:dyDescent="0.2">
      <c r="B289" s="58">
        <f t="shared" si="104"/>
        <v>44476</v>
      </c>
      <c r="C289" s="59" t="str">
        <f t="shared" si="92"/>
        <v>07</v>
      </c>
      <c r="D289" s="59" t="str">
        <f t="shared" si="93"/>
        <v>Thursday</v>
      </c>
      <c r="E289" s="59" t="str">
        <f t="shared" si="94"/>
        <v>October</v>
      </c>
      <c r="F289" s="59" t="str">
        <f t="shared" si="95"/>
        <v>2021</v>
      </c>
      <c r="G289" s="59" t="str">
        <f t="shared" si="105"/>
        <v>Week_41</v>
      </c>
      <c r="H289" s="59" t="str">
        <f t="shared" si="106"/>
        <v>October 2021</v>
      </c>
      <c r="I289" s="59" t="str">
        <f t="shared" si="107"/>
        <v>Week_41</v>
      </c>
      <c r="J289" s="60">
        <f t="shared" si="96"/>
        <v>44476</v>
      </c>
      <c r="K289" s="59">
        <f t="shared" si="108"/>
        <v>41</v>
      </c>
      <c r="L289" s="59">
        <f t="shared" si="97"/>
        <v>41</v>
      </c>
      <c r="M289" s="59" t="str">
        <f t="shared" si="98"/>
        <v>Week_</v>
      </c>
      <c r="N289" s="59" t="str">
        <f t="shared" si="99"/>
        <v>Week_41</v>
      </c>
      <c r="O289" s="59">
        <f t="shared" si="109"/>
        <v>0</v>
      </c>
      <c r="P289" s="59" t="str">
        <f t="shared" si="110"/>
        <v/>
      </c>
      <c r="Q289" s="59" t="str">
        <f t="shared" si="100"/>
        <v/>
      </c>
      <c r="R289" s="59" t="str">
        <f t="shared" si="101"/>
        <v>October 2021</v>
      </c>
      <c r="S289" s="61">
        <f t="shared" si="102"/>
        <v>44476</v>
      </c>
      <c r="Z289" s="62">
        <f t="shared" si="103"/>
        <v>44476</v>
      </c>
      <c r="AA289" s="63" t="s">
        <v>253</v>
      </c>
    </row>
    <row r="290" spans="2:27" x14ac:dyDescent="0.2">
      <c r="B290" s="58">
        <f t="shared" si="104"/>
        <v>44477</v>
      </c>
      <c r="C290" s="59" t="str">
        <f t="shared" si="92"/>
        <v>08</v>
      </c>
      <c r="D290" s="59" t="str">
        <f t="shared" si="93"/>
        <v>Friday</v>
      </c>
      <c r="E290" s="59" t="str">
        <f t="shared" si="94"/>
        <v>October</v>
      </c>
      <c r="F290" s="59" t="str">
        <f t="shared" si="95"/>
        <v>2021</v>
      </c>
      <c r="G290" s="59" t="str">
        <f t="shared" si="105"/>
        <v>Week_41</v>
      </c>
      <c r="H290" s="59" t="str">
        <f t="shared" si="106"/>
        <v>October 2021</v>
      </c>
      <c r="I290" s="59" t="str">
        <f t="shared" si="107"/>
        <v>Week_41</v>
      </c>
      <c r="J290" s="60">
        <f t="shared" si="96"/>
        <v>44477</v>
      </c>
      <c r="K290" s="59">
        <f t="shared" si="108"/>
        <v>41</v>
      </c>
      <c r="L290" s="59">
        <f t="shared" si="97"/>
        <v>41</v>
      </c>
      <c r="M290" s="59" t="str">
        <f t="shared" si="98"/>
        <v>Week_</v>
      </c>
      <c r="N290" s="59" t="str">
        <f t="shared" si="99"/>
        <v>Week_41</v>
      </c>
      <c r="O290" s="59">
        <f t="shared" si="109"/>
        <v>0</v>
      </c>
      <c r="P290" s="59" t="str">
        <f t="shared" si="110"/>
        <v/>
      </c>
      <c r="Q290" s="59" t="str">
        <f t="shared" si="100"/>
        <v/>
      </c>
      <c r="R290" s="59" t="str">
        <f t="shared" si="101"/>
        <v>October 2021</v>
      </c>
      <c r="S290" s="61">
        <f t="shared" si="102"/>
        <v>44477</v>
      </c>
      <c r="Z290" s="62">
        <f t="shared" si="103"/>
        <v>44477</v>
      </c>
      <c r="AA290" s="63" t="s">
        <v>253</v>
      </c>
    </row>
    <row r="291" spans="2:27" x14ac:dyDescent="0.2">
      <c r="B291" s="58">
        <f t="shared" si="104"/>
        <v>44478</v>
      </c>
      <c r="C291" s="59" t="str">
        <f t="shared" si="92"/>
        <v>09</v>
      </c>
      <c r="D291" s="59" t="str">
        <f t="shared" si="93"/>
        <v>Saturday</v>
      </c>
      <c r="E291" s="59" t="str">
        <f t="shared" si="94"/>
        <v>October</v>
      </c>
      <c r="F291" s="59" t="str">
        <f t="shared" si="95"/>
        <v>2021</v>
      </c>
      <c r="G291" s="59" t="str">
        <f t="shared" si="105"/>
        <v>Week_41</v>
      </c>
      <c r="H291" s="59" t="str">
        <f t="shared" si="106"/>
        <v>October 2021</v>
      </c>
      <c r="I291" s="59" t="str">
        <f t="shared" si="107"/>
        <v>Week_41</v>
      </c>
      <c r="J291" s="60">
        <f t="shared" si="96"/>
        <v>44478</v>
      </c>
      <c r="K291" s="59">
        <f t="shared" si="108"/>
        <v>41</v>
      </c>
      <c r="L291" s="59">
        <f t="shared" si="97"/>
        <v>41</v>
      </c>
      <c r="M291" s="59" t="str">
        <f t="shared" si="98"/>
        <v>Week_</v>
      </c>
      <c r="N291" s="59" t="str">
        <f t="shared" si="99"/>
        <v>Week_41</v>
      </c>
      <c r="O291" s="59">
        <f t="shared" si="109"/>
        <v>0</v>
      </c>
      <c r="P291" s="59" t="str">
        <f t="shared" si="110"/>
        <v/>
      </c>
      <c r="Q291" s="59" t="str">
        <f t="shared" si="100"/>
        <v/>
      </c>
      <c r="R291" s="59" t="str">
        <f t="shared" si="101"/>
        <v>October 2021</v>
      </c>
      <c r="S291" s="61">
        <f t="shared" si="102"/>
        <v>44478</v>
      </c>
      <c r="Z291" s="62">
        <f t="shared" si="103"/>
        <v>44478</v>
      </c>
      <c r="AA291" s="63" t="s">
        <v>253</v>
      </c>
    </row>
    <row r="292" spans="2:27" x14ac:dyDescent="0.2">
      <c r="B292" s="58">
        <f t="shared" si="104"/>
        <v>44479</v>
      </c>
      <c r="C292" s="59" t="str">
        <f t="shared" si="92"/>
        <v>10</v>
      </c>
      <c r="D292" s="59" t="str">
        <f t="shared" si="93"/>
        <v>Sunday</v>
      </c>
      <c r="E292" s="59" t="str">
        <f t="shared" si="94"/>
        <v>October</v>
      </c>
      <c r="F292" s="59" t="str">
        <f t="shared" si="95"/>
        <v>2021</v>
      </c>
      <c r="G292" s="59" t="str">
        <f t="shared" si="105"/>
        <v>Week_41</v>
      </c>
      <c r="H292" s="59" t="str">
        <f t="shared" si="106"/>
        <v>October 2021</v>
      </c>
      <c r="I292" s="59" t="str">
        <f t="shared" si="107"/>
        <v>Week_41</v>
      </c>
      <c r="J292" s="60">
        <f t="shared" si="96"/>
        <v>44479</v>
      </c>
      <c r="K292" s="59">
        <f t="shared" si="108"/>
        <v>41</v>
      </c>
      <c r="L292" s="59">
        <f t="shared" si="97"/>
        <v>41</v>
      </c>
      <c r="M292" s="59" t="str">
        <f t="shared" si="98"/>
        <v>Week_</v>
      </c>
      <c r="N292" s="59" t="str">
        <f t="shared" si="99"/>
        <v>Week_41</v>
      </c>
      <c r="O292" s="59">
        <f t="shared" si="109"/>
        <v>0</v>
      </c>
      <c r="P292" s="59" t="str">
        <f t="shared" si="110"/>
        <v/>
      </c>
      <c r="Q292" s="59" t="str">
        <f t="shared" si="100"/>
        <v/>
      </c>
      <c r="R292" s="59" t="str">
        <f t="shared" si="101"/>
        <v>October 2021</v>
      </c>
      <c r="S292" s="61">
        <f t="shared" si="102"/>
        <v>44479</v>
      </c>
      <c r="Z292" s="62">
        <f t="shared" si="103"/>
        <v>44479</v>
      </c>
      <c r="AA292" s="63" t="s">
        <v>253</v>
      </c>
    </row>
    <row r="293" spans="2:27" x14ac:dyDescent="0.2">
      <c r="B293" s="58">
        <f t="shared" si="104"/>
        <v>44480</v>
      </c>
      <c r="C293" s="59" t="str">
        <f t="shared" si="92"/>
        <v>11</v>
      </c>
      <c r="D293" s="59" t="str">
        <f t="shared" si="93"/>
        <v>Monday</v>
      </c>
      <c r="E293" s="59" t="str">
        <f t="shared" si="94"/>
        <v>October</v>
      </c>
      <c r="F293" s="59" t="str">
        <f t="shared" si="95"/>
        <v>2021</v>
      </c>
      <c r="G293" s="59" t="str">
        <f t="shared" si="105"/>
        <v>Week_42</v>
      </c>
      <c r="H293" s="59" t="str">
        <f t="shared" si="106"/>
        <v>October 2021</v>
      </c>
      <c r="I293" s="59" t="str">
        <f t="shared" si="107"/>
        <v>Start WeekWeek_42</v>
      </c>
      <c r="J293" s="60">
        <f t="shared" si="96"/>
        <v>44480</v>
      </c>
      <c r="K293" s="59">
        <f t="shared" si="108"/>
        <v>42</v>
      </c>
      <c r="L293" s="59">
        <f t="shared" si="97"/>
        <v>42</v>
      </c>
      <c r="M293" s="59" t="str">
        <f t="shared" si="98"/>
        <v>Week_</v>
      </c>
      <c r="N293" s="59" t="str">
        <f t="shared" si="99"/>
        <v>Week_42</v>
      </c>
      <c r="O293" s="59">
        <f t="shared" si="109"/>
        <v>1</v>
      </c>
      <c r="P293" s="59" t="str">
        <f t="shared" si="110"/>
        <v>Start Week</v>
      </c>
      <c r="Q293" s="59" t="str">
        <f t="shared" si="100"/>
        <v/>
      </c>
      <c r="R293" s="59" t="str">
        <f t="shared" si="101"/>
        <v>October 2021</v>
      </c>
      <c r="S293" s="61">
        <f t="shared" si="102"/>
        <v>44480</v>
      </c>
      <c r="Z293" s="62">
        <f t="shared" si="103"/>
        <v>44480</v>
      </c>
      <c r="AA293" s="63" t="s">
        <v>253</v>
      </c>
    </row>
    <row r="294" spans="2:27" x14ac:dyDescent="0.2">
      <c r="B294" s="58">
        <f t="shared" si="104"/>
        <v>44481</v>
      </c>
      <c r="C294" s="59" t="str">
        <f t="shared" si="92"/>
        <v>12</v>
      </c>
      <c r="D294" s="59" t="str">
        <f t="shared" si="93"/>
        <v>Tuesday</v>
      </c>
      <c r="E294" s="59" t="str">
        <f t="shared" si="94"/>
        <v>October</v>
      </c>
      <c r="F294" s="59" t="str">
        <f t="shared" si="95"/>
        <v>2021</v>
      </c>
      <c r="G294" s="59" t="str">
        <f t="shared" si="105"/>
        <v>Week_42</v>
      </c>
      <c r="H294" s="59" t="str">
        <f t="shared" si="106"/>
        <v>October 2021</v>
      </c>
      <c r="I294" s="59" t="str">
        <f t="shared" si="107"/>
        <v>Week_42</v>
      </c>
      <c r="J294" s="60">
        <f t="shared" si="96"/>
        <v>44481</v>
      </c>
      <c r="K294" s="59">
        <f t="shared" si="108"/>
        <v>42</v>
      </c>
      <c r="L294" s="59">
        <f t="shared" si="97"/>
        <v>42</v>
      </c>
      <c r="M294" s="59" t="str">
        <f t="shared" si="98"/>
        <v>Week_</v>
      </c>
      <c r="N294" s="59" t="str">
        <f t="shared" si="99"/>
        <v>Week_42</v>
      </c>
      <c r="O294" s="59">
        <f t="shared" si="109"/>
        <v>0</v>
      </c>
      <c r="P294" s="59" t="str">
        <f t="shared" si="110"/>
        <v/>
      </c>
      <c r="Q294" s="59" t="str">
        <f t="shared" si="100"/>
        <v/>
      </c>
      <c r="R294" s="59" t="str">
        <f t="shared" si="101"/>
        <v>October 2021</v>
      </c>
      <c r="S294" s="61">
        <f t="shared" si="102"/>
        <v>44481</v>
      </c>
      <c r="Z294" s="62">
        <f t="shared" si="103"/>
        <v>44481</v>
      </c>
      <c r="AA294" s="63" t="s">
        <v>253</v>
      </c>
    </row>
    <row r="295" spans="2:27" x14ac:dyDescent="0.2">
      <c r="B295" s="58">
        <f t="shared" si="104"/>
        <v>44482</v>
      </c>
      <c r="C295" s="59" t="str">
        <f t="shared" si="92"/>
        <v>13</v>
      </c>
      <c r="D295" s="59" t="str">
        <f t="shared" si="93"/>
        <v>Wednesday</v>
      </c>
      <c r="E295" s="59" t="str">
        <f t="shared" si="94"/>
        <v>October</v>
      </c>
      <c r="F295" s="59" t="str">
        <f t="shared" si="95"/>
        <v>2021</v>
      </c>
      <c r="G295" s="59" t="str">
        <f t="shared" si="105"/>
        <v>Week_42</v>
      </c>
      <c r="H295" s="59" t="str">
        <f t="shared" si="106"/>
        <v>October 2021</v>
      </c>
      <c r="I295" s="59" t="str">
        <f t="shared" si="107"/>
        <v>Week_42</v>
      </c>
      <c r="J295" s="60">
        <f t="shared" si="96"/>
        <v>44482</v>
      </c>
      <c r="K295" s="59">
        <f t="shared" si="108"/>
        <v>42</v>
      </c>
      <c r="L295" s="59">
        <f t="shared" si="97"/>
        <v>42</v>
      </c>
      <c r="M295" s="59" t="str">
        <f t="shared" si="98"/>
        <v>Week_</v>
      </c>
      <c r="N295" s="59" t="str">
        <f t="shared" si="99"/>
        <v>Week_42</v>
      </c>
      <c r="O295" s="59">
        <f t="shared" si="109"/>
        <v>0</v>
      </c>
      <c r="P295" s="59" t="str">
        <f t="shared" si="110"/>
        <v/>
      </c>
      <c r="Q295" s="59" t="str">
        <f t="shared" si="100"/>
        <v/>
      </c>
      <c r="R295" s="59" t="str">
        <f t="shared" si="101"/>
        <v>October 2021</v>
      </c>
      <c r="S295" s="61">
        <f t="shared" si="102"/>
        <v>44482</v>
      </c>
      <c r="Z295" s="62">
        <f t="shared" si="103"/>
        <v>44482</v>
      </c>
      <c r="AA295" s="63" t="s">
        <v>253</v>
      </c>
    </row>
    <row r="296" spans="2:27" x14ac:dyDescent="0.2">
      <c r="B296" s="58">
        <f t="shared" si="104"/>
        <v>44483</v>
      </c>
      <c r="C296" s="59" t="str">
        <f t="shared" si="92"/>
        <v>14</v>
      </c>
      <c r="D296" s="59" t="str">
        <f t="shared" si="93"/>
        <v>Thursday</v>
      </c>
      <c r="E296" s="59" t="str">
        <f t="shared" si="94"/>
        <v>October</v>
      </c>
      <c r="F296" s="59" t="str">
        <f t="shared" si="95"/>
        <v>2021</v>
      </c>
      <c r="G296" s="59" t="str">
        <f t="shared" si="105"/>
        <v>Week_42</v>
      </c>
      <c r="H296" s="59" t="str">
        <f t="shared" si="106"/>
        <v>October 2021</v>
      </c>
      <c r="I296" s="59" t="str">
        <f t="shared" si="107"/>
        <v>Week_42</v>
      </c>
      <c r="J296" s="60">
        <f t="shared" si="96"/>
        <v>44483</v>
      </c>
      <c r="K296" s="59">
        <f t="shared" si="108"/>
        <v>42</v>
      </c>
      <c r="L296" s="59">
        <f t="shared" si="97"/>
        <v>42</v>
      </c>
      <c r="M296" s="59" t="str">
        <f t="shared" si="98"/>
        <v>Week_</v>
      </c>
      <c r="N296" s="59" t="str">
        <f t="shared" si="99"/>
        <v>Week_42</v>
      </c>
      <c r="O296" s="59">
        <f t="shared" si="109"/>
        <v>0</v>
      </c>
      <c r="P296" s="59" t="str">
        <f t="shared" si="110"/>
        <v/>
      </c>
      <c r="Q296" s="59" t="str">
        <f t="shared" si="100"/>
        <v/>
      </c>
      <c r="R296" s="59" t="str">
        <f t="shared" si="101"/>
        <v>October 2021</v>
      </c>
      <c r="S296" s="61">
        <f t="shared" si="102"/>
        <v>44483</v>
      </c>
      <c r="Z296" s="62">
        <f t="shared" si="103"/>
        <v>44483</v>
      </c>
      <c r="AA296" s="63" t="s">
        <v>253</v>
      </c>
    </row>
    <row r="297" spans="2:27" x14ac:dyDescent="0.2">
      <c r="B297" s="58">
        <f t="shared" si="104"/>
        <v>44484</v>
      </c>
      <c r="C297" s="59" t="str">
        <f t="shared" si="92"/>
        <v>15</v>
      </c>
      <c r="D297" s="59" t="str">
        <f t="shared" si="93"/>
        <v>Friday</v>
      </c>
      <c r="E297" s="59" t="str">
        <f t="shared" si="94"/>
        <v>October</v>
      </c>
      <c r="F297" s="59" t="str">
        <f t="shared" si="95"/>
        <v>2021</v>
      </c>
      <c r="G297" s="59" t="str">
        <f t="shared" si="105"/>
        <v>Week_42</v>
      </c>
      <c r="H297" s="59" t="str">
        <f t="shared" si="106"/>
        <v>October 2021</v>
      </c>
      <c r="I297" s="59" t="str">
        <f t="shared" si="107"/>
        <v>Week_42</v>
      </c>
      <c r="J297" s="60">
        <f t="shared" si="96"/>
        <v>44484</v>
      </c>
      <c r="K297" s="59">
        <f t="shared" si="108"/>
        <v>42</v>
      </c>
      <c r="L297" s="59">
        <f t="shared" si="97"/>
        <v>42</v>
      </c>
      <c r="M297" s="59" t="str">
        <f t="shared" si="98"/>
        <v>Week_</v>
      </c>
      <c r="N297" s="59" t="str">
        <f t="shared" si="99"/>
        <v>Week_42</v>
      </c>
      <c r="O297" s="59">
        <f t="shared" si="109"/>
        <v>0</v>
      </c>
      <c r="P297" s="59" t="str">
        <f t="shared" si="110"/>
        <v/>
      </c>
      <c r="Q297" s="59" t="str">
        <f t="shared" si="100"/>
        <v/>
      </c>
      <c r="R297" s="59" t="str">
        <f t="shared" si="101"/>
        <v>October 2021</v>
      </c>
      <c r="S297" s="61">
        <f t="shared" si="102"/>
        <v>44484</v>
      </c>
      <c r="Z297" s="62">
        <f t="shared" si="103"/>
        <v>44484</v>
      </c>
      <c r="AA297" s="63" t="s">
        <v>253</v>
      </c>
    </row>
    <row r="298" spans="2:27" x14ac:dyDescent="0.2">
      <c r="B298" s="58">
        <f t="shared" si="104"/>
        <v>44485</v>
      </c>
      <c r="C298" s="59" t="str">
        <f t="shared" si="92"/>
        <v>16</v>
      </c>
      <c r="D298" s="59" t="str">
        <f t="shared" si="93"/>
        <v>Saturday</v>
      </c>
      <c r="E298" s="59" t="str">
        <f t="shared" si="94"/>
        <v>October</v>
      </c>
      <c r="F298" s="59" t="str">
        <f t="shared" si="95"/>
        <v>2021</v>
      </c>
      <c r="G298" s="59" t="str">
        <f t="shared" si="105"/>
        <v>Week_42</v>
      </c>
      <c r="H298" s="59" t="str">
        <f t="shared" si="106"/>
        <v>October 2021</v>
      </c>
      <c r="I298" s="59" t="str">
        <f t="shared" si="107"/>
        <v>Week_42</v>
      </c>
      <c r="J298" s="60">
        <f t="shared" si="96"/>
        <v>44485</v>
      </c>
      <c r="K298" s="59">
        <f t="shared" si="108"/>
        <v>42</v>
      </c>
      <c r="L298" s="59">
        <f t="shared" si="97"/>
        <v>42</v>
      </c>
      <c r="M298" s="59" t="str">
        <f t="shared" si="98"/>
        <v>Week_</v>
      </c>
      <c r="N298" s="59" t="str">
        <f t="shared" si="99"/>
        <v>Week_42</v>
      </c>
      <c r="O298" s="59">
        <f t="shared" si="109"/>
        <v>0</v>
      </c>
      <c r="P298" s="59" t="str">
        <f t="shared" si="110"/>
        <v/>
      </c>
      <c r="Q298" s="59" t="str">
        <f t="shared" si="100"/>
        <v/>
      </c>
      <c r="R298" s="59" t="str">
        <f t="shared" si="101"/>
        <v>October 2021</v>
      </c>
      <c r="S298" s="61">
        <f t="shared" si="102"/>
        <v>44485</v>
      </c>
      <c r="Z298" s="62">
        <f t="shared" si="103"/>
        <v>44485</v>
      </c>
      <c r="AA298" s="63" t="s">
        <v>253</v>
      </c>
    </row>
    <row r="299" spans="2:27" x14ac:dyDescent="0.2">
      <c r="B299" s="58">
        <f t="shared" si="104"/>
        <v>44486</v>
      </c>
      <c r="C299" s="59" t="str">
        <f t="shared" si="92"/>
        <v>17</v>
      </c>
      <c r="D299" s="59" t="str">
        <f t="shared" si="93"/>
        <v>Sunday</v>
      </c>
      <c r="E299" s="59" t="str">
        <f t="shared" si="94"/>
        <v>October</v>
      </c>
      <c r="F299" s="59" t="str">
        <f t="shared" si="95"/>
        <v>2021</v>
      </c>
      <c r="G299" s="59" t="str">
        <f t="shared" si="105"/>
        <v>Week_42</v>
      </c>
      <c r="H299" s="59" t="str">
        <f t="shared" si="106"/>
        <v>October 2021</v>
      </c>
      <c r="I299" s="59" t="str">
        <f t="shared" si="107"/>
        <v>Week_42</v>
      </c>
      <c r="J299" s="60">
        <f t="shared" si="96"/>
        <v>44486</v>
      </c>
      <c r="K299" s="59">
        <f t="shared" si="108"/>
        <v>42</v>
      </c>
      <c r="L299" s="59">
        <f t="shared" si="97"/>
        <v>42</v>
      </c>
      <c r="M299" s="59" t="str">
        <f t="shared" si="98"/>
        <v>Week_</v>
      </c>
      <c r="N299" s="59" t="str">
        <f t="shared" si="99"/>
        <v>Week_42</v>
      </c>
      <c r="O299" s="59">
        <f t="shared" si="109"/>
        <v>0</v>
      </c>
      <c r="P299" s="59" t="str">
        <f t="shared" si="110"/>
        <v/>
      </c>
      <c r="Q299" s="59" t="str">
        <f t="shared" si="100"/>
        <v/>
      </c>
      <c r="R299" s="59" t="str">
        <f t="shared" si="101"/>
        <v>October 2021</v>
      </c>
      <c r="S299" s="61">
        <f t="shared" si="102"/>
        <v>44486</v>
      </c>
      <c r="Z299" s="62">
        <f t="shared" si="103"/>
        <v>44486</v>
      </c>
      <c r="AA299" s="63" t="s">
        <v>253</v>
      </c>
    </row>
    <row r="300" spans="2:27" x14ac:dyDescent="0.2">
      <c r="B300" s="58">
        <f t="shared" si="104"/>
        <v>44487</v>
      </c>
      <c r="C300" s="59" t="str">
        <f t="shared" si="92"/>
        <v>18</v>
      </c>
      <c r="D300" s="59" t="str">
        <f t="shared" si="93"/>
        <v>Monday</v>
      </c>
      <c r="E300" s="59" t="str">
        <f t="shared" si="94"/>
        <v>October</v>
      </c>
      <c r="F300" s="59" t="str">
        <f t="shared" si="95"/>
        <v>2021</v>
      </c>
      <c r="G300" s="59" t="str">
        <f t="shared" si="105"/>
        <v>Week_43</v>
      </c>
      <c r="H300" s="59" t="str">
        <f t="shared" si="106"/>
        <v>October 2021</v>
      </c>
      <c r="I300" s="59" t="str">
        <f t="shared" si="107"/>
        <v>Start WeekWeek_43</v>
      </c>
      <c r="J300" s="60">
        <f t="shared" si="96"/>
        <v>44487</v>
      </c>
      <c r="K300" s="59">
        <f t="shared" si="108"/>
        <v>43</v>
      </c>
      <c r="L300" s="59">
        <f t="shared" si="97"/>
        <v>43</v>
      </c>
      <c r="M300" s="59" t="str">
        <f t="shared" si="98"/>
        <v>Week_</v>
      </c>
      <c r="N300" s="59" t="str">
        <f t="shared" si="99"/>
        <v>Week_43</v>
      </c>
      <c r="O300" s="59">
        <f t="shared" si="109"/>
        <v>1</v>
      </c>
      <c r="P300" s="59" t="str">
        <f t="shared" si="110"/>
        <v>Start Week</v>
      </c>
      <c r="Q300" s="59" t="str">
        <f t="shared" si="100"/>
        <v/>
      </c>
      <c r="R300" s="59" t="str">
        <f t="shared" si="101"/>
        <v>October 2021</v>
      </c>
      <c r="S300" s="61">
        <f t="shared" si="102"/>
        <v>44487</v>
      </c>
      <c r="Z300" s="62">
        <f t="shared" si="103"/>
        <v>44487</v>
      </c>
      <c r="AA300" s="63" t="s">
        <v>253</v>
      </c>
    </row>
    <row r="301" spans="2:27" x14ac:dyDescent="0.2">
      <c r="B301" s="58">
        <f t="shared" si="104"/>
        <v>44488</v>
      </c>
      <c r="C301" s="59" t="str">
        <f t="shared" si="92"/>
        <v>19</v>
      </c>
      <c r="D301" s="59" t="str">
        <f t="shared" si="93"/>
        <v>Tuesday</v>
      </c>
      <c r="E301" s="59" t="str">
        <f t="shared" si="94"/>
        <v>October</v>
      </c>
      <c r="F301" s="59" t="str">
        <f t="shared" si="95"/>
        <v>2021</v>
      </c>
      <c r="G301" s="59" t="str">
        <f t="shared" si="105"/>
        <v>Week_43</v>
      </c>
      <c r="H301" s="59" t="str">
        <f t="shared" si="106"/>
        <v>October 2021</v>
      </c>
      <c r="I301" s="59" t="str">
        <f t="shared" si="107"/>
        <v>Week_43</v>
      </c>
      <c r="J301" s="60">
        <f t="shared" si="96"/>
        <v>44488</v>
      </c>
      <c r="K301" s="59">
        <f t="shared" si="108"/>
        <v>43</v>
      </c>
      <c r="L301" s="59">
        <f t="shared" si="97"/>
        <v>43</v>
      </c>
      <c r="M301" s="59" t="str">
        <f t="shared" si="98"/>
        <v>Week_</v>
      </c>
      <c r="N301" s="59" t="str">
        <f t="shared" si="99"/>
        <v>Week_43</v>
      </c>
      <c r="O301" s="59">
        <f t="shared" si="109"/>
        <v>0</v>
      </c>
      <c r="P301" s="59" t="str">
        <f t="shared" si="110"/>
        <v/>
      </c>
      <c r="Q301" s="59" t="str">
        <f t="shared" si="100"/>
        <v/>
      </c>
      <c r="R301" s="59" t="str">
        <f t="shared" si="101"/>
        <v>October 2021</v>
      </c>
      <c r="S301" s="61">
        <f t="shared" si="102"/>
        <v>44488</v>
      </c>
      <c r="Z301" s="62">
        <f t="shared" si="103"/>
        <v>44488</v>
      </c>
      <c r="AA301" s="63" t="s">
        <v>253</v>
      </c>
    </row>
    <row r="302" spans="2:27" x14ac:dyDescent="0.2">
      <c r="B302" s="58">
        <f t="shared" si="104"/>
        <v>44489</v>
      </c>
      <c r="C302" s="59" t="str">
        <f t="shared" si="92"/>
        <v>20</v>
      </c>
      <c r="D302" s="59" t="str">
        <f t="shared" si="93"/>
        <v>Wednesday</v>
      </c>
      <c r="E302" s="59" t="str">
        <f t="shared" si="94"/>
        <v>October</v>
      </c>
      <c r="F302" s="59" t="str">
        <f t="shared" si="95"/>
        <v>2021</v>
      </c>
      <c r="G302" s="59" t="str">
        <f t="shared" si="105"/>
        <v>Week_43</v>
      </c>
      <c r="H302" s="59" t="str">
        <f t="shared" si="106"/>
        <v>October 2021</v>
      </c>
      <c r="I302" s="59" t="str">
        <f t="shared" si="107"/>
        <v>Week_43</v>
      </c>
      <c r="J302" s="60">
        <f t="shared" si="96"/>
        <v>44489</v>
      </c>
      <c r="K302" s="59">
        <f t="shared" si="108"/>
        <v>43</v>
      </c>
      <c r="L302" s="59">
        <f t="shared" si="97"/>
        <v>43</v>
      </c>
      <c r="M302" s="59" t="str">
        <f t="shared" si="98"/>
        <v>Week_</v>
      </c>
      <c r="N302" s="59" t="str">
        <f t="shared" si="99"/>
        <v>Week_43</v>
      </c>
      <c r="O302" s="59">
        <f t="shared" si="109"/>
        <v>0</v>
      </c>
      <c r="P302" s="59" t="str">
        <f t="shared" si="110"/>
        <v/>
      </c>
      <c r="Q302" s="59" t="str">
        <f t="shared" si="100"/>
        <v/>
      </c>
      <c r="R302" s="59" t="str">
        <f t="shared" si="101"/>
        <v>October 2021</v>
      </c>
      <c r="S302" s="61">
        <f t="shared" si="102"/>
        <v>44489</v>
      </c>
      <c r="Z302" s="62">
        <f t="shared" si="103"/>
        <v>44489</v>
      </c>
      <c r="AA302" s="63" t="s">
        <v>253</v>
      </c>
    </row>
    <row r="303" spans="2:27" x14ac:dyDescent="0.2">
      <c r="B303" s="58">
        <f t="shared" si="104"/>
        <v>44490</v>
      </c>
      <c r="C303" s="59" t="str">
        <f t="shared" si="92"/>
        <v>21</v>
      </c>
      <c r="D303" s="59" t="str">
        <f t="shared" si="93"/>
        <v>Thursday</v>
      </c>
      <c r="E303" s="59" t="str">
        <f t="shared" si="94"/>
        <v>October</v>
      </c>
      <c r="F303" s="59" t="str">
        <f t="shared" si="95"/>
        <v>2021</v>
      </c>
      <c r="G303" s="59" t="str">
        <f t="shared" si="105"/>
        <v>Week_43</v>
      </c>
      <c r="H303" s="59" t="str">
        <f t="shared" si="106"/>
        <v>October 2021</v>
      </c>
      <c r="I303" s="59" t="str">
        <f t="shared" si="107"/>
        <v>Week_43</v>
      </c>
      <c r="J303" s="60">
        <f t="shared" si="96"/>
        <v>44490</v>
      </c>
      <c r="K303" s="59">
        <f t="shared" si="108"/>
        <v>43</v>
      </c>
      <c r="L303" s="59">
        <f t="shared" si="97"/>
        <v>43</v>
      </c>
      <c r="M303" s="59" t="str">
        <f t="shared" si="98"/>
        <v>Week_</v>
      </c>
      <c r="N303" s="59" t="str">
        <f t="shared" si="99"/>
        <v>Week_43</v>
      </c>
      <c r="O303" s="59">
        <f t="shared" si="109"/>
        <v>0</v>
      </c>
      <c r="P303" s="59" t="str">
        <f t="shared" si="110"/>
        <v/>
      </c>
      <c r="Q303" s="59" t="str">
        <f t="shared" si="100"/>
        <v/>
      </c>
      <c r="R303" s="59" t="str">
        <f t="shared" si="101"/>
        <v>October 2021</v>
      </c>
      <c r="S303" s="61">
        <f t="shared" si="102"/>
        <v>44490</v>
      </c>
      <c r="Z303" s="62">
        <f t="shared" si="103"/>
        <v>44490</v>
      </c>
      <c r="AA303" s="63" t="s">
        <v>253</v>
      </c>
    </row>
    <row r="304" spans="2:27" x14ac:dyDescent="0.2">
      <c r="B304" s="58">
        <f t="shared" si="104"/>
        <v>44491</v>
      </c>
      <c r="C304" s="59" t="str">
        <f t="shared" si="92"/>
        <v>22</v>
      </c>
      <c r="D304" s="59" t="str">
        <f t="shared" si="93"/>
        <v>Friday</v>
      </c>
      <c r="E304" s="59" t="str">
        <f t="shared" si="94"/>
        <v>October</v>
      </c>
      <c r="F304" s="59" t="str">
        <f t="shared" si="95"/>
        <v>2021</v>
      </c>
      <c r="G304" s="59" t="str">
        <f t="shared" si="105"/>
        <v>Week_43</v>
      </c>
      <c r="H304" s="59" t="str">
        <f t="shared" si="106"/>
        <v>October 2021</v>
      </c>
      <c r="I304" s="59" t="str">
        <f t="shared" si="107"/>
        <v>Week_43</v>
      </c>
      <c r="J304" s="60">
        <f t="shared" si="96"/>
        <v>44491</v>
      </c>
      <c r="K304" s="59">
        <f t="shared" si="108"/>
        <v>43</v>
      </c>
      <c r="L304" s="59">
        <f t="shared" si="97"/>
        <v>43</v>
      </c>
      <c r="M304" s="59" t="str">
        <f t="shared" si="98"/>
        <v>Week_</v>
      </c>
      <c r="N304" s="59" t="str">
        <f t="shared" si="99"/>
        <v>Week_43</v>
      </c>
      <c r="O304" s="59">
        <f t="shared" si="109"/>
        <v>0</v>
      </c>
      <c r="P304" s="59" t="str">
        <f t="shared" si="110"/>
        <v/>
      </c>
      <c r="Q304" s="59" t="str">
        <f t="shared" si="100"/>
        <v/>
      </c>
      <c r="R304" s="59" t="str">
        <f t="shared" si="101"/>
        <v>October 2021</v>
      </c>
      <c r="S304" s="61">
        <f t="shared" si="102"/>
        <v>44491</v>
      </c>
      <c r="Z304" s="62">
        <f t="shared" si="103"/>
        <v>44491</v>
      </c>
      <c r="AA304" s="63" t="s">
        <v>253</v>
      </c>
    </row>
    <row r="305" spans="2:27" x14ac:dyDescent="0.2">
      <c r="B305" s="58">
        <f t="shared" si="104"/>
        <v>44492</v>
      </c>
      <c r="C305" s="59" t="str">
        <f t="shared" si="92"/>
        <v>23</v>
      </c>
      <c r="D305" s="59" t="str">
        <f t="shared" si="93"/>
        <v>Saturday</v>
      </c>
      <c r="E305" s="59" t="str">
        <f t="shared" si="94"/>
        <v>October</v>
      </c>
      <c r="F305" s="59" t="str">
        <f t="shared" si="95"/>
        <v>2021</v>
      </c>
      <c r="G305" s="59" t="str">
        <f t="shared" si="105"/>
        <v>Week_43</v>
      </c>
      <c r="H305" s="59" t="str">
        <f t="shared" si="106"/>
        <v>October 2021</v>
      </c>
      <c r="I305" s="59" t="str">
        <f t="shared" si="107"/>
        <v>Week_43</v>
      </c>
      <c r="J305" s="60">
        <f t="shared" si="96"/>
        <v>44492</v>
      </c>
      <c r="K305" s="59">
        <f t="shared" si="108"/>
        <v>43</v>
      </c>
      <c r="L305" s="59">
        <f t="shared" si="97"/>
        <v>43</v>
      </c>
      <c r="M305" s="59" t="str">
        <f t="shared" si="98"/>
        <v>Week_</v>
      </c>
      <c r="N305" s="59" t="str">
        <f t="shared" si="99"/>
        <v>Week_43</v>
      </c>
      <c r="O305" s="59">
        <f t="shared" si="109"/>
        <v>0</v>
      </c>
      <c r="P305" s="59" t="str">
        <f t="shared" si="110"/>
        <v/>
      </c>
      <c r="Q305" s="59" t="str">
        <f t="shared" si="100"/>
        <v/>
      </c>
      <c r="R305" s="59" t="str">
        <f t="shared" si="101"/>
        <v>October 2021</v>
      </c>
      <c r="S305" s="61">
        <f t="shared" si="102"/>
        <v>44492</v>
      </c>
      <c r="Z305" s="62">
        <f t="shared" si="103"/>
        <v>44492</v>
      </c>
      <c r="AA305" s="63" t="s">
        <v>253</v>
      </c>
    </row>
    <row r="306" spans="2:27" x14ac:dyDescent="0.2">
      <c r="B306" s="58">
        <f t="shared" si="104"/>
        <v>44493</v>
      </c>
      <c r="C306" s="59" t="str">
        <f t="shared" si="92"/>
        <v>24</v>
      </c>
      <c r="D306" s="59" t="str">
        <f t="shared" si="93"/>
        <v>Sunday</v>
      </c>
      <c r="E306" s="59" t="str">
        <f t="shared" si="94"/>
        <v>October</v>
      </c>
      <c r="F306" s="59" t="str">
        <f t="shared" si="95"/>
        <v>2021</v>
      </c>
      <c r="G306" s="59" t="str">
        <f t="shared" si="105"/>
        <v>Week_43</v>
      </c>
      <c r="H306" s="59" t="str">
        <f t="shared" si="106"/>
        <v>October 2021</v>
      </c>
      <c r="I306" s="59" t="str">
        <f t="shared" si="107"/>
        <v>Week_43</v>
      </c>
      <c r="J306" s="60">
        <f t="shared" si="96"/>
        <v>44493</v>
      </c>
      <c r="K306" s="59">
        <f t="shared" si="108"/>
        <v>43</v>
      </c>
      <c r="L306" s="59">
        <f t="shared" si="97"/>
        <v>43</v>
      </c>
      <c r="M306" s="59" t="str">
        <f t="shared" si="98"/>
        <v>Week_</v>
      </c>
      <c r="N306" s="59" t="str">
        <f t="shared" si="99"/>
        <v>Week_43</v>
      </c>
      <c r="O306" s="59">
        <f t="shared" si="109"/>
        <v>0</v>
      </c>
      <c r="P306" s="59" t="str">
        <f t="shared" si="110"/>
        <v/>
      </c>
      <c r="Q306" s="59" t="str">
        <f t="shared" si="100"/>
        <v/>
      </c>
      <c r="R306" s="59" t="str">
        <f t="shared" si="101"/>
        <v>October 2021</v>
      </c>
      <c r="S306" s="61">
        <f t="shared" si="102"/>
        <v>44493</v>
      </c>
      <c r="Z306" s="62">
        <f t="shared" si="103"/>
        <v>44493</v>
      </c>
      <c r="AA306" s="63" t="s">
        <v>253</v>
      </c>
    </row>
    <row r="307" spans="2:27" x14ac:dyDescent="0.2">
      <c r="B307" s="58">
        <f t="shared" si="104"/>
        <v>44494</v>
      </c>
      <c r="C307" s="59" t="str">
        <f t="shared" si="92"/>
        <v>25</v>
      </c>
      <c r="D307" s="59" t="str">
        <f t="shared" si="93"/>
        <v>Monday</v>
      </c>
      <c r="E307" s="59" t="str">
        <f t="shared" si="94"/>
        <v>October</v>
      </c>
      <c r="F307" s="59" t="str">
        <f t="shared" si="95"/>
        <v>2021</v>
      </c>
      <c r="G307" s="59" t="str">
        <f t="shared" si="105"/>
        <v>Week_44</v>
      </c>
      <c r="H307" s="59" t="str">
        <f t="shared" si="106"/>
        <v>October 2021</v>
      </c>
      <c r="I307" s="59" t="str">
        <f t="shared" si="107"/>
        <v>Start WeekWeek_44</v>
      </c>
      <c r="J307" s="60">
        <f t="shared" si="96"/>
        <v>44494</v>
      </c>
      <c r="K307" s="59">
        <f t="shared" si="108"/>
        <v>44</v>
      </c>
      <c r="L307" s="59">
        <f t="shared" si="97"/>
        <v>44</v>
      </c>
      <c r="M307" s="59" t="str">
        <f t="shared" si="98"/>
        <v>Week_</v>
      </c>
      <c r="N307" s="59" t="str">
        <f t="shared" si="99"/>
        <v>Week_44</v>
      </c>
      <c r="O307" s="59">
        <f t="shared" si="109"/>
        <v>1</v>
      </c>
      <c r="P307" s="59" t="str">
        <f t="shared" si="110"/>
        <v>Start Week</v>
      </c>
      <c r="Q307" s="59" t="str">
        <f t="shared" si="100"/>
        <v/>
      </c>
      <c r="R307" s="59" t="str">
        <f t="shared" si="101"/>
        <v>October 2021</v>
      </c>
      <c r="S307" s="61">
        <f t="shared" si="102"/>
        <v>44494</v>
      </c>
      <c r="Z307" s="62">
        <f t="shared" si="103"/>
        <v>44494</v>
      </c>
      <c r="AA307" s="63" t="s">
        <v>253</v>
      </c>
    </row>
    <row r="308" spans="2:27" x14ac:dyDescent="0.2">
      <c r="B308" s="58">
        <f t="shared" si="104"/>
        <v>44495</v>
      </c>
      <c r="C308" s="59" t="str">
        <f t="shared" si="92"/>
        <v>26</v>
      </c>
      <c r="D308" s="59" t="str">
        <f t="shared" si="93"/>
        <v>Tuesday</v>
      </c>
      <c r="E308" s="59" t="str">
        <f t="shared" si="94"/>
        <v>October</v>
      </c>
      <c r="F308" s="59" t="str">
        <f t="shared" si="95"/>
        <v>2021</v>
      </c>
      <c r="G308" s="59" t="str">
        <f t="shared" si="105"/>
        <v>Week_44</v>
      </c>
      <c r="H308" s="59" t="str">
        <f t="shared" si="106"/>
        <v>October 2021</v>
      </c>
      <c r="I308" s="59" t="str">
        <f t="shared" si="107"/>
        <v>Week_44</v>
      </c>
      <c r="J308" s="60">
        <f t="shared" si="96"/>
        <v>44495</v>
      </c>
      <c r="K308" s="59">
        <f t="shared" si="108"/>
        <v>44</v>
      </c>
      <c r="L308" s="59">
        <f t="shared" si="97"/>
        <v>44</v>
      </c>
      <c r="M308" s="59" t="str">
        <f t="shared" si="98"/>
        <v>Week_</v>
      </c>
      <c r="N308" s="59" t="str">
        <f t="shared" si="99"/>
        <v>Week_44</v>
      </c>
      <c r="O308" s="59">
        <f t="shared" si="109"/>
        <v>0</v>
      </c>
      <c r="P308" s="59" t="str">
        <f t="shared" si="110"/>
        <v/>
      </c>
      <c r="Q308" s="59" t="str">
        <f t="shared" si="100"/>
        <v/>
      </c>
      <c r="R308" s="59" t="str">
        <f t="shared" si="101"/>
        <v>October 2021</v>
      </c>
      <c r="S308" s="61">
        <f t="shared" si="102"/>
        <v>44495</v>
      </c>
      <c r="Z308" s="62">
        <f t="shared" si="103"/>
        <v>44495</v>
      </c>
      <c r="AA308" s="63" t="s">
        <v>253</v>
      </c>
    </row>
    <row r="309" spans="2:27" x14ac:dyDescent="0.2">
      <c r="B309" s="58">
        <f t="shared" si="104"/>
        <v>44496</v>
      </c>
      <c r="C309" s="59" t="str">
        <f t="shared" si="92"/>
        <v>27</v>
      </c>
      <c r="D309" s="59" t="str">
        <f t="shared" si="93"/>
        <v>Wednesday</v>
      </c>
      <c r="E309" s="59" t="str">
        <f t="shared" si="94"/>
        <v>October</v>
      </c>
      <c r="F309" s="59" t="str">
        <f t="shared" si="95"/>
        <v>2021</v>
      </c>
      <c r="G309" s="59" t="str">
        <f t="shared" si="105"/>
        <v>Week_44</v>
      </c>
      <c r="H309" s="59" t="str">
        <f t="shared" si="106"/>
        <v>October 2021</v>
      </c>
      <c r="I309" s="59" t="str">
        <f t="shared" si="107"/>
        <v>Week_44</v>
      </c>
      <c r="J309" s="60">
        <f t="shared" si="96"/>
        <v>44496</v>
      </c>
      <c r="K309" s="59">
        <f t="shared" si="108"/>
        <v>44</v>
      </c>
      <c r="L309" s="59">
        <f t="shared" si="97"/>
        <v>44</v>
      </c>
      <c r="M309" s="59" t="str">
        <f t="shared" si="98"/>
        <v>Week_</v>
      </c>
      <c r="N309" s="59" t="str">
        <f t="shared" si="99"/>
        <v>Week_44</v>
      </c>
      <c r="O309" s="59">
        <f t="shared" si="109"/>
        <v>0</v>
      </c>
      <c r="P309" s="59" t="str">
        <f t="shared" si="110"/>
        <v/>
      </c>
      <c r="Q309" s="59" t="str">
        <f t="shared" si="100"/>
        <v/>
      </c>
      <c r="R309" s="59" t="str">
        <f t="shared" si="101"/>
        <v>October 2021</v>
      </c>
      <c r="S309" s="61">
        <f t="shared" si="102"/>
        <v>44496</v>
      </c>
      <c r="Z309" s="62">
        <f t="shared" si="103"/>
        <v>44496</v>
      </c>
      <c r="AA309" s="63" t="s">
        <v>253</v>
      </c>
    </row>
    <row r="310" spans="2:27" x14ac:dyDescent="0.2">
      <c r="B310" s="58">
        <f t="shared" si="104"/>
        <v>44497</v>
      </c>
      <c r="C310" s="59" t="str">
        <f t="shared" si="92"/>
        <v>28</v>
      </c>
      <c r="D310" s="59" t="str">
        <f t="shared" si="93"/>
        <v>Thursday</v>
      </c>
      <c r="E310" s="59" t="str">
        <f t="shared" si="94"/>
        <v>October</v>
      </c>
      <c r="F310" s="59" t="str">
        <f t="shared" si="95"/>
        <v>2021</v>
      </c>
      <c r="G310" s="59" t="str">
        <f t="shared" si="105"/>
        <v>Week_44</v>
      </c>
      <c r="H310" s="59" t="str">
        <f t="shared" si="106"/>
        <v>October 2021</v>
      </c>
      <c r="I310" s="59" t="str">
        <f t="shared" si="107"/>
        <v>Week_44</v>
      </c>
      <c r="J310" s="60">
        <f t="shared" si="96"/>
        <v>44497</v>
      </c>
      <c r="K310" s="59">
        <f t="shared" si="108"/>
        <v>44</v>
      </c>
      <c r="L310" s="59">
        <f t="shared" si="97"/>
        <v>44</v>
      </c>
      <c r="M310" s="59" t="str">
        <f t="shared" si="98"/>
        <v>Week_</v>
      </c>
      <c r="N310" s="59" t="str">
        <f t="shared" si="99"/>
        <v>Week_44</v>
      </c>
      <c r="O310" s="59">
        <f t="shared" si="109"/>
        <v>0</v>
      </c>
      <c r="P310" s="59" t="str">
        <f t="shared" si="110"/>
        <v/>
      </c>
      <c r="Q310" s="59" t="str">
        <f t="shared" si="100"/>
        <v/>
      </c>
      <c r="R310" s="59" t="str">
        <f t="shared" si="101"/>
        <v>October 2021</v>
      </c>
      <c r="S310" s="61">
        <f t="shared" si="102"/>
        <v>44497</v>
      </c>
      <c r="Z310" s="62">
        <f t="shared" si="103"/>
        <v>44497</v>
      </c>
      <c r="AA310" s="63" t="s">
        <v>253</v>
      </c>
    </row>
    <row r="311" spans="2:27" x14ac:dyDescent="0.2">
      <c r="B311" s="58">
        <f t="shared" si="104"/>
        <v>44498</v>
      </c>
      <c r="C311" s="59" t="str">
        <f t="shared" si="92"/>
        <v>29</v>
      </c>
      <c r="D311" s="59" t="str">
        <f t="shared" si="93"/>
        <v>Friday</v>
      </c>
      <c r="E311" s="59" t="str">
        <f t="shared" si="94"/>
        <v>October</v>
      </c>
      <c r="F311" s="59" t="str">
        <f t="shared" si="95"/>
        <v>2021</v>
      </c>
      <c r="G311" s="59" t="str">
        <f t="shared" si="105"/>
        <v>Week_44</v>
      </c>
      <c r="H311" s="59" t="str">
        <f t="shared" si="106"/>
        <v>October 2021</v>
      </c>
      <c r="I311" s="59" t="str">
        <f t="shared" si="107"/>
        <v>Week_44</v>
      </c>
      <c r="J311" s="60">
        <f t="shared" si="96"/>
        <v>44498</v>
      </c>
      <c r="K311" s="59">
        <f t="shared" si="108"/>
        <v>44</v>
      </c>
      <c r="L311" s="59">
        <f t="shared" si="97"/>
        <v>44</v>
      </c>
      <c r="M311" s="59" t="str">
        <f t="shared" si="98"/>
        <v>Week_</v>
      </c>
      <c r="N311" s="59" t="str">
        <f t="shared" si="99"/>
        <v>Week_44</v>
      </c>
      <c r="O311" s="59">
        <f t="shared" si="109"/>
        <v>0</v>
      </c>
      <c r="P311" s="59" t="str">
        <f t="shared" si="110"/>
        <v/>
      </c>
      <c r="Q311" s="59" t="str">
        <f t="shared" si="100"/>
        <v/>
      </c>
      <c r="R311" s="59" t="str">
        <f t="shared" si="101"/>
        <v>October 2021</v>
      </c>
      <c r="S311" s="61">
        <f t="shared" si="102"/>
        <v>44498</v>
      </c>
      <c r="Z311" s="62">
        <f t="shared" si="103"/>
        <v>44498</v>
      </c>
      <c r="AA311" s="63" t="s">
        <v>253</v>
      </c>
    </row>
    <row r="312" spans="2:27" x14ac:dyDescent="0.2">
      <c r="B312" s="58">
        <f t="shared" si="104"/>
        <v>44499</v>
      </c>
      <c r="C312" s="59" t="str">
        <f t="shared" si="92"/>
        <v>30</v>
      </c>
      <c r="D312" s="59" t="str">
        <f t="shared" si="93"/>
        <v>Saturday</v>
      </c>
      <c r="E312" s="59" t="str">
        <f t="shared" si="94"/>
        <v>October</v>
      </c>
      <c r="F312" s="59" t="str">
        <f t="shared" si="95"/>
        <v>2021</v>
      </c>
      <c r="G312" s="59" t="str">
        <f t="shared" si="105"/>
        <v>Week_44</v>
      </c>
      <c r="H312" s="59" t="str">
        <f t="shared" si="106"/>
        <v>October 2021</v>
      </c>
      <c r="I312" s="59" t="str">
        <f t="shared" si="107"/>
        <v>Week_44</v>
      </c>
      <c r="J312" s="60">
        <f t="shared" si="96"/>
        <v>44499</v>
      </c>
      <c r="K312" s="59">
        <f t="shared" si="108"/>
        <v>44</v>
      </c>
      <c r="L312" s="59">
        <f t="shared" si="97"/>
        <v>44</v>
      </c>
      <c r="M312" s="59" t="str">
        <f t="shared" si="98"/>
        <v>Week_</v>
      </c>
      <c r="N312" s="59" t="str">
        <f t="shared" si="99"/>
        <v>Week_44</v>
      </c>
      <c r="O312" s="59">
        <f t="shared" si="109"/>
        <v>0</v>
      </c>
      <c r="P312" s="59" t="str">
        <f t="shared" si="110"/>
        <v/>
      </c>
      <c r="Q312" s="59" t="str">
        <f t="shared" si="100"/>
        <v/>
      </c>
      <c r="R312" s="59" t="str">
        <f t="shared" si="101"/>
        <v>October 2021</v>
      </c>
      <c r="S312" s="61">
        <f t="shared" si="102"/>
        <v>44499</v>
      </c>
      <c r="Z312" s="62">
        <f t="shared" si="103"/>
        <v>44499</v>
      </c>
      <c r="AA312" s="63" t="s">
        <v>253</v>
      </c>
    </row>
    <row r="313" spans="2:27" x14ac:dyDescent="0.2">
      <c r="B313" s="58">
        <f t="shared" si="104"/>
        <v>44500</v>
      </c>
      <c r="C313" s="59" t="str">
        <f t="shared" si="92"/>
        <v>31</v>
      </c>
      <c r="D313" s="59" t="str">
        <f t="shared" si="93"/>
        <v>Sunday</v>
      </c>
      <c r="E313" s="59" t="str">
        <f t="shared" si="94"/>
        <v>October</v>
      </c>
      <c r="F313" s="59" t="str">
        <f t="shared" si="95"/>
        <v>2021</v>
      </c>
      <c r="G313" s="59" t="str">
        <f t="shared" si="105"/>
        <v>Week_44</v>
      </c>
      <c r="H313" s="59" t="str">
        <f t="shared" si="106"/>
        <v>October 2021</v>
      </c>
      <c r="I313" s="59" t="str">
        <f t="shared" si="107"/>
        <v>Week_44</v>
      </c>
      <c r="J313" s="60">
        <f t="shared" si="96"/>
        <v>44500</v>
      </c>
      <c r="K313" s="59">
        <f t="shared" si="108"/>
        <v>44</v>
      </c>
      <c r="L313" s="59">
        <f t="shared" si="97"/>
        <v>44</v>
      </c>
      <c r="M313" s="59" t="str">
        <f t="shared" si="98"/>
        <v>Week_</v>
      </c>
      <c r="N313" s="59" t="str">
        <f t="shared" si="99"/>
        <v>Week_44</v>
      </c>
      <c r="O313" s="59">
        <f t="shared" si="109"/>
        <v>0</v>
      </c>
      <c r="P313" s="59" t="str">
        <f t="shared" si="110"/>
        <v/>
      </c>
      <c r="Q313" s="59" t="str">
        <f t="shared" si="100"/>
        <v/>
      </c>
      <c r="R313" s="59" t="str">
        <f t="shared" si="101"/>
        <v>October 2021</v>
      </c>
      <c r="S313" s="61">
        <f t="shared" si="102"/>
        <v>44500</v>
      </c>
      <c r="Z313" s="62">
        <f t="shared" si="103"/>
        <v>44500</v>
      </c>
      <c r="AA313" s="63" t="s">
        <v>253</v>
      </c>
    </row>
    <row r="314" spans="2:27" x14ac:dyDescent="0.2">
      <c r="B314" s="58">
        <f t="shared" si="104"/>
        <v>44501</v>
      </c>
      <c r="C314" s="59" t="str">
        <f t="shared" si="92"/>
        <v>01</v>
      </c>
      <c r="D314" s="59" t="str">
        <f t="shared" si="93"/>
        <v>Monday</v>
      </c>
      <c r="E314" s="59" t="str">
        <f t="shared" si="94"/>
        <v>November</v>
      </c>
      <c r="F314" s="59" t="str">
        <f t="shared" si="95"/>
        <v>2021</v>
      </c>
      <c r="G314" s="59" t="str">
        <f t="shared" si="105"/>
        <v>Week_45</v>
      </c>
      <c r="H314" s="59" t="str">
        <f t="shared" si="106"/>
        <v>November 2021</v>
      </c>
      <c r="I314" s="59" t="str">
        <f t="shared" si="107"/>
        <v>Start WeekWeek_45</v>
      </c>
      <c r="J314" s="60">
        <f t="shared" si="96"/>
        <v>44501</v>
      </c>
      <c r="K314" s="59">
        <f t="shared" si="108"/>
        <v>45</v>
      </c>
      <c r="L314" s="59">
        <f t="shared" si="97"/>
        <v>45</v>
      </c>
      <c r="M314" s="59" t="str">
        <f t="shared" si="98"/>
        <v>Week_</v>
      </c>
      <c r="N314" s="59" t="str">
        <f t="shared" si="99"/>
        <v>Week_45</v>
      </c>
      <c r="O314" s="59">
        <f t="shared" si="109"/>
        <v>1</v>
      </c>
      <c r="P314" s="59" t="str">
        <f t="shared" si="110"/>
        <v>Start Week</v>
      </c>
      <c r="Q314" s="59" t="str">
        <f t="shared" si="100"/>
        <v>Start Month</v>
      </c>
      <c r="R314" s="59" t="str">
        <f t="shared" si="101"/>
        <v>Start MonthNovember 2021</v>
      </c>
      <c r="S314" s="61">
        <f t="shared" si="102"/>
        <v>44501</v>
      </c>
      <c r="Z314" s="62">
        <f t="shared" si="103"/>
        <v>44501</v>
      </c>
      <c r="AA314" s="63" t="s">
        <v>253</v>
      </c>
    </row>
    <row r="315" spans="2:27" x14ac:dyDescent="0.2">
      <c r="B315" s="58">
        <f t="shared" si="104"/>
        <v>44502</v>
      </c>
      <c r="C315" s="59" t="str">
        <f t="shared" si="92"/>
        <v>02</v>
      </c>
      <c r="D315" s="59" t="str">
        <f t="shared" si="93"/>
        <v>Tuesday</v>
      </c>
      <c r="E315" s="59" t="str">
        <f t="shared" si="94"/>
        <v>November</v>
      </c>
      <c r="F315" s="59" t="str">
        <f t="shared" si="95"/>
        <v>2021</v>
      </c>
      <c r="G315" s="59" t="str">
        <f t="shared" si="105"/>
        <v>Week_45</v>
      </c>
      <c r="H315" s="59" t="str">
        <f t="shared" si="106"/>
        <v>November 2021</v>
      </c>
      <c r="I315" s="59" t="str">
        <f t="shared" si="107"/>
        <v>Week_45</v>
      </c>
      <c r="J315" s="60">
        <f t="shared" si="96"/>
        <v>44502</v>
      </c>
      <c r="K315" s="59">
        <f t="shared" si="108"/>
        <v>45</v>
      </c>
      <c r="L315" s="59">
        <f t="shared" si="97"/>
        <v>45</v>
      </c>
      <c r="M315" s="59" t="str">
        <f t="shared" si="98"/>
        <v>Week_</v>
      </c>
      <c r="N315" s="59" t="str">
        <f t="shared" si="99"/>
        <v>Week_45</v>
      </c>
      <c r="O315" s="59">
        <f t="shared" si="109"/>
        <v>0</v>
      </c>
      <c r="P315" s="59" t="str">
        <f t="shared" si="110"/>
        <v/>
      </c>
      <c r="Q315" s="59" t="str">
        <f t="shared" si="100"/>
        <v/>
      </c>
      <c r="R315" s="59" t="str">
        <f t="shared" si="101"/>
        <v>November 2021</v>
      </c>
      <c r="S315" s="61">
        <f t="shared" si="102"/>
        <v>44502</v>
      </c>
      <c r="Z315" s="62">
        <f t="shared" si="103"/>
        <v>44502</v>
      </c>
      <c r="AA315" s="63" t="s">
        <v>253</v>
      </c>
    </row>
    <row r="316" spans="2:27" x14ac:dyDescent="0.2">
      <c r="B316" s="58">
        <f t="shared" si="104"/>
        <v>44503</v>
      </c>
      <c r="C316" s="59" t="str">
        <f t="shared" si="92"/>
        <v>03</v>
      </c>
      <c r="D316" s="59" t="str">
        <f t="shared" si="93"/>
        <v>Wednesday</v>
      </c>
      <c r="E316" s="59" t="str">
        <f t="shared" si="94"/>
        <v>November</v>
      </c>
      <c r="F316" s="59" t="str">
        <f t="shared" si="95"/>
        <v>2021</v>
      </c>
      <c r="G316" s="59" t="str">
        <f t="shared" si="105"/>
        <v>Week_45</v>
      </c>
      <c r="H316" s="59" t="str">
        <f t="shared" si="106"/>
        <v>November 2021</v>
      </c>
      <c r="I316" s="59" t="str">
        <f t="shared" si="107"/>
        <v>Week_45</v>
      </c>
      <c r="J316" s="60">
        <f t="shared" si="96"/>
        <v>44503</v>
      </c>
      <c r="K316" s="59">
        <f t="shared" si="108"/>
        <v>45</v>
      </c>
      <c r="L316" s="59">
        <f t="shared" si="97"/>
        <v>45</v>
      </c>
      <c r="M316" s="59" t="str">
        <f t="shared" si="98"/>
        <v>Week_</v>
      </c>
      <c r="N316" s="59" t="str">
        <f t="shared" si="99"/>
        <v>Week_45</v>
      </c>
      <c r="O316" s="59">
        <f t="shared" si="109"/>
        <v>0</v>
      </c>
      <c r="P316" s="59" t="str">
        <f t="shared" si="110"/>
        <v/>
      </c>
      <c r="Q316" s="59" t="str">
        <f t="shared" si="100"/>
        <v/>
      </c>
      <c r="R316" s="59" t="str">
        <f t="shared" si="101"/>
        <v>November 2021</v>
      </c>
      <c r="S316" s="61">
        <f t="shared" si="102"/>
        <v>44503</v>
      </c>
      <c r="Z316" s="62">
        <f t="shared" si="103"/>
        <v>44503</v>
      </c>
      <c r="AA316" s="63" t="s">
        <v>253</v>
      </c>
    </row>
    <row r="317" spans="2:27" x14ac:dyDescent="0.2">
      <c r="B317" s="58">
        <f t="shared" si="104"/>
        <v>44504</v>
      </c>
      <c r="C317" s="59" t="str">
        <f t="shared" si="92"/>
        <v>04</v>
      </c>
      <c r="D317" s="59" t="str">
        <f t="shared" si="93"/>
        <v>Thursday</v>
      </c>
      <c r="E317" s="59" t="str">
        <f t="shared" si="94"/>
        <v>November</v>
      </c>
      <c r="F317" s="59" t="str">
        <f t="shared" si="95"/>
        <v>2021</v>
      </c>
      <c r="G317" s="59" t="str">
        <f t="shared" si="105"/>
        <v>Week_45</v>
      </c>
      <c r="H317" s="59" t="str">
        <f t="shared" si="106"/>
        <v>November 2021</v>
      </c>
      <c r="I317" s="59" t="str">
        <f t="shared" si="107"/>
        <v>Week_45</v>
      </c>
      <c r="J317" s="60">
        <f t="shared" si="96"/>
        <v>44504</v>
      </c>
      <c r="K317" s="59">
        <f t="shared" si="108"/>
        <v>45</v>
      </c>
      <c r="L317" s="59">
        <f t="shared" si="97"/>
        <v>45</v>
      </c>
      <c r="M317" s="59" t="str">
        <f t="shared" si="98"/>
        <v>Week_</v>
      </c>
      <c r="N317" s="59" t="str">
        <f t="shared" si="99"/>
        <v>Week_45</v>
      </c>
      <c r="O317" s="59">
        <f t="shared" si="109"/>
        <v>0</v>
      </c>
      <c r="P317" s="59" t="str">
        <f t="shared" si="110"/>
        <v/>
      </c>
      <c r="Q317" s="59" t="str">
        <f t="shared" si="100"/>
        <v/>
      </c>
      <c r="R317" s="59" t="str">
        <f t="shared" si="101"/>
        <v>November 2021</v>
      </c>
      <c r="S317" s="61">
        <f t="shared" si="102"/>
        <v>44504</v>
      </c>
      <c r="Z317" s="62">
        <f t="shared" si="103"/>
        <v>44504</v>
      </c>
      <c r="AA317" s="63" t="s">
        <v>253</v>
      </c>
    </row>
    <row r="318" spans="2:27" x14ac:dyDescent="0.2">
      <c r="B318" s="58">
        <f t="shared" si="104"/>
        <v>44505</v>
      </c>
      <c r="C318" s="59" t="str">
        <f t="shared" si="92"/>
        <v>05</v>
      </c>
      <c r="D318" s="59" t="str">
        <f t="shared" si="93"/>
        <v>Friday</v>
      </c>
      <c r="E318" s="59" t="str">
        <f t="shared" si="94"/>
        <v>November</v>
      </c>
      <c r="F318" s="59" t="str">
        <f t="shared" si="95"/>
        <v>2021</v>
      </c>
      <c r="G318" s="59" t="str">
        <f t="shared" si="105"/>
        <v>Week_45</v>
      </c>
      <c r="H318" s="59" t="str">
        <f t="shared" si="106"/>
        <v>November 2021</v>
      </c>
      <c r="I318" s="59" t="str">
        <f t="shared" si="107"/>
        <v>Week_45</v>
      </c>
      <c r="J318" s="60">
        <f t="shared" si="96"/>
        <v>44505</v>
      </c>
      <c r="K318" s="59">
        <f t="shared" si="108"/>
        <v>45</v>
      </c>
      <c r="L318" s="59">
        <f t="shared" si="97"/>
        <v>45</v>
      </c>
      <c r="M318" s="59" t="str">
        <f t="shared" si="98"/>
        <v>Week_</v>
      </c>
      <c r="N318" s="59" t="str">
        <f t="shared" si="99"/>
        <v>Week_45</v>
      </c>
      <c r="O318" s="59">
        <f t="shared" si="109"/>
        <v>0</v>
      </c>
      <c r="P318" s="59" t="str">
        <f t="shared" si="110"/>
        <v/>
      </c>
      <c r="Q318" s="59" t="str">
        <f t="shared" si="100"/>
        <v/>
      </c>
      <c r="R318" s="59" t="str">
        <f t="shared" si="101"/>
        <v>November 2021</v>
      </c>
      <c r="S318" s="61">
        <f t="shared" si="102"/>
        <v>44505</v>
      </c>
      <c r="Z318" s="62">
        <f t="shared" si="103"/>
        <v>44505</v>
      </c>
      <c r="AA318" s="63" t="s">
        <v>253</v>
      </c>
    </row>
    <row r="319" spans="2:27" x14ac:dyDescent="0.2">
      <c r="B319" s="58">
        <f t="shared" si="104"/>
        <v>44506</v>
      </c>
      <c r="C319" s="59" t="str">
        <f t="shared" si="92"/>
        <v>06</v>
      </c>
      <c r="D319" s="59" t="str">
        <f t="shared" si="93"/>
        <v>Saturday</v>
      </c>
      <c r="E319" s="59" t="str">
        <f t="shared" si="94"/>
        <v>November</v>
      </c>
      <c r="F319" s="59" t="str">
        <f t="shared" si="95"/>
        <v>2021</v>
      </c>
      <c r="G319" s="59" t="str">
        <f t="shared" si="105"/>
        <v>Week_45</v>
      </c>
      <c r="H319" s="59" t="str">
        <f t="shared" si="106"/>
        <v>November 2021</v>
      </c>
      <c r="I319" s="59" t="str">
        <f t="shared" si="107"/>
        <v>Week_45</v>
      </c>
      <c r="J319" s="60">
        <f t="shared" si="96"/>
        <v>44506</v>
      </c>
      <c r="K319" s="59">
        <f t="shared" si="108"/>
        <v>45</v>
      </c>
      <c r="L319" s="59">
        <f t="shared" si="97"/>
        <v>45</v>
      </c>
      <c r="M319" s="59" t="str">
        <f t="shared" si="98"/>
        <v>Week_</v>
      </c>
      <c r="N319" s="59" t="str">
        <f t="shared" si="99"/>
        <v>Week_45</v>
      </c>
      <c r="O319" s="59">
        <f t="shared" si="109"/>
        <v>0</v>
      </c>
      <c r="P319" s="59" t="str">
        <f t="shared" si="110"/>
        <v/>
      </c>
      <c r="Q319" s="59" t="str">
        <f t="shared" si="100"/>
        <v/>
      </c>
      <c r="R319" s="59" t="str">
        <f t="shared" si="101"/>
        <v>November 2021</v>
      </c>
      <c r="S319" s="61">
        <f t="shared" si="102"/>
        <v>44506</v>
      </c>
      <c r="Z319" s="62">
        <f t="shared" si="103"/>
        <v>44506</v>
      </c>
      <c r="AA319" s="63" t="s">
        <v>253</v>
      </c>
    </row>
    <row r="320" spans="2:27" x14ac:dyDescent="0.2">
      <c r="B320" s="58">
        <f t="shared" si="104"/>
        <v>44507</v>
      </c>
      <c r="C320" s="59" t="str">
        <f t="shared" si="92"/>
        <v>07</v>
      </c>
      <c r="D320" s="59" t="str">
        <f t="shared" si="93"/>
        <v>Sunday</v>
      </c>
      <c r="E320" s="59" t="str">
        <f t="shared" si="94"/>
        <v>November</v>
      </c>
      <c r="F320" s="59" t="str">
        <f t="shared" si="95"/>
        <v>2021</v>
      </c>
      <c r="G320" s="59" t="str">
        <f t="shared" si="105"/>
        <v>Week_45</v>
      </c>
      <c r="H320" s="59" t="str">
        <f t="shared" si="106"/>
        <v>November 2021</v>
      </c>
      <c r="I320" s="59" t="str">
        <f t="shared" si="107"/>
        <v>Week_45</v>
      </c>
      <c r="J320" s="60">
        <f t="shared" si="96"/>
        <v>44507</v>
      </c>
      <c r="K320" s="59">
        <f t="shared" si="108"/>
        <v>45</v>
      </c>
      <c r="L320" s="59">
        <f t="shared" si="97"/>
        <v>45</v>
      </c>
      <c r="M320" s="59" t="str">
        <f t="shared" si="98"/>
        <v>Week_</v>
      </c>
      <c r="N320" s="59" t="str">
        <f t="shared" si="99"/>
        <v>Week_45</v>
      </c>
      <c r="O320" s="59">
        <f t="shared" si="109"/>
        <v>0</v>
      </c>
      <c r="P320" s="59" t="str">
        <f t="shared" si="110"/>
        <v/>
      </c>
      <c r="Q320" s="59" t="str">
        <f t="shared" si="100"/>
        <v/>
      </c>
      <c r="R320" s="59" t="str">
        <f t="shared" si="101"/>
        <v>November 2021</v>
      </c>
      <c r="S320" s="61">
        <f t="shared" si="102"/>
        <v>44507</v>
      </c>
      <c r="Z320" s="62">
        <f t="shared" si="103"/>
        <v>44507</v>
      </c>
      <c r="AA320" s="63" t="s">
        <v>253</v>
      </c>
    </row>
    <row r="321" spans="2:27" x14ac:dyDescent="0.2">
      <c r="B321" s="58">
        <f t="shared" si="104"/>
        <v>44508</v>
      </c>
      <c r="C321" s="59" t="str">
        <f t="shared" si="92"/>
        <v>08</v>
      </c>
      <c r="D321" s="59" t="str">
        <f t="shared" si="93"/>
        <v>Monday</v>
      </c>
      <c r="E321" s="59" t="str">
        <f t="shared" si="94"/>
        <v>November</v>
      </c>
      <c r="F321" s="59" t="str">
        <f t="shared" si="95"/>
        <v>2021</v>
      </c>
      <c r="G321" s="59" t="str">
        <f t="shared" si="105"/>
        <v>Week_46</v>
      </c>
      <c r="H321" s="59" t="str">
        <f t="shared" si="106"/>
        <v>November 2021</v>
      </c>
      <c r="I321" s="59" t="str">
        <f t="shared" si="107"/>
        <v>Start WeekWeek_46</v>
      </c>
      <c r="J321" s="60">
        <f t="shared" si="96"/>
        <v>44508</v>
      </c>
      <c r="K321" s="59">
        <f t="shared" si="108"/>
        <v>46</v>
      </c>
      <c r="L321" s="59">
        <f t="shared" si="97"/>
        <v>46</v>
      </c>
      <c r="M321" s="59" t="str">
        <f t="shared" si="98"/>
        <v>Week_</v>
      </c>
      <c r="N321" s="59" t="str">
        <f t="shared" si="99"/>
        <v>Week_46</v>
      </c>
      <c r="O321" s="59">
        <f t="shared" si="109"/>
        <v>1</v>
      </c>
      <c r="P321" s="59" t="str">
        <f t="shared" si="110"/>
        <v>Start Week</v>
      </c>
      <c r="Q321" s="59" t="str">
        <f t="shared" si="100"/>
        <v/>
      </c>
      <c r="R321" s="59" t="str">
        <f t="shared" si="101"/>
        <v>November 2021</v>
      </c>
      <c r="S321" s="61">
        <f t="shared" si="102"/>
        <v>44508</v>
      </c>
      <c r="Z321" s="62">
        <f t="shared" si="103"/>
        <v>44508</v>
      </c>
      <c r="AA321" s="63" t="s">
        <v>253</v>
      </c>
    </row>
    <row r="322" spans="2:27" x14ac:dyDescent="0.2">
      <c r="B322" s="58">
        <f t="shared" si="104"/>
        <v>44509</v>
      </c>
      <c r="C322" s="59" t="str">
        <f t="shared" si="92"/>
        <v>09</v>
      </c>
      <c r="D322" s="59" t="str">
        <f t="shared" si="93"/>
        <v>Tuesday</v>
      </c>
      <c r="E322" s="59" t="str">
        <f t="shared" si="94"/>
        <v>November</v>
      </c>
      <c r="F322" s="59" t="str">
        <f t="shared" si="95"/>
        <v>2021</v>
      </c>
      <c r="G322" s="59" t="str">
        <f t="shared" si="105"/>
        <v>Week_46</v>
      </c>
      <c r="H322" s="59" t="str">
        <f t="shared" si="106"/>
        <v>November 2021</v>
      </c>
      <c r="I322" s="59" t="str">
        <f t="shared" si="107"/>
        <v>Week_46</v>
      </c>
      <c r="J322" s="60">
        <f t="shared" si="96"/>
        <v>44509</v>
      </c>
      <c r="K322" s="59">
        <f t="shared" si="108"/>
        <v>46</v>
      </c>
      <c r="L322" s="59">
        <f t="shared" si="97"/>
        <v>46</v>
      </c>
      <c r="M322" s="59" t="str">
        <f t="shared" si="98"/>
        <v>Week_</v>
      </c>
      <c r="N322" s="59" t="str">
        <f t="shared" si="99"/>
        <v>Week_46</v>
      </c>
      <c r="O322" s="59">
        <f t="shared" si="109"/>
        <v>0</v>
      </c>
      <c r="P322" s="59" t="str">
        <f t="shared" si="110"/>
        <v/>
      </c>
      <c r="Q322" s="59" t="str">
        <f t="shared" si="100"/>
        <v/>
      </c>
      <c r="R322" s="59" t="str">
        <f t="shared" si="101"/>
        <v>November 2021</v>
      </c>
      <c r="S322" s="61">
        <f t="shared" si="102"/>
        <v>44509</v>
      </c>
      <c r="Z322" s="62">
        <f t="shared" si="103"/>
        <v>44509</v>
      </c>
      <c r="AA322" s="63" t="s">
        <v>253</v>
      </c>
    </row>
    <row r="323" spans="2:27" x14ac:dyDescent="0.2">
      <c r="B323" s="58">
        <f t="shared" si="104"/>
        <v>44510</v>
      </c>
      <c r="C323" s="59" t="str">
        <f t="shared" si="92"/>
        <v>10</v>
      </c>
      <c r="D323" s="59" t="str">
        <f t="shared" si="93"/>
        <v>Wednesday</v>
      </c>
      <c r="E323" s="59" t="str">
        <f t="shared" si="94"/>
        <v>November</v>
      </c>
      <c r="F323" s="59" t="str">
        <f t="shared" si="95"/>
        <v>2021</v>
      </c>
      <c r="G323" s="59" t="str">
        <f t="shared" si="105"/>
        <v>Week_46</v>
      </c>
      <c r="H323" s="59" t="str">
        <f t="shared" si="106"/>
        <v>November 2021</v>
      </c>
      <c r="I323" s="59" t="str">
        <f t="shared" si="107"/>
        <v>Week_46</v>
      </c>
      <c r="J323" s="60">
        <f t="shared" si="96"/>
        <v>44510</v>
      </c>
      <c r="K323" s="59">
        <f t="shared" si="108"/>
        <v>46</v>
      </c>
      <c r="L323" s="59">
        <f t="shared" si="97"/>
        <v>46</v>
      </c>
      <c r="M323" s="59" t="str">
        <f t="shared" si="98"/>
        <v>Week_</v>
      </c>
      <c r="N323" s="59" t="str">
        <f t="shared" si="99"/>
        <v>Week_46</v>
      </c>
      <c r="O323" s="59">
        <f t="shared" si="109"/>
        <v>0</v>
      </c>
      <c r="P323" s="59" t="str">
        <f t="shared" si="110"/>
        <v/>
      </c>
      <c r="Q323" s="59" t="str">
        <f t="shared" si="100"/>
        <v/>
      </c>
      <c r="R323" s="59" t="str">
        <f t="shared" si="101"/>
        <v>November 2021</v>
      </c>
      <c r="S323" s="61">
        <f t="shared" si="102"/>
        <v>44510</v>
      </c>
      <c r="Z323" s="62">
        <f t="shared" si="103"/>
        <v>44510</v>
      </c>
      <c r="AA323" s="63" t="s">
        <v>253</v>
      </c>
    </row>
    <row r="324" spans="2:27" x14ac:dyDescent="0.2">
      <c r="B324" s="58">
        <f t="shared" si="104"/>
        <v>44511</v>
      </c>
      <c r="C324" s="59" t="str">
        <f t="shared" si="92"/>
        <v>11</v>
      </c>
      <c r="D324" s="59" t="str">
        <f t="shared" si="93"/>
        <v>Thursday</v>
      </c>
      <c r="E324" s="59" t="str">
        <f t="shared" si="94"/>
        <v>November</v>
      </c>
      <c r="F324" s="59" t="str">
        <f t="shared" si="95"/>
        <v>2021</v>
      </c>
      <c r="G324" s="59" t="str">
        <f t="shared" si="105"/>
        <v>Week_46</v>
      </c>
      <c r="H324" s="59" t="str">
        <f t="shared" si="106"/>
        <v>November 2021</v>
      </c>
      <c r="I324" s="59" t="str">
        <f t="shared" si="107"/>
        <v>Week_46</v>
      </c>
      <c r="J324" s="60">
        <f t="shared" si="96"/>
        <v>44511</v>
      </c>
      <c r="K324" s="59">
        <f t="shared" si="108"/>
        <v>46</v>
      </c>
      <c r="L324" s="59">
        <f t="shared" si="97"/>
        <v>46</v>
      </c>
      <c r="M324" s="59" t="str">
        <f t="shared" si="98"/>
        <v>Week_</v>
      </c>
      <c r="N324" s="59" t="str">
        <f t="shared" si="99"/>
        <v>Week_46</v>
      </c>
      <c r="O324" s="59">
        <f t="shared" si="109"/>
        <v>0</v>
      </c>
      <c r="P324" s="59" t="str">
        <f t="shared" si="110"/>
        <v/>
      </c>
      <c r="Q324" s="59" t="str">
        <f t="shared" si="100"/>
        <v/>
      </c>
      <c r="R324" s="59" t="str">
        <f t="shared" si="101"/>
        <v>November 2021</v>
      </c>
      <c r="S324" s="61">
        <f t="shared" si="102"/>
        <v>44511</v>
      </c>
      <c r="Z324" s="62">
        <f t="shared" si="103"/>
        <v>44511</v>
      </c>
      <c r="AA324" s="63" t="s">
        <v>253</v>
      </c>
    </row>
    <row r="325" spans="2:27" x14ac:dyDescent="0.2">
      <c r="B325" s="58">
        <f t="shared" si="104"/>
        <v>44512</v>
      </c>
      <c r="C325" s="59" t="str">
        <f t="shared" si="92"/>
        <v>12</v>
      </c>
      <c r="D325" s="59" t="str">
        <f t="shared" si="93"/>
        <v>Friday</v>
      </c>
      <c r="E325" s="59" t="str">
        <f t="shared" si="94"/>
        <v>November</v>
      </c>
      <c r="F325" s="59" t="str">
        <f t="shared" si="95"/>
        <v>2021</v>
      </c>
      <c r="G325" s="59" t="str">
        <f t="shared" si="105"/>
        <v>Week_46</v>
      </c>
      <c r="H325" s="59" t="str">
        <f t="shared" si="106"/>
        <v>November 2021</v>
      </c>
      <c r="I325" s="59" t="str">
        <f t="shared" si="107"/>
        <v>Week_46</v>
      </c>
      <c r="J325" s="60">
        <f t="shared" si="96"/>
        <v>44512</v>
      </c>
      <c r="K325" s="59">
        <f t="shared" si="108"/>
        <v>46</v>
      </c>
      <c r="L325" s="59">
        <f t="shared" si="97"/>
        <v>46</v>
      </c>
      <c r="M325" s="59" t="str">
        <f t="shared" si="98"/>
        <v>Week_</v>
      </c>
      <c r="N325" s="59" t="str">
        <f t="shared" si="99"/>
        <v>Week_46</v>
      </c>
      <c r="O325" s="59">
        <f t="shared" si="109"/>
        <v>0</v>
      </c>
      <c r="P325" s="59" t="str">
        <f t="shared" si="110"/>
        <v/>
      </c>
      <c r="Q325" s="59" t="str">
        <f t="shared" si="100"/>
        <v/>
      </c>
      <c r="R325" s="59" t="str">
        <f t="shared" si="101"/>
        <v>November 2021</v>
      </c>
      <c r="S325" s="61">
        <f t="shared" si="102"/>
        <v>44512</v>
      </c>
      <c r="Z325" s="62">
        <f t="shared" si="103"/>
        <v>44512</v>
      </c>
      <c r="AA325" s="63" t="s">
        <v>253</v>
      </c>
    </row>
    <row r="326" spans="2:27" x14ac:dyDescent="0.2">
      <c r="B326" s="58">
        <f t="shared" si="104"/>
        <v>44513</v>
      </c>
      <c r="C326" s="59" t="str">
        <f t="shared" si="92"/>
        <v>13</v>
      </c>
      <c r="D326" s="59" t="str">
        <f t="shared" si="93"/>
        <v>Saturday</v>
      </c>
      <c r="E326" s="59" t="str">
        <f t="shared" si="94"/>
        <v>November</v>
      </c>
      <c r="F326" s="59" t="str">
        <f t="shared" si="95"/>
        <v>2021</v>
      </c>
      <c r="G326" s="59" t="str">
        <f t="shared" si="105"/>
        <v>Week_46</v>
      </c>
      <c r="H326" s="59" t="str">
        <f t="shared" si="106"/>
        <v>November 2021</v>
      </c>
      <c r="I326" s="59" t="str">
        <f t="shared" si="107"/>
        <v>Week_46</v>
      </c>
      <c r="J326" s="60">
        <f t="shared" si="96"/>
        <v>44513</v>
      </c>
      <c r="K326" s="59">
        <f t="shared" si="108"/>
        <v>46</v>
      </c>
      <c r="L326" s="59">
        <f t="shared" si="97"/>
        <v>46</v>
      </c>
      <c r="M326" s="59" t="str">
        <f t="shared" si="98"/>
        <v>Week_</v>
      </c>
      <c r="N326" s="59" t="str">
        <f t="shared" si="99"/>
        <v>Week_46</v>
      </c>
      <c r="O326" s="59">
        <f t="shared" si="109"/>
        <v>0</v>
      </c>
      <c r="P326" s="59" t="str">
        <f t="shared" si="110"/>
        <v/>
      </c>
      <c r="Q326" s="59" t="str">
        <f t="shared" si="100"/>
        <v/>
      </c>
      <c r="R326" s="59" t="str">
        <f t="shared" si="101"/>
        <v>November 2021</v>
      </c>
      <c r="S326" s="61">
        <f t="shared" si="102"/>
        <v>44513</v>
      </c>
      <c r="Z326" s="62">
        <f t="shared" si="103"/>
        <v>44513</v>
      </c>
      <c r="AA326" s="63" t="s">
        <v>253</v>
      </c>
    </row>
    <row r="327" spans="2:27" x14ac:dyDescent="0.2">
      <c r="B327" s="58">
        <f t="shared" si="104"/>
        <v>44514</v>
      </c>
      <c r="C327" s="59" t="str">
        <f t="shared" si="92"/>
        <v>14</v>
      </c>
      <c r="D327" s="59" t="str">
        <f t="shared" si="93"/>
        <v>Sunday</v>
      </c>
      <c r="E327" s="59" t="str">
        <f t="shared" si="94"/>
        <v>November</v>
      </c>
      <c r="F327" s="59" t="str">
        <f t="shared" si="95"/>
        <v>2021</v>
      </c>
      <c r="G327" s="59" t="str">
        <f t="shared" si="105"/>
        <v>Week_46</v>
      </c>
      <c r="H327" s="59" t="str">
        <f t="shared" si="106"/>
        <v>November 2021</v>
      </c>
      <c r="I327" s="59" t="str">
        <f t="shared" si="107"/>
        <v>Week_46</v>
      </c>
      <c r="J327" s="60">
        <f t="shared" si="96"/>
        <v>44514</v>
      </c>
      <c r="K327" s="59">
        <f t="shared" si="108"/>
        <v>46</v>
      </c>
      <c r="L327" s="59">
        <f t="shared" si="97"/>
        <v>46</v>
      </c>
      <c r="M327" s="59" t="str">
        <f t="shared" si="98"/>
        <v>Week_</v>
      </c>
      <c r="N327" s="59" t="str">
        <f t="shared" si="99"/>
        <v>Week_46</v>
      </c>
      <c r="O327" s="59">
        <f t="shared" si="109"/>
        <v>0</v>
      </c>
      <c r="P327" s="59" t="str">
        <f t="shared" si="110"/>
        <v/>
      </c>
      <c r="Q327" s="59" t="str">
        <f t="shared" si="100"/>
        <v/>
      </c>
      <c r="R327" s="59" t="str">
        <f t="shared" si="101"/>
        <v>November 2021</v>
      </c>
      <c r="S327" s="61">
        <f t="shared" si="102"/>
        <v>44514</v>
      </c>
      <c r="Z327" s="62">
        <f t="shared" si="103"/>
        <v>44514</v>
      </c>
      <c r="AA327" s="63" t="s">
        <v>253</v>
      </c>
    </row>
    <row r="328" spans="2:27" x14ac:dyDescent="0.2">
      <c r="B328" s="58">
        <f t="shared" si="104"/>
        <v>44515</v>
      </c>
      <c r="C328" s="59" t="str">
        <f t="shared" si="92"/>
        <v>15</v>
      </c>
      <c r="D328" s="59" t="str">
        <f t="shared" si="93"/>
        <v>Monday</v>
      </c>
      <c r="E328" s="59" t="str">
        <f t="shared" si="94"/>
        <v>November</v>
      </c>
      <c r="F328" s="59" t="str">
        <f t="shared" si="95"/>
        <v>2021</v>
      </c>
      <c r="G328" s="59" t="str">
        <f t="shared" si="105"/>
        <v>Week_47</v>
      </c>
      <c r="H328" s="59" t="str">
        <f t="shared" si="106"/>
        <v>November 2021</v>
      </c>
      <c r="I328" s="59" t="str">
        <f t="shared" si="107"/>
        <v>Start WeekWeek_47</v>
      </c>
      <c r="J328" s="60">
        <f t="shared" si="96"/>
        <v>44515</v>
      </c>
      <c r="K328" s="59">
        <f t="shared" si="108"/>
        <v>47</v>
      </c>
      <c r="L328" s="59">
        <f t="shared" si="97"/>
        <v>47</v>
      </c>
      <c r="M328" s="59" t="str">
        <f t="shared" si="98"/>
        <v>Week_</v>
      </c>
      <c r="N328" s="59" t="str">
        <f t="shared" si="99"/>
        <v>Week_47</v>
      </c>
      <c r="O328" s="59">
        <f t="shared" si="109"/>
        <v>1</v>
      </c>
      <c r="P328" s="59" t="str">
        <f t="shared" si="110"/>
        <v>Start Week</v>
      </c>
      <c r="Q328" s="59" t="str">
        <f t="shared" si="100"/>
        <v/>
      </c>
      <c r="R328" s="59" t="str">
        <f t="shared" si="101"/>
        <v>November 2021</v>
      </c>
      <c r="S328" s="61">
        <f t="shared" si="102"/>
        <v>44515</v>
      </c>
      <c r="Z328" s="62">
        <f t="shared" si="103"/>
        <v>44515</v>
      </c>
      <c r="AA328" s="63" t="s">
        <v>253</v>
      </c>
    </row>
    <row r="329" spans="2:27" x14ac:dyDescent="0.2">
      <c r="B329" s="58">
        <f t="shared" si="104"/>
        <v>44516</v>
      </c>
      <c r="C329" s="59" t="str">
        <f t="shared" si="92"/>
        <v>16</v>
      </c>
      <c r="D329" s="59" t="str">
        <f t="shared" si="93"/>
        <v>Tuesday</v>
      </c>
      <c r="E329" s="59" t="str">
        <f t="shared" si="94"/>
        <v>November</v>
      </c>
      <c r="F329" s="59" t="str">
        <f t="shared" si="95"/>
        <v>2021</v>
      </c>
      <c r="G329" s="59" t="str">
        <f t="shared" si="105"/>
        <v>Week_47</v>
      </c>
      <c r="H329" s="59" t="str">
        <f t="shared" si="106"/>
        <v>November 2021</v>
      </c>
      <c r="I329" s="59" t="str">
        <f t="shared" si="107"/>
        <v>Week_47</v>
      </c>
      <c r="J329" s="60">
        <f t="shared" si="96"/>
        <v>44516</v>
      </c>
      <c r="K329" s="59">
        <f t="shared" si="108"/>
        <v>47</v>
      </c>
      <c r="L329" s="59">
        <f t="shared" si="97"/>
        <v>47</v>
      </c>
      <c r="M329" s="59" t="str">
        <f t="shared" si="98"/>
        <v>Week_</v>
      </c>
      <c r="N329" s="59" t="str">
        <f t="shared" si="99"/>
        <v>Week_47</v>
      </c>
      <c r="O329" s="59">
        <f t="shared" si="109"/>
        <v>0</v>
      </c>
      <c r="P329" s="59" t="str">
        <f t="shared" si="110"/>
        <v/>
      </c>
      <c r="Q329" s="59" t="str">
        <f t="shared" si="100"/>
        <v/>
      </c>
      <c r="R329" s="59" t="str">
        <f t="shared" si="101"/>
        <v>November 2021</v>
      </c>
      <c r="S329" s="61">
        <f t="shared" si="102"/>
        <v>44516</v>
      </c>
      <c r="Z329" s="62">
        <f t="shared" si="103"/>
        <v>44516</v>
      </c>
      <c r="AA329" s="63" t="s">
        <v>253</v>
      </c>
    </row>
    <row r="330" spans="2:27" x14ac:dyDescent="0.2">
      <c r="B330" s="58">
        <f t="shared" si="104"/>
        <v>44517</v>
      </c>
      <c r="C330" s="59" t="str">
        <f t="shared" ref="C330:C375" si="111">IF($B330="","",TEXT($B330,"dd"))</f>
        <v>17</v>
      </c>
      <c r="D330" s="59" t="str">
        <f t="shared" ref="D330:D375" si="112">IF($B330="","",TEXT($B330,"dddd"))</f>
        <v>Wednesday</v>
      </c>
      <c r="E330" s="59" t="str">
        <f t="shared" ref="E330:E375" si="113">IF($B330="","",TEXT($B330,"mmmm"))</f>
        <v>November</v>
      </c>
      <c r="F330" s="59" t="str">
        <f t="shared" ref="F330:F375" si="114">IF($B330="","",TEXT($B330,"yyyy"))</f>
        <v>2021</v>
      </c>
      <c r="G330" s="59" t="str">
        <f t="shared" si="105"/>
        <v>Week_47</v>
      </c>
      <c r="H330" s="59" t="str">
        <f t="shared" si="106"/>
        <v>November 2021</v>
      </c>
      <c r="I330" s="59" t="str">
        <f t="shared" si="107"/>
        <v>Week_47</v>
      </c>
      <c r="J330" s="60">
        <f t="shared" ref="J330:J375" si="115">+B330</f>
        <v>44517</v>
      </c>
      <c r="K330" s="59">
        <f t="shared" si="108"/>
        <v>47</v>
      </c>
      <c r="L330" s="59">
        <f t="shared" ref="L330:L375" si="116">IF(K330=1,"01",IF(K330=2,"02",IF(K330=3,"03",IF(K330=4,"04",IF(K330=5,"05",IF(K330=6,"06",IF(K330=7,"07",IF(K330=8,"08",IF(K330=9,"09",K330)))))))))</f>
        <v>47</v>
      </c>
      <c r="M330" s="59" t="str">
        <f t="shared" ref="M330:M375" si="117">IF(K330="","","Week_")</f>
        <v>Week_</v>
      </c>
      <c r="N330" s="59" t="str">
        <f t="shared" ref="N330:N375" si="118">CONCATENATE(M330,L330)</f>
        <v>Week_47</v>
      </c>
      <c r="O330" s="59">
        <f t="shared" si="109"/>
        <v>0</v>
      </c>
      <c r="P330" s="59" t="str">
        <f t="shared" si="110"/>
        <v/>
      </c>
      <c r="Q330" s="59" t="str">
        <f t="shared" ref="Q330:Q375" si="119">IF(C330="01","Start Month","")</f>
        <v/>
      </c>
      <c r="R330" s="59" t="str">
        <f t="shared" ref="R330:R375" si="120">+Q330&amp;H330</f>
        <v>November 2021</v>
      </c>
      <c r="S330" s="61">
        <f t="shared" ref="S330:S375" si="121">+B330</f>
        <v>44517</v>
      </c>
      <c r="Z330" s="62">
        <f t="shared" ref="Z330:Z374" si="122">+B330</f>
        <v>44517</v>
      </c>
      <c r="AA330" s="63" t="s">
        <v>253</v>
      </c>
    </row>
    <row r="331" spans="2:27" x14ac:dyDescent="0.2">
      <c r="B331" s="58">
        <f t="shared" ref="B331:B375" si="123">1+B330</f>
        <v>44518</v>
      </c>
      <c r="C331" s="59" t="str">
        <f t="shared" si="111"/>
        <v>18</v>
      </c>
      <c r="D331" s="59" t="str">
        <f t="shared" si="112"/>
        <v>Thursday</v>
      </c>
      <c r="E331" s="59" t="str">
        <f t="shared" si="113"/>
        <v>November</v>
      </c>
      <c r="F331" s="59" t="str">
        <f t="shared" si="114"/>
        <v>2021</v>
      </c>
      <c r="G331" s="59" t="str">
        <f t="shared" ref="G331:G375" si="124">+N331</f>
        <v>Week_47</v>
      </c>
      <c r="H331" s="59" t="str">
        <f t="shared" ref="H331:H375" si="125">E331&amp;" "&amp;F331</f>
        <v>November 2021</v>
      </c>
      <c r="I331" s="59" t="str">
        <f t="shared" ref="I331:I375" si="126">+P331&amp;N331</f>
        <v>Week_47</v>
      </c>
      <c r="J331" s="60">
        <f t="shared" si="115"/>
        <v>44518</v>
      </c>
      <c r="K331" s="59">
        <f t="shared" ref="K331:K375" si="127">IF($D331=$C$3,K330+1,K330)</f>
        <v>47</v>
      </c>
      <c r="L331" s="59">
        <f t="shared" si="116"/>
        <v>47</v>
      </c>
      <c r="M331" s="59" t="str">
        <f t="shared" si="117"/>
        <v>Week_</v>
      </c>
      <c r="N331" s="59" t="str">
        <f t="shared" si="118"/>
        <v>Week_47</v>
      </c>
      <c r="O331" s="59">
        <f t="shared" ref="O331:O375" si="128">K331-K330</f>
        <v>0</v>
      </c>
      <c r="P331" s="59" t="str">
        <f t="shared" ref="P331:P375" si="129">IF(O331=1,"Start Week","")</f>
        <v/>
      </c>
      <c r="Q331" s="59" t="str">
        <f t="shared" si="119"/>
        <v/>
      </c>
      <c r="R331" s="59" t="str">
        <f t="shared" si="120"/>
        <v>November 2021</v>
      </c>
      <c r="S331" s="61">
        <f t="shared" si="121"/>
        <v>44518</v>
      </c>
      <c r="Z331" s="62">
        <f t="shared" si="122"/>
        <v>44518</v>
      </c>
      <c r="AA331" s="63" t="s">
        <v>253</v>
      </c>
    </row>
    <row r="332" spans="2:27" x14ac:dyDescent="0.2">
      <c r="B332" s="58">
        <f t="shared" si="123"/>
        <v>44519</v>
      </c>
      <c r="C332" s="59" t="str">
        <f t="shared" si="111"/>
        <v>19</v>
      </c>
      <c r="D332" s="59" t="str">
        <f t="shared" si="112"/>
        <v>Friday</v>
      </c>
      <c r="E332" s="59" t="str">
        <f t="shared" si="113"/>
        <v>November</v>
      </c>
      <c r="F332" s="59" t="str">
        <f t="shared" si="114"/>
        <v>2021</v>
      </c>
      <c r="G332" s="59" t="str">
        <f t="shared" si="124"/>
        <v>Week_47</v>
      </c>
      <c r="H332" s="59" t="str">
        <f t="shared" si="125"/>
        <v>November 2021</v>
      </c>
      <c r="I332" s="59" t="str">
        <f t="shared" si="126"/>
        <v>Week_47</v>
      </c>
      <c r="J332" s="60">
        <f t="shared" si="115"/>
        <v>44519</v>
      </c>
      <c r="K332" s="59">
        <f t="shared" si="127"/>
        <v>47</v>
      </c>
      <c r="L332" s="59">
        <f t="shared" si="116"/>
        <v>47</v>
      </c>
      <c r="M332" s="59" t="str">
        <f t="shared" si="117"/>
        <v>Week_</v>
      </c>
      <c r="N332" s="59" t="str">
        <f t="shared" si="118"/>
        <v>Week_47</v>
      </c>
      <c r="O332" s="59">
        <f t="shared" si="128"/>
        <v>0</v>
      </c>
      <c r="P332" s="59" t="str">
        <f t="shared" si="129"/>
        <v/>
      </c>
      <c r="Q332" s="59" t="str">
        <f t="shared" si="119"/>
        <v/>
      </c>
      <c r="R332" s="59" t="str">
        <f t="shared" si="120"/>
        <v>November 2021</v>
      </c>
      <c r="S332" s="61">
        <f t="shared" si="121"/>
        <v>44519</v>
      </c>
      <c r="Z332" s="62">
        <f t="shared" si="122"/>
        <v>44519</v>
      </c>
      <c r="AA332" s="63" t="s">
        <v>253</v>
      </c>
    </row>
    <row r="333" spans="2:27" x14ac:dyDescent="0.2">
      <c r="B333" s="58">
        <f t="shared" si="123"/>
        <v>44520</v>
      </c>
      <c r="C333" s="59" t="str">
        <f t="shared" si="111"/>
        <v>20</v>
      </c>
      <c r="D333" s="59" t="str">
        <f t="shared" si="112"/>
        <v>Saturday</v>
      </c>
      <c r="E333" s="59" t="str">
        <f t="shared" si="113"/>
        <v>November</v>
      </c>
      <c r="F333" s="59" t="str">
        <f t="shared" si="114"/>
        <v>2021</v>
      </c>
      <c r="G333" s="59" t="str">
        <f t="shared" si="124"/>
        <v>Week_47</v>
      </c>
      <c r="H333" s="59" t="str">
        <f t="shared" si="125"/>
        <v>November 2021</v>
      </c>
      <c r="I333" s="59" t="str">
        <f t="shared" si="126"/>
        <v>Week_47</v>
      </c>
      <c r="J333" s="60">
        <f t="shared" si="115"/>
        <v>44520</v>
      </c>
      <c r="K333" s="59">
        <f t="shared" si="127"/>
        <v>47</v>
      </c>
      <c r="L333" s="59">
        <f t="shared" si="116"/>
        <v>47</v>
      </c>
      <c r="M333" s="59" t="str">
        <f t="shared" si="117"/>
        <v>Week_</v>
      </c>
      <c r="N333" s="59" t="str">
        <f t="shared" si="118"/>
        <v>Week_47</v>
      </c>
      <c r="O333" s="59">
        <f t="shared" si="128"/>
        <v>0</v>
      </c>
      <c r="P333" s="59" t="str">
        <f t="shared" si="129"/>
        <v/>
      </c>
      <c r="Q333" s="59" t="str">
        <f t="shared" si="119"/>
        <v/>
      </c>
      <c r="R333" s="59" t="str">
        <f t="shared" si="120"/>
        <v>November 2021</v>
      </c>
      <c r="S333" s="61">
        <f t="shared" si="121"/>
        <v>44520</v>
      </c>
      <c r="Z333" s="62">
        <f t="shared" si="122"/>
        <v>44520</v>
      </c>
      <c r="AA333" s="63" t="s">
        <v>253</v>
      </c>
    </row>
    <row r="334" spans="2:27" x14ac:dyDescent="0.2">
      <c r="B334" s="58">
        <f t="shared" si="123"/>
        <v>44521</v>
      </c>
      <c r="C334" s="59" t="str">
        <f t="shared" si="111"/>
        <v>21</v>
      </c>
      <c r="D334" s="59" t="str">
        <f t="shared" si="112"/>
        <v>Sunday</v>
      </c>
      <c r="E334" s="59" t="str">
        <f t="shared" si="113"/>
        <v>November</v>
      </c>
      <c r="F334" s="59" t="str">
        <f t="shared" si="114"/>
        <v>2021</v>
      </c>
      <c r="G334" s="59" t="str">
        <f t="shared" si="124"/>
        <v>Week_47</v>
      </c>
      <c r="H334" s="59" t="str">
        <f t="shared" si="125"/>
        <v>November 2021</v>
      </c>
      <c r="I334" s="59" t="str">
        <f t="shared" si="126"/>
        <v>Week_47</v>
      </c>
      <c r="J334" s="60">
        <f t="shared" si="115"/>
        <v>44521</v>
      </c>
      <c r="K334" s="59">
        <f t="shared" si="127"/>
        <v>47</v>
      </c>
      <c r="L334" s="59">
        <f t="shared" si="116"/>
        <v>47</v>
      </c>
      <c r="M334" s="59" t="str">
        <f t="shared" si="117"/>
        <v>Week_</v>
      </c>
      <c r="N334" s="59" t="str">
        <f t="shared" si="118"/>
        <v>Week_47</v>
      </c>
      <c r="O334" s="59">
        <f t="shared" si="128"/>
        <v>0</v>
      </c>
      <c r="P334" s="59" t="str">
        <f t="shared" si="129"/>
        <v/>
      </c>
      <c r="Q334" s="59" t="str">
        <f t="shared" si="119"/>
        <v/>
      </c>
      <c r="R334" s="59" t="str">
        <f t="shared" si="120"/>
        <v>November 2021</v>
      </c>
      <c r="S334" s="61">
        <f t="shared" si="121"/>
        <v>44521</v>
      </c>
      <c r="Z334" s="62">
        <f t="shared" si="122"/>
        <v>44521</v>
      </c>
      <c r="AA334" s="63" t="s">
        <v>253</v>
      </c>
    </row>
    <row r="335" spans="2:27" x14ac:dyDescent="0.2">
      <c r="B335" s="58">
        <f t="shared" si="123"/>
        <v>44522</v>
      </c>
      <c r="C335" s="59" t="str">
        <f t="shared" si="111"/>
        <v>22</v>
      </c>
      <c r="D335" s="59" t="str">
        <f t="shared" si="112"/>
        <v>Monday</v>
      </c>
      <c r="E335" s="59" t="str">
        <f t="shared" si="113"/>
        <v>November</v>
      </c>
      <c r="F335" s="59" t="str">
        <f t="shared" si="114"/>
        <v>2021</v>
      </c>
      <c r="G335" s="59" t="str">
        <f t="shared" si="124"/>
        <v>Week_48</v>
      </c>
      <c r="H335" s="59" t="str">
        <f t="shared" si="125"/>
        <v>November 2021</v>
      </c>
      <c r="I335" s="59" t="str">
        <f t="shared" si="126"/>
        <v>Start WeekWeek_48</v>
      </c>
      <c r="J335" s="60">
        <f t="shared" si="115"/>
        <v>44522</v>
      </c>
      <c r="K335" s="59">
        <f t="shared" si="127"/>
        <v>48</v>
      </c>
      <c r="L335" s="59">
        <f t="shared" si="116"/>
        <v>48</v>
      </c>
      <c r="M335" s="59" t="str">
        <f t="shared" si="117"/>
        <v>Week_</v>
      </c>
      <c r="N335" s="59" t="str">
        <f t="shared" si="118"/>
        <v>Week_48</v>
      </c>
      <c r="O335" s="59">
        <f t="shared" si="128"/>
        <v>1</v>
      </c>
      <c r="P335" s="59" t="str">
        <f t="shared" si="129"/>
        <v>Start Week</v>
      </c>
      <c r="Q335" s="59" t="str">
        <f t="shared" si="119"/>
        <v/>
      </c>
      <c r="R335" s="59" t="str">
        <f t="shared" si="120"/>
        <v>November 2021</v>
      </c>
      <c r="S335" s="61">
        <f t="shared" si="121"/>
        <v>44522</v>
      </c>
      <c r="Z335" s="62">
        <f t="shared" si="122"/>
        <v>44522</v>
      </c>
      <c r="AA335" s="63" t="s">
        <v>253</v>
      </c>
    </row>
    <row r="336" spans="2:27" x14ac:dyDescent="0.2">
      <c r="B336" s="58">
        <f t="shared" si="123"/>
        <v>44523</v>
      </c>
      <c r="C336" s="59" t="str">
        <f t="shared" si="111"/>
        <v>23</v>
      </c>
      <c r="D336" s="59" t="str">
        <f t="shared" si="112"/>
        <v>Tuesday</v>
      </c>
      <c r="E336" s="59" t="str">
        <f t="shared" si="113"/>
        <v>November</v>
      </c>
      <c r="F336" s="59" t="str">
        <f t="shared" si="114"/>
        <v>2021</v>
      </c>
      <c r="G336" s="59" t="str">
        <f t="shared" si="124"/>
        <v>Week_48</v>
      </c>
      <c r="H336" s="59" t="str">
        <f t="shared" si="125"/>
        <v>November 2021</v>
      </c>
      <c r="I336" s="59" t="str">
        <f t="shared" si="126"/>
        <v>Week_48</v>
      </c>
      <c r="J336" s="60">
        <f t="shared" si="115"/>
        <v>44523</v>
      </c>
      <c r="K336" s="59">
        <f t="shared" si="127"/>
        <v>48</v>
      </c>
      <c r="L336" s="59">
        <f t="shared" si="116"/>
        <v>48</v>
      </c>
      <c r="M336" s="59" t="str">
        <f t="shared" si="117"/>
        <v>Week_</v>
      </c>
      <c r="N336" s="59" t="str">
        <f t="shared" si="118"/>
        <v>Week_48</v>
      </c>
      <c r="O336" s="59">
        <f t="shared" si="128"/>
        <v>0</v>
      </c>
      <c r="P336" s="59" t="str">
        <f t="shared" si="129"/>
        <v/>
      </c>
      <c r="Q336" s="59" t="str">
        <f t="shared" si="119"/>
        <v/>
      </c>
      <c r="R336" s="59" t="str">
        <f t="shared" si="120"/>
        <v>November 2021</v>
      </c>
      <c r="S336" s="61">
        <f t="shared" si="121"/>
        <v>44523</v>
      </c>
      <c r="Z336" s="62">
        <f t="shared" si="122"/>
        <v>44523</v>
      </c>
      <c r="AA336" s="63" t="s">
        <v>253</v>
      </c>
    </row>
    <row r="337" spans="2:27" x14ac:dyDescent="0.2">
      <c r="B337" s="58">
        <f t="shared" si="123"/>
        <v>44524</v>
      </c>
      <c r="C337" s="59" t="str">
        <f t="shared" si="111"/>
        <v>24</v>
      </c>
      <c r="D337" s="59" t="str">
        <f t="shared" si="112"/>
        <v>Wednesday</v>
      </c>
      <c r="E337" s="59" t="str">
        <f t="shared" si="113"/>
        <v>November</v>
      </c>
      <c r="F337" s="59" t="str">
        <f t="shared" si="114"/>
        <v>2021</v>
      </c>
      <c r="G337" s="59" t="str">
        <f t="shared" si="124"/>
        <v>Week_48</v>
      </c>
      <c r="H337" s="59" t="str">
        <f t="shared" si="125"/>
        <v>November 2021</v>
      </c>
      <c r="I337" s="59" t="str">
        <f t="shared" si="126"/>
        <v>Week_48</v>
      </c>
      <c r="J337" s="60">
        <f t="shared" si="115"/>
        <v>44524</v>
      </c>
      <c r="K337" s="59">
        <f t="shared" si="127"/>
        <v>48</v>
      </c>
      <c r="L337" s="59">
        <f t="shared" si="116"/>
        <v>48</v>
      </c>
      <c r="M337" s="59" t="str">
        <f t="shared" si="117"/>
        <v>Week_</v>
      </c>
      <c r="N337" s="59" t="str">
        <f t="shared" si="118"/>
        <v>Week_48</v>
      </c>
      <c r="O337" s="59">
        <f t="shared" si="128"/>
        <v>0</v>
      </c>
      <c r="P337" s="59" t="str">
        <f t="shared" si="129"/>
        <v/>
      </c>
      <c r="Q337" s="59" t="str">
        <f t="shared" si="119"/>
        <v/>
      </c>
      <c r="R337" s="59" t="str">
        <f t="shared" si="120"/>
        <v>November 2021</v>
      </c>
      <c r="S337" s="61">
        <f t="shared" si="121"/>
        <v>44524</v>
      </c>
      <c r="Z337" s="62">
        <f t="shared" si="122"/>
        <v>44524</v>
      </c>
      <c r="AA337" s="63" t="s">
        <v>253</v>
      </c>
    </row>
    <row r="338" spans="2:27" x14ac:dyDescent="0.2">
      <c r="B338" s="58">
        <f t="shared" si="123"/>
        <v>44525</v>
      </c>
      <c r="C338" s="59" t="str">
        <f t="shared" si="111"/>
        <v>25</v>
      </c>
      <c r="D338" s="59" t="str">
        <f t="shared" si="112"/>
        <v>Thursday</v>
      </c>
      <c r="E338" s="59" t="str">
        <f t="shared" si="113"/>
        <v>November</v>
      </c>
      <c r="F338" s="59" t="str">
        <f t="shared" si="114"/>
        <v>2021</v>
      </c>
      <c r="G338" s="59" t="str">
        <f t="shared" si="124"/>
        <v>Week_48</v>
      </c>
      <c r="H338" s="59" t="str">
        <f t="shared" si="125"/>
        <v>November 2021</v>
      </c>
      <c r="I338" s="59" t="str">
        <f t="shared" si="126"/>
        <v>Week_48</v>
      </c>
      <c r="J338" s="60">
        <f t="shared" si="115"/>
        <v>44525</v>
      </c>
      <c r="K338" s="59">
        <f t="shared" si="127"/>
        <v>48</v>
      </c>
      <c r="L338" s="59">
        <f t="shared" si="116"/>
        <v>48</v>
      </c>
      <c r="M338" s="59" t="str">
        <f t="shared" si="117"/>
        <v>Week_</v>
      </c>
      <c r="N338" s="59" t="str">
        <f t="shared" si="118"/>
        <v>Week_48</v>
      </c>
      <c r="O338" s="59">
        <f t="shared" si="128"/>
        <v>0</v>
      </c>
      <c r="P338" s="59" t="str">
        <f t="shared" si="129"/>
        <v/>
      </c>
      <c r="Q338" s="59" t="str">
        <f t="shared" si="119"/>
        <v/>
      </c>
      <c r="R338" s="59" t="str">
        <f t="shared" si="120"/>
        <v>November 2021</v>
      </c>
      <c r="S338" s="61">
        <f t="shared" si="121"/>
        <v>44525</v>
      </c>
      <c r="Z338" s="62">
        <f t="shared" si="122"/>
        <v>44525</v>
      </c>
      <c r="AA338" s="63" t="s">
        <v>253</v>
      </c>
    </row>
    <row r="339" spans="2:27" x14ac:dyDescent="0.2">
      <c r="B339" s="58">
        <f t="shared" si="123"/>
        <v>44526</v>
      </c>
      <c r="C339" s="59" t="str">
        <f t="shared" si="111"/>
        <v>26</v>
      </c>
      <c r="D339" s="59" t="str">
        <f t="shared" si="112"/>
        <v>Friday</v>
      </c>
      <c r="E339" s="59" t="str">
        <f t="shared" si="113"/>
        <v>November</v>
      </c>
      <c r="F339" s="59" t="str">
        <f t="shared" si="114"/>
        <v>2021</v>
      </c>
      <c r="G339" s="59" t="str">
        <f t="shared" si="124"/>
        <v>Week_48</v>
      </c>
      <c r="H339" s="59" t="str">
        <f t="shared" si="125"/>
        <v>November 2021</v>
      </c>
      <c r="I339" s="59" t="str">
        <f t="shared" si="126"/>
        <v>Week_48</v>
      </c>
      <c r="J339" s="60">
        <f t="shared" si="115"/>
        <v>44526</v>
      </c>
      <c r="K339" s="59">
        <f t="shared" si="127"/>
        <v>48</v>
      </c>
      <c r="L339" s="59">
        <f t="shared" si="116"/>
        <v>48</v>
      </c>
      <c r="M339" s="59" t="str">
        <f t="shared" si="117"/>
        <v>Week_</v>
      </c>
      <c r="N339" s="59" t="str">
        <f t="shared" si="118"/>
        <v>Week_48</v>
      </c>
      <c r="O339" s="59">
        <f t="shared" si="128"/>
        <v>0</v>
      </c>
      <c r="P339" s="59" t="str">
        <f t="shared" si="129"/>
        <v/>
      </c>
      <c r="Q339" s="59" t="str">
        <f t="shared" si="119"/>
        <v/>
      </c>
      <c r="R339" s="59" t="str">
        <f t="shared" si="120"/>
        <v>November 2021</v>
      </c>
      <c r="S339" s="61">
        <f t="shared" si="121"/>
        <v>44526</v>
      </c>
      <c r="Z339" s="62">
        <f t="shared" si="122"/>
        <v>44526</v>
      </c>
      <c r="AA339" s="63" t="s">
        <v>253</v>
      </c>
    </row>
    <row r="340" spans="2:27" x14ac:dyDescent="0.2">
      <c r="B340" s="58">
        <f t="shared" si="123"/>
        <v>44527</v>
      </c>
      <c r="C340" s="59" t="str">
        <f t="shared" si="111"/>
        <v>27</v>
      </c>
      <c r="D340" s="59" t="str">
        <f t="shared" si="112"/>
        <v>Saturday</v>
      </c>
      <c r="E340" s="59" t="str">
        <f t="shared" si="113"/>
        <v>November</v>
      </c>
      <c r="F340" s="59" t="str">
        <f t="shared" si="114"/>
        <v>2021</v>
      </c>
      <c r="G340" s="59" t="str">
        <f t="shared" si="124"/>
        <v>Week_48</v>
      </c>
      <c r="H340" s="59" t="str">
        <f t="shared" si="125"/>
        <v>November 2021</v>
      </c>
      <c r="I340" s="59" t="str">
        <f t="shared" si="126"/>
        <v>Week_48</v>
      </c>
      <c r="J340" s="60">
        <f t="shared" si="115"/>
        <v>44527</v>
      </c>
      <c r="K340" s="59">
        <f t="shared" si="127"/>
        <v>48</v>
      </c>
      <c r="L340" s="59">
        <f t="shared" si="116"/>
        <v>48</v>
      </c>
      <c r="M340" s="59" t="str">
        <f t="shared" si="117"/>
        <v>Week_</v>
      </c>
      <c r="N340" s="59" t="str">
        <f t="shared" si="118"/>
        <v>Week_48</v>
      </c>
      <c r="O340" s="59">
        <f t="shared" si="128"/>
        <v>0</v>
      </c>
      <c r="P340" s="59" t="str">
        <f t="shared" si="129"/>
        <v/>
      </c>
      <c r="Q340" s="59" t="str">
        <f t="shared" si="119"/>
        <v/>
      </c>
      <c r="R340" s="59" t="str">
        <f t="shared" si="120"/>
        <v>November 2021</v>
      </c>
      <c r="S340" s="61">
        <f t="shared" si="121"/>
        <v>44527</v>
      </c>
      <c r="Z340" s="62">
        <f t="shared" si="122"/>
        <v>44527</v>
      </c>
      <c r="AA340" s="63" t="s">
        <v>253</v>
      </c>
    </row>
    <row r="341" spans="2:27" x14ac:dyDescent="0.2">
      <c r="B341" s="58">
        <f t="shared" si="123"/>
        <v>44528</v>
      </c>
      <c r="C341" s="59" t="str">
        <f t="shared" si="111"/>
        <v>28</v>
      </c>
      <c r="D341" s="59" t="str">
        <f t="shared" si="112"/>
        <v>Sunday</v>
      </c>
      <c r="E341" s="59" t="str">
        <f t="shared" si="113"/>
        <v>November</v>
      </c>
      <c r="F341" s="59" t="str">
        <f t="shared" si="114"/>
        <v>2021</v>
      </c>
      <c r="G341" s="59" t="str">
        <f t="shared" si="124"/>
        <v>Week_48</v>
      </c>
      <c r="H341" s="59" t="str">
        <f t="shared" si="125"/>
        <v>November 2021</v>
      </c>
      <c r="I341" s="59" t="str">
        <f t="shared" si="126"/>
        <v>Week_48</v>
      </c>
      <c r="J341" s="60">
        <f t="shared" si="115"/>
        <v>44528</v>
      </c>
      <c r="K341" s="59">
        <f t="shared" si="127"/>
        <v>48</v>
      </c>
      <c r="L341" s="59">
        <f t="shared" si="116"/>
        <v>48</v>
      </c>
      <c r="M341" s="59" t="str">
        <f t="shared" si="117"/>
        <v>Week_</v>
      </c>
      <c r="N341" s="59" t="str">
        <f t="shared" si="118"/>
        <v>Week_48</v>
      </c>
      <c r="O341" s="59">
        <f t="shared" si="128"/>
        <v>0</v>
      </c>
      <c r="P341" s="59" t="str">
        <f t="shared" si="129"/>
        <v/>
      </c>
      <c r="Q341" s="59" t="str">
        <f t="shared" si="119"/>
        <v/>
      </c>
      <c r="R341" s="59" t="str">
        <f t="shared" si="120"/>
        <v>November 2021</v>
      </c>
      <c r="S341" s="61">
        <f t="shared" si="121"/>
        <v>44528</v>
      </c>
      <c r="Z341" s="62">
        <f t="shared" si="122"/>
        <v>44528</v>
      </c>
      <c r="AA341" s="63" t="s">
        <v>253</v>
      </c>
    </row>
    <row r="342" spans="2:27" x14ac:dyDescent="0.2">
      <c r="B342" s="58">
        <f t="shared" si="123"/>
        <v>44529</v>
      </c>
      <c r="C342" s="59" t="str">
        <f t="shared" si="111"/>
        <v>29</v>
      </c>
      <c r="D342" s="59" t="str">
        <f t="shared" si="112"/>
        <v>Monday</v>
      </c>
      <c r="E342" s="59" t="str">
        <f t="shared" si="113"/>
        <v>November</v>
      </c>
      <c r="F342" s="59" t="str">
        <f t="shared" si="114"/>
        <v>2021</v>
      </c>
      <c r="G342" s="59" t="str">
        <f t="shared" si="124"/>
        <v>Week_49</v>
      </c>
      <c r="H342" s="59" t="str">
        <f t="shared" si="125"/>
        <v>November 2021</v>
      </c>
      <c r="I342" s="59" t="str">
        <f t="shared" si="126"/>
        <v>Start WeekWeek_49</v>
      </c>
      <c r="J342" s="60">
        <f t="shared" si="115"/>
        <v>44529</v>
      </c>
      <c r="K342" s="59">
        <f t="shared" si="127"/>
        <v>49</v>
      </c>
      <c r="L342" s="59">
        <f t="shared" si="116"/>
        <v>49</v>
      </c>
      <c r="M342" s="59" t="str">
        <f t="shared" si="117"/>
        <v>Week_</v>
      </c>
      <c r="N342" s="59" t="str">
        <f t="shared" si="118"/>
        <v>Week_49</v>
      </c>
      <c r="O342" s="59">
        <f t="shared" si="128"/>
        <v>1</v>
      </c>
      <c r="P342" s="59" t="str">
        <f t="shared" si="129"/>
        <v>Start Week</v>
      </c>
      <c r="Q342" s="59" t="str">
        <f t="shared" si="119"/>
        <v/>
      </c>
      <c r="R342" s="59" t="str">
        <f t="shared" si="120"/>
        <v>November 2021</v>
      </c>
      <c r="S342" s="61">
        <f t="shared" si="121"/>
        <v>44529</v>
      </c>
      <c r="Z342" s="62">
        <f t="shared" si="122"/>
        <v>44529</v>
      </c>
      <c r="AA342" s="63" t="s">
        <v>253</v>
      </c>
    </row>
    <row r="343" spans="2:27" x14ac:dyDescent="0.2">
      <c r="B343" s="58">
        <f t="shared" si="123"/>
        <v>44530</v>
      </c>
      <c r="C343" s="59" t="str">
        <f t="shared" si="111"/>
        <v>30</v>
      </c>
      <c r="D343" s="59" t="str">
        <f t="shared" si="112"/>
        <v>Tuesday</v>
      </c>
      <c r="E343" s="59" t="str">
        <f t="shared" si="113"/>
        <v>November</v>
      </c>
      <c r="F343" s="59" t="str">
        <f t="shared" si="114"/>
        <v>2021</v>
      </c>
      <c r="G343" s="59" t="str">
        <f t="shared" si="124"/>
        <v>Week_49</v>
      </c>
      <c r="H343" s="59" t="str">
        <f t="shared" si="125"/>
        <v>November 2021</v>
      </c>
      <c r="I343" s="59" t="str">
        <f t="shared" si="126"/>
        <v>Week_49</v>
      </c>
      <c r="J343" s="60">
        <f t="shared" si="115"/>
        <v>44530</v>
      </c>
      <c r="K343" s="59">
        <f t="shared" si="127"/>
        <v>49</v>
      </c>
      <c r="L343" s="59">
        <f t="shared" si="116"/>
        <v>49</v>
      </c>
      <c r="M343" s="59" t="str">
        <f t="shared" si="117"/>
        <v>Week_</v>
      </c>
      <c r="N343" s="59" t="str">
        <f t="shared" si="118"/>
        <v>Week_49</v>
      </c>
      <c r="O343" s="59">
        <f t="shared" si="128"/>
        <v>0</v>
      </c>
      <c r="P343" s="59" t="str">
        <f t="shared" si="129"/>
        <v/>
      </c>
      <c r="Q343" s="59" t="str">
        <f t="shared" si="119"/>
        <v/>
      </c>
      <c r="R343" s="59" t="str">
        <f t="shared" si="120"/>
        <v>November 2021</v>
      </c>
      <c r="S343" s="61">
        <f t="shared" si="121"/>
        <v>44530</v>
      </c>
      <c r="Z343" s="62">
        <f t="shared" si="122"/>
        <v>44530</v>
      </c>
      <c r="AA343" s="63" t="s">
        <v>253</v>
      </c>
    </row>
    <row r="344" spans="2:27" x14ac:dyDescent="0.2">
      <c r="B344" s="58">
        <f t="shared" si="123"/>
        <v>44531</v>
      </c>
      <c r="C344" s="59" t="str">
        <f t="shared" si="111"/>
        <v>01</v>
      </c>
      <c r="D344" s="59" t="str">
        <f t="shared" si="112"/>
        <v>Wednesday</v>
      </c>
      <c r="E344" s="59" t="str">
        <f t="shared" si="113"/>
        <v>December</v>
      </c>
      <c r="F344" s="59" t="str">
        <f t="shared" si="114"/>
        <v>2021</v>
      </c>
      <c r="G344" s="59" t="str">
        <f t="shared" si="124"/>
        <v>Week_49</v>
      </c>
      <c r="H344" s="59" t="str">
        <f t="shared" si="125"/>
        <v>December 2021</v>
      </c>
      <c r="I344" s="59" t="str">
        <f t="shared" si="126"/>
        <v>Week_49</v>
      </c>
      <c r="J344" s="60">
        <f t="shared" si="115"/>
        <v>44531</v>
      </c>
      <c r="K344" s="59">
        <f t="shared" si="127"/>
        <v>49</v>
      </c>
      <c r="L344" s="59">
        <f t="shared" si="116"/>
        <v>49</v>
      </c>
      <c r="M344" s="59" t="str">
        <f t="shared" si="117"/>
        <v>Week_</v>
      </c>
      <c r="N344" s="59" t="str">
        <f t="shared" si="118"/>
        <v>Week_49</v>
      </c>
      <c r="O344" s="59">
        <f t="shared" si="128"/>
        <v>0</v>
      </c>
      <c r="P344" s="59" t="str">
        <f t="shared" si="129"/>
        <v/>
      </c>
      <c r="Q344" s="59" t="str">
        <f t="shared" si="119"/>
        <v>Start Month</v>
      </c>
      <c r="R344" s="59" t="str">
        <f t="shared" si="120"/>
        <v>Start MonthDecember 2021</v>
      </c>
      <c r="S344" s="61">
        <f t="shared" si="121"/>
        <v>44531</v>
      </c>
      <c r="Z344" s="62">
        <f t="shared" si="122"/>
        <v>44531</v>
      </c>
      <c r="AA344" s="63" t="s">
        <v>253</v>
      </c>
    </row>
    <row r="345" spans="2:27" x14ac:dyDescent="0.2">
      <c r="B345" s="58">
        <f t="shared" si="123"/>
        <v>44532</v>
      </c>
      <c r="C345" s="59" t="str">
        <f t="shared" si="111"/>
        <v>02</v>
      </c>
      <c r="D345" s="59" t="str">
        <f t="shared" si="112"/>
        <v>Thursday</v>
      </c>
      <c r="E345" s="59" t="str">
        <f t="shared" si="113"/>
        <v>December</v>
      </c>
      <c r="F345" s="59" t="str">
        <f t="shared" si="114"/>
        <v>2021</v>
      </c>
      <c r="G345" s="59" t="str">
        <f t="shared" si="124"/>
        <v>Week_49</v>
      </c>
      <c r="H345" s="59" t="str">
        <f t="shared" si="125"/>
        <v>December 2021</v>
      </c>
      <c r="I345" s="59" t="str">
        <f t="shared" si="126"/>
        <v>Week_49</v>
      </c>
      <c r="J345" s="60">
        <f t="shared" si="115"/>
        <v>44532</v>
      </c>
      <c r="K345" s="59">
        <f t="shared" si="127"/>
        <v>49</v>
      </c>
      <c r="L345" s="59">
        <f t="shared" si="116"/>
        <v>49</v>
      </c>
      <c r="M345" s="59" t="str">
        <f t="shared" si="117"/>
        <v>Week_</v>
      </c>
      <c r="N345" s="59" t="str">
        <f t="shared" si="118"/>
        <v>Week_49</v>
      </c>
      <c r="O345" s="59">
        <f t="shared" si="128"/>
        <v>0</v>
      </c>
      <c r="P345" s="59" t="str">
        <f t="shared" si="129"/>
        <v/>
      </c>
      <c r="Q345" s="59" t="str">
        <f t="shared" si="119"/>
        <v/>
      </c>
      <c r="R345" s="59" t="str">
        <f t="shared" si="120"/>
        <v>December 2021</v>
      </c>
      <c r="S345" s="61">
        <f t="shared" si="121"/>
        <v>44532</v>
      </c>
      <c r="Z345" s="62">
        <f t="shared" si="122"/>
        <v>44532</v>
      </c>
      <c r="AA345" s="63" t="s">
        <v>253</v>
      </c>
    </row>
    <row r="346" spans="2:27" x14ac:dyDescent="0.2">
      <c r="B346" s="58">
        <f t="shared" si="123"/>
        <v>44533</v>
      </c>
      <c r="C346" s="59" t="str">
        <f t="shared" si="111"/>
        <v>03</v>
      </c>
      <c r="D346" s="59" t="str">
        <f t="shared" si="112"/>
        <v>Friday</v>
      </c>
      <c r="E346" s="59" t="str">
        <f t="shared" si="113"/>
        <v>December</v>
      </c>
      <c r="F346" s="59" t="str">
        <f t="shared" si="114"/>
        <v>2021</v>
      </c>
      <c r="G346" s="59" t="str">
        <f t="shared" si="124"/>
        <v>Week_49</v>
      </c>
      <c r="H346" s="59" t="str">
        <f t="shared" si="125"/>
        <v>December 2021</v>
      </c>
      <c r="I346" s="59" t="str">
        <f t="shared" si="126"/>
        <v>Week_49</v>
      </c>
      <c r="J346" s="60">
        <f t="shared" si="115"/>
        <v>44533</v>
      </c>
      <c r="K346" s="59">
        <f t="shared" si="127"/>
        <v>49</v>
      </c>
      <c r="L346" s="59">
        <f t="shared" si="116"/>
        <v>49</v>
      </c>
      <c r="M346" s="59" t="str">
        <f t="shared" si="117"/>
        <v>Week_</v>
      </c>
      <c r="N346" s="59" t="str">
        <f t="shared" si="118"/>
        <v>Week_49</v>
      </c>
      <c r="O346" s="59">
        <f t="shared" si="128"/>
        <v>0</v>
      </c>
      <c r="P346" s="59" t="str">
        <f t="shared" si="129"/>
        <v/>
      </c>
      <c r="Q346" s="59" t="str">
        <f t="shared" si="119"/>
        <v/>
      </c>
      <c r="R346" s="59" t="str">
        <f t="shared" si="120"/>
        <v>December 2021</v>
      </c>
      <c r="S346" s="61">
        <f t="shared" si="121"/>
        <v>44533</v>
      </c>
      <c r="Z346" s="62">
        <f t="shared" si="122"/>
        <v>44533</v>
      </c>
      <c r="AA346" s="63" t="s">
        <v>253</v>
      </c>
    </row>
    <row r="347" spans="2:27" x14ac:dyDescent="0.2">
      <c r="B347" s="58">
        <f t="shared" si="123"/>
        <v>44534</v>
      </c>
      <c r="C347" s="59" t="str">
        <f t="shared" si="111"/>
        <v>04</v>
      </c>
      <c r="D347" s="59" t="str">
        <f t="shared" si="112"/>
        <v>Saturday</v>
      </c>
      <c r="E347" s="59" t="str">
        <f t="shared" si="113"/>
        <v>December</v>
      </c>
      <c r="F347" s="59" t="str">
        <f t="shared" si="114"/>
        <v>2021</v>
      </c>
      <c r="G347" s="59" t="str">
        <f t="shared" si="124"/>
        <v>Week_49</v>
      </c>
      <c r="H347" s="59" t="str">
        <f t="shared" si="125"/>
        <v>December 2021</v>
      </c>
      <c r="I347" s="59" t="str">
        <f t="shared" si="126"/>
        <v>Week_49</v>
      </c>
      <c r="J347" s="60">
        <f t="shared" si="115"/>
        <v>44534</v>
      </c>
      <c r="K347" s="59">
        <f t="shared" si="127"/>
        <v>49</v>
      </c>
      <c r="L347" s="59">
        <f t="shared" si="116"/>
        <v>49</v>
      </c>
      <c r="M347" s="59" t="str">
        <f t="shared" si="117"/>
        <v>Week_</v>
      </c>
      <c r="N347" s="59" t="str">
        <f t="shared" si="118"/>
        <v>Week_49</v>
      </c>
      <c r="O347" s="59">
        <f t="shared" si="128"/>
        <v>0</v>
      </c>
      <c r="P347" s="59" t="str">
        <f t="shared" si="129"/>
        <v/>
      </c>
      <c r="Q347" s="59" t="str">
        <f t="shared" si="119"/>
        <v/>
      </c>
      <c r="R347" s="59" t="str">
        <f t="shared" si="120"/>
        <v>December 2021</v>
      </c>
      <c r="S347" s="61">
        <f t="shared" si="121"/>
        <v>44534</v>
      </c>
      <c r="Z347" s="62">
        <f t="shared" si="122"/>
        <v>44534</v>
      </c>
      <c r="AA347" s="63" t="s">
        <v>253</v>
      </c>
    </row>
    <row r="348" spans="2:27" x14ac:dyDescent="0.2">
      <c r="B348" s="58">
        <f t="shared" si="123"/>
        <v>44535</v>
      </c>
      <c r="C348" s="59" t="str">
        <f t="shared" si="111"/>
        <v>05</v>
      </c>
      <c r="D348" s="59" t="str">
        <f t="shared" si="112"/>
        <v>Sunday</v>
      </c>
      <c r="E348" s="59" t="str">
        <f t="shared" si="113"/>
        <v>December</v>
      </c>
      <c r="F348" s="59" t="str">
        <f t="shared" si="114"/>
        <v>2021</v>
      </c>
      <c r="G348" s="59" t="str">
        <f t="shared" si="124"/>
        <v>Week_49</v>
      </c>
      <c r="H348" s="59" t="str">
        <f t="shared" si="125"/>
        <v>December 2021</v>
      </c>
      <c r="I348" s="59" t="str">
        <f t="shared" si="126"/>
        <v>Week_49</v>
      </c>
      <c r="J348" s="60">
        <f t="shared" si="115"/>
        <v>44535</v>
      </c>
      <c r="K348" s="59">
        <f t="shared" si="127"/>
        <v>49</v>
      </c>
      <c r="L348" s="59">
        <f t="shared" si="116"/>
        <v>49</v>
      </c>
      <c r="M348" s="59" t="str">
        <f t="shared" si="117"/>
        <v>Week_</v>
      </c>
      <c r="N348" s="59" t="str">
        <f t="shared" si="118"/>
        <v>Week_49</v>
      </c>
      <c r="O348" s="59">
        <f t="shared" si="128"/>
        <v>0</v>
      </c>
      <c r="P348" s="59" t="str">
        <f t="shared" si="129"/>
        <v/>
      </c>
      <c r="Q348" s="59" t="str">
        <f t="shared" si="119"/>
        <v/>
      </c>
      <c r="R348" s="59" t="str">
        <f t="shared" si="120"/>
        <v>December 2021</v>
      </c>
      <c r="S348" s="61">
        <f t="shared" si="121"/>
        <v>44535</v>
      </c>
      <c r="Z348" s="62">
        <f t="shared" si="122"/>
        <v>44535</v>
      </c>
      <c r="AA348" s="63" t="s">
        <v>253</v>
      </c>
    </row>
    <row r="349" spans="2:27" x14ac:dyDescent="0.2">
      <c r="B349" s="58">
        <f t="shared" si="123"/>
        <v>44536</v>
      </c>
      <c r="C349" s="59" t="str">
        <f t="shared" si="111"/>
        <v>06</v>
      </c>
      <c r="D349" s="59" t="str">
        <f t="shared" si="112"/>
        <v>Monday</v>
      </c>
      <c r="E349" s="59" t="str">
        <f t="shared" si="113"/>
        <v>December</v>
      </c>
      <c r="F349" s="59" t="str">
        <f t="shared" si="114"/>
        <v>2021</v>
      </c>
      <c r="G349" s="59" t="str">
        <f t="shared" si="124"/>
        <v>Week_50</v>
      </c>
      <c r="H349" s="59" t="str">
        <f t="shared" si="125"/>
        <v>December 2021</v>
      </c>
      <c r="I349" s="59" t="str">
        <f t="shared" si="126"/>
        <v>Start WeekWeek_50</v>
      </c>
      <c r="J349" s="60">
        <f t="shared" si="115"/>
        <v>44536</v>
      </c>
      <c r="K349" s="59">
        <f t="shared" si="127"/>
        <v>50</v>
      </c>
      <c r="L349" s="59">
        <f t="shared" si="116"/>
        <v>50</v>
      </c>
      <c r="M349" s="59" t="str">
        <f t="shared" si="117"/>
        <v>Week_</v>
      </c>
      <c r="N349" s="59" t="str">
        <f t="shared" si="118"/>
        <v>Week_50</v>
      </c>
      <c r="O349" s="59">
        <f t="shared" si="128"/>
        <v>1</v>
      </c>
      <c r="P349" s="59" t="str">
        <f t="shared" si="129"/>
        <v>Start Week</v>
      </c>
      <c r="Q349" s="59" t="str">
        <f t="shared" si="119"/>
        <v/>
      </c>
      <c r="R349" s="59" t="str">
        <f t="shared" si="120"/>
        <v>December 2021</v>
      </c>
      <c r="S349" s="61">
        <f t="shared" si="121"/>
        <v>44536</v>
      </c>
      <c r="Z349" s="62">
        <f t="shared" si="122"/>
        <v>44536</v>
      </c>
      <c r="AA349" s="63" t="s">
        <v>253</v>
      </c>
    </row>
    <row r="350" spans="2:27" x14ac:dyDescent="0.2">
      <c r="B350" s="58">
        <f t="shared" si="123"/>
        <v>44537</v>
      </c>
      <c r="C350" s="59" t="str">
        <f t="shared" si="111"/>
        <v>07</v>
      </c>
      <c r="D350" s="59" t="str">
        <f t="shared" si="112"/>
        <v>Tuesday</v>
      </c>
      <c r="E350" s="59" t="str">
        <f t="shared" si="113"/>
        <v>December</v>
      </c>
      <c r="F350" s="59" t="str">
        <f t="shared" si="114"/>
        <v>2021</v>
      </c>
      <c r="G350" s="59" t="str">
        <f t="shared" si="124"/>
        <v>Week_50</v>
      </c>
      <c r="H350" s="59" t="str">
        <f t="shared" si="125"/>
        <v>December 2021</v>
      </c>
      <c r="I350" s="59" t="str">
        <f t="shared" si="126"/>
        <v>Week_50</v>
      </c>
      <c r="J350" s="60">
        <f t="shared" si="115"/>
        <v>44537</v>
      </c>
      <c r="K350" s="59">
        <f t="shared" si="127"/>
        <v>50</v>
      </c>
      <c r="L350" s="59">
        <f t="shared" si="116"/>
        <v>50</v>
      </c>
      <c r="M350" s="59" t="str">
        <f t="shared" si="117"/>
        <v>Week_</v>
      </c>
      <c r="N350" s="59" t="str">
        <f t="shared" si="118"/>
        <v>Week_50</v>
      </c>
      <c r="O350" s="59">
        <f t="shared" si="128"/>
        <v>0</v>
      </c>
      <c r="P350" s="59" t="str">
        <f t="shared" si="129"/>
        <v/>
      </c>
      <c r="Q350" s="59" t="str">
        <f t="shared" si="119"/>
        <v/>
      </c>
      <c r="R350" s="59" t="str">
        <f t="shared" si="120"/>
        <v>December 2021</v>
      </c>
      <c r="S350" s="61">
        <f t="shared" si="121"/>
        <v>44537</v>
      </c>
      <c r="Z350" s="62">
        <f t="shared" si="122"/>
        <v>44537</v>
      </c>
      <c r="AA350" s="63" t="s">
        <v>253</v>
      </c>
    </row>
    <row r="351" spans="2:27" x14ac:dyDescent="0.2">
      <c r="B351" s="58">
        <f t="shared" si="123"/>
        <v>44538</v>
      </c>
      <c r="C351" s="59" t="str">
        <f t="shared" si="111"/>
        <v>08</v>
      </c>
      <c r="D351" s="59" t="str">
        <f t="shared" si="112"/>
        <v>Wednesday</v>
      </c>
      <c r="E351" s="59" t="str">
        <f t="shared" si="113"/>
        <v>December</v>
      </c>
      <c r="F351" s="59" t="str">
        <f t="shared" si="114"/>
        <v>2021</v>
      </c>
      <c r="G351" s="59" t="str">
        <f t="shared" si="124"/>
        <v>Week_50</v>
      </c>
      <c r="H351" s="59" t="str">
        <f t="shared" si="125"/>
        <v>December 2021</v>
      </c>
      <c r="I351" s="59" t="str">
        <f t="shared" si="126"/>
        <v>Week_50</v>
      </c>
      <c r="J351" s="60">
        <f t="shared" si="115"/>
        <v>44538</v>
      </c>
      <c r="K351" s="59">
        <f t="shared" si="127"/>
        <v>50</v>
      </c>
      <c r="L351" s="59">
        <f t="shared" si="116"/>
        <v>50</v>
      </c>
      <c r="M351" s="59" t="str">
        <f t="shared" si="117"/>
        <v>Week_</v>
      </c>
      <c r="N351" s="59" t="str">
        <f t="shared" si="118"/>
        <v>Week_50</v>
      </c>
      <c r="O351" s="59">
        <f t="shared" si="128"/>
        <v>0</v>
      </c>
      <c r="P351" s="59" t="str">
        <f t="shared" si="129"/>
        <v/>
      </c>
      <c r="Q351" s="59" t="str">
        <f t="shared" si="119"/>
        <v/>
      </c>
      <c r="R351" s="59" t="str">
        <f t="shared" si="120"/>
        <v>December 2021</v>
      </c>
      <c r="S351" s="61">
        <f t="shared" si="121"/>
        <v>44538</v>
      </c>
      <c r="Z351" s="62">
        <f t="shared" si="122"/>
        <v>44538</v>
      </c>
      <c r="AA351" s="63" t="s">
        <v>253</v>
      </c>
    </row>
    <row r="352" spans="2:27" x14ac:dyDescent="0.2">
      <c r="B352" s="58">
        <f t="shared" si="123"/>
        <v>44539</v>
      </c>
      <c r="C352" s="59" t="str">
        <f t="shared" si="111"/>
        <v>09</v>
      </c>
      <c r="D352" s="59" t="str">
        <f t="shared" si="112"/>
        <v>Thursday</v>
      </c>
      <c r="E352" s="59" t="str">
        <f t="shared" si="113"/>
        <v>December</v>
      </c>
      <c r="F352" s="59" t="str">
        <f t="shared" si="114"/>
        <v>2021</v>
      </c>
      <c r="G352" s="59" t="str">
        <f t="shared" si="124"/>
        <v>Week_50</v>
      </c>
      <c r="H352" s="59" t="str">
        <f t="shared" si="125"/>
        <v>December 2021</v>
      </c>
      <c r="I352" s="59" t="str">
        <f t="shared" si="126"/>
        <v>Week_50</v>
      </c>
      <c r="J352" s="60">
        <f t="shared" si="115"/>
        <v>44539</v>
      </c>
      <c r="K352" s="59">
        <f t="shared" si="127"/>
        <v>50</v>
      </c>
      <c r="L352" s="59">
        <f t="shared" si="116"/>
        <v>50</v>
      </c>
      <c r="M352" s="59" t="str">
        <f t="shared" si="117"/>
        <v>Week_</v>
      </c>
      <c r="N352" s="59" t="str">
        <f t="shared" si="118"/>
        <v>Week_50</v>
      </c>
      <c r="O352" s="59">
        <f t="shared" si="128"/>
        <v>0</v>
      </c>
      <c r="P352" s="59" t="str">
        <f t="shared" si="129"/>
        <v/>
      </c>
      <c r="Q352" s="59" t="str">
        <f t="shared" si="119"/>
        <v/>
      </c>
      <c r="R352" s="59" t="str">
        <f t="shared" si="120"/>
        <v>December 2021</v>
      </c>
      <c r="S352" s="61">
        <f t="shared" si="121"/>
        <v>44539</v>
      </c>
      <c r="Z352" s="62">
        <f t="shared" si="122"/>
        <v>44539</v>
      </c>
      <c r="AA352" s="63" t="s">
        <v>253</v>
      </c>
    </row>
    <row r="353" spans="2:27" x14ac:dyDescent="0.2">
      <c r="B353" s="58">
        <f t="shared" si="123"/>
        <v>44540</v>
      </c>
      <c r="C353" s="59" t="str">
        <f t="shared" si="111"/>
        <v>10</v>
      </c>
      <c r="D353" s="59" t="str">
        <f t="shared" si="112"/>
        <v>Friday</v>
      </c>
      <c r="E353" s="59" t="str">
        <f t="shared" si="113"/>
        <v>December</v>
      </c>
      <c r="F353" s="59" t="str">
        <f t="shared" si="114"/>
        <v>2021</v>
      </c>
      <c r="G353" s="59" t="str">
        <f t="shared" si="124"/>
        <v>Week_50</v>
      </c>
      <c r="H353" s="59" t="str">
        <f t="shared" si="125"/>
        <v>December 2021</v>
      </c>
      <c r="I353" s="59" t="str">
        <f t="shared" si="126"/>
        <v>Week_50</v>
      </c>
      <c r="J353" s="60">
        <f t="shared" si="115"/>
        <v>44540</v>
      </c>
      <c r="K353" s="59">
        <f t="shared" si="127"/>
        <v>50</v>
      </c>
      <c r="L353" s="59">
        <f t="shared" si="116"/>
        <v>50</v>
      </c>
      <c r="M353" s="59" t="str">
        <f t="shared" si="117"/>
        <v>Week_</v>
      </c>
      <c r="N353" s="59" t="str">
        <f t="shared" si="118"/>
        <v>Week_50</v>
      </c>
      <c r="O353" s="59">
        <f t="shared" si="128"/>
        <v>0</v>
      </c>
      <c r="P353" s="59" t="str">
        <f t="shared" si="129"/>
        <v/>
      </c>
      <c r="Q353" s="59" t="str">
        <f t="shared" si="119"/>
        <v/>
      </c>
      <c r="R353" s="59" t="str">
        <f t="shared" si="120"/>
        <v>December 2021</v>
      </c>
      <c r="S353" s="61">
        <f t="shared" si="121"/>
        <v>44540</v>
      </c>
      <c r="Z353" s="62">
        <f t="shared" si="122"/>
        <v>44540</v>
      </c>
      <c r="AA353" s="63" t="s">
        <v>253</v>
      </c>
    </row>
    <row r="354" spans="2:27" x14ac:dyDescent="0.2">
      <c r="B354" s="58">
        <f t="shared" si="123"/>
        <v>44541</v>
      </c>
      <c r="C354" s="59" t="str">
        <f t="shared" si="111"/>
        <v>11</v>
      </c>
      <c r="D354" s="59" t="str">
        <f t="shared" si="112"/>
        <v>Saturday</v>
      </c>
      <c r="E354" s="59" t="str">
        <f t="shared" si="113"/>
        <v>December</v>
      </c>
      <c r="F354" s="59" t="str">
        <f t="shared" si="114"/>
        <v>2021</v>
      </c>
      <c r="G354" s="59" t="str">
        <f t="shared" si="124"/>
        <v>Week_50</v>
      </c>
      <c r="H354" s="59" t="str">
        <f t="shared" si="125"/>
        <v>December 2021</v>
      </c>
      <c r="I354" s="59" t="str">
        <f t="shared" si="126"/>
        <v>Week_50</v>
      </c>
      <c r="J354" s="60">
        <f t="shared" si="115"/>
        <v>44541</v>
      </c>
      <c r="K354" s="59">
        <f t="shared" si="127"/>
        <v>50</v>
      </c>
      <c r="L354" s="59">
        <f t="shared" si="116"/>
        <v>50</v>
      </c>
      <c r="M354" s="59" t="str">
        <f t="shared" si="117"/>
        <v>Week_</v>
      </c>
      <c r="N354" s="59" t="str">
        <f t="shared" si="118"/>
        <v>Week_50</v>
      </c>
      <c r="O354" s="59">
        <f t="shared" si="128"/>
        <v>0</v>
      </c>
      <c r="P354" s="59" t="str">
        <f t="shared" si="129"/>
        <v/>
      </c>
      <c r="Q354" s="59" t="str">
        <f t="shared" si="119"/>
        <v/>
      </c>
      <c r="R354" s="59" t="str">
        <f t="shared" si="120"/>
        <v>December 2021</v>
      </c>
      <c r="S354" s="61">
        <f t="shared" si="121"/>
        <v>44541</v>
      </c>
      <c r="Z354" s="62">
        <f t="shared" si="122"/>
        <v>44541</v>
      </c>
      <c r="AA354" s="63" t="s">
        <v>253</v>
      </c>
    </row>
    <row r="355" spans="2:27" x14ac:dyDescent="0.2">
      <c r="B355" s="58">
        <f t="shared" si="123"/>
        <v>44542</v>
      </c>
      <c r="C355" s="59" t="str">
        <f t="shared" si="111"/>
        <v>12</v>
      </c>
      <c r="D355" s="59" t="str">
        <f t="shared" si="112"/>
        <v>Sunday</v>
      </c>
      <c r="E355" s="59" t="str">
        <f t="shared" si="113"/>
        <v>December</v>
      </c>
      <c r="F355" s="59" t="str">
        <f t="shared" si="114"/>
        <v>2021</v>
      </c>
      <c r="G355" s="59" t="str">
        <f t="shared" si="124"/>
        <v>Week_50</v>
      </c>
      <c r="H355" s="59" t="str">
        <f t="shared" si="125"/>
        <v>December 2021</v>
      </c>
      <c r="I355" s="59" t="str">
        <f t="shared" si="126"/>
        <v>Week_50</v>
      </c>
      <c r="J355" s="60">
        <f t="shared" si="115"/>
        <v>44542</v>
      </c>
      <c r="K355" s="59">
        <f t="shared" si="127"/>
        <v>50</v>
      </c>
      <c r="L355" s="59">
        <f t="shared" si="116"/>
        <v>50</v>
      </c>
      <c r="M355" s="59" t="str">
        <f t="shared" si="117"/>
        <v>Week_</v>
      </c>
      <c r="N355" s="59" t="str">
        <f t="shared" si="118"/>
        <v>Week_50</v>
      </c>
      <c r="O355" s="59">
        <f t="shared" si="128"/>
        <v>0</v>
      </c>
      <c r="P355" s="59" t="str">
        <f t="shared" si="129"/>
        <v/>
      </c>
      <c r="Q355" s="59" t="str">
        <f t="shared" si="119"/>
        <v/>
      </c>
      <c r="R355" s="59" t="str">
        <f t="shared" si="120"/>
        <v>December 2021</v>
      </c>
      <c r="S355" s="61">
        <f t="shared" si="121"/>
        <v>44542</v>
      </c>
      <c r="Z355" s="62">
        <f t="shared" si="122"/>
        <v>44542</v>
      </c>
      <c r="AA355" s="63" t="s">
        <v>253</v>
      </c>
    </row>
    <row r="356" spans="2:27" x14ac:dyDescent="0.2">
      <c r="B356" s="58">
        <f t="shared" si="123"/>
        <v>44543</v>
      </c>
      <c r="C356" s="59" t="str">
        <f t="shared" si="111"/>
        <v>13</v>
      </c>
      <c r="D356" s="59" t="str">
        <f t="shared" si="112"/>
        <v>Monday</v>
      </c>
      <c r="E356" s="59" t="str">
        <f t="shared" si="113"/>
        <v>December</v>
      </c>
      <c r="F356" s="59" t="str">
        <f t="shared" si="114"/>
        <v>2021</v>
      </c>
      <c r="G356" s="59" t="str">
        <f t="shared" si="124"/>
        <v>Week_51</v>
      </c>
      <c r="H356" s="59" t="str">
        <f t="shared" si="125"/>
        <v>December 2021</v>
      </c>
      <c r="I356" s="59" t="str">
        <f t="shared" si="126"/>
        <v>Start WeekWeek_51</v>
      </c>
      <c r="J356" s="60">
        <f t="shared" si="115"/>
        <v>44543</v>
      </c>
      <c r="K356" s="59">
        <f t="shared" si="127"/>
        <v>51</v>
      </c>
      <c r="L356" s="59">
        <f t="shared" si="116"/>
        <v>51</v>
      </c>
      <c r="M356" s="59" t="str">
        <f t="shared" si="117"/>
        <v>Week_</v>
      </c>
      <c r="N356" s="59" t="str">
        <f t="shared" si="118"/>
        <v>Week_51</v>
      </c>
      <c r="O356" s="59">
        <f t="shared" si="128"/>
        <v>1</v>
      </c>
      <c r="P356" s="59" t="str">
        <f t="shared" si="129"/>
        <v>Start Week</v>
      </c>
      <c r="Q356" s="59" t="str">
        <f t="shared" si="119"/>
        <v/>
      </c>
      <c r="R356" s="59" t="str">
        <f t="shared" si="120"/>
        <v>December 2021</v>
      </c>
      <c r="S356" s="61">
        <f t="shared" si="121"/>
        <v>44543</v>
      </c>
      <c r="Z356" s="62">
        <f t="shared" si="122"/>
        <v>44543</v>
      </c>
      <c r="AA356" s="63" t="s">
        <v>253</v>
      </c>
    </row>
    <row r="357" spans="2:27" x14ac:dyDescent="0.2">
      <c r="B357" s="58">
        <f t="shared" si="123"/>
        <v>44544</v>
      </c>
      <c r="C357" s="59" t="str">
        <f t="shared" si="111"/>
        <v>14</v>
      </c>
      <c r="D357" s="59" t="str">
        <f t="shared" si="112"/>
        <v>Tuesday</v>
      </c>
      <c r="E357" s="59" t="str">
        <f t="shared" si="113"/>
        <v>December</v>
      </c>
      <c r="F357" s="59" t="str">
        <f t="shared" si="114"/>
        <v>2021</v>
      </c>
      <c r="G357" s="59" t="str">
        <f t="shared" si="124"/>
        <v>Week_51</v>
      </c>
      <c r="H357" s="59" t="str">
        <f t="shared" si="125"/>
        <v>December 2021</v>
      </c>
      <c r="I357" s="59" t="str">
        <f t="shared" si="126"/>
        <v>Week_51</v>
      </c>
      <c r="J357" s="60">
        <f t="shared" si="115"/>
        <v>44544</v>
      </c>
      <c r="K357" s="59">
        <f t="shared" si="127"/>
        <v>51</v>
      </c>
      <c r="L357" s="59">
        <f t="shared" si="116"/>
        <v>51</v>
      </c>
      <c r="M357" s="59" t="str">
        <f t="shared" si="117"/>
        <v>Week_</v>
      </c>
      <c r="N357" s="59" t="str">
        <f t="shared" si="118"/>
        <v>Week_51</v>
      </c>
      <c r="O357" s="59">
        <f t="shared" si="128"/>
        <v>0</v>
      </c>
      <c r="P357" s="59" t="str">
        <f t="shared" si="129"/>
        <v/>
      </c>
      <c r="Q357" s="59" t="str">
        <f t="shared" si="119"/>
        <v/>
      </c>
      <c r="R357" s="59" t="str">
        <f t="shared" si="120"/>
        <v>December 2021</v>
      </c>
      <c r="S357" s="61">
        <f t="shared" si="121"/>
        <v>44544</v>
      </c>
      <c r="Z357" s="62">
        <f t="shared" si="122"/>
        <v>44544</v>
      </c>
      <c r="AA357" s="63" t="s">
        <v>253</v>
      </c>
    </row>
    <row r="358" spans="2:27" x14ac:dyDescent="0.2">
      <c r="B358" s="58">
        <f t="shared" si="123"/>
        <v>44545</v>
      </c>
      <c r="C358" s="59" t="str">
        <f t="shared" si="111"/>
        <v>15</v>
      </c>
      <c r="D358" s="59" t="str">
        <f t="shared" si="112"/>
        <v>Wednesday</v>
      </c>
      <c r="E358" s="59" t="str">
        <f t="shared" si="113"/>
        <v>December</v>
      </c>
      <c r="F358" s="59" t="str">
        <f t="shared" si="114"/>
        <v>2021</v>
      </c>
      <c r="G358" s="59" t="str">
        <f t="shared" si="124"/>
        <v>Week_51</v>
      </c>
      <c r="H358" s="59" t="str">
        <f t="shared" si="125"/>
        <v>December 2021</v>
      </c>
      <c r="I358" s="59" t="str">
        <f t="shared" si="126"/>
        <v>Week_51</v>
      </c>
      <c r="J358" s="60">
        <f t="shared" si="115"/>
        <v>44545</v>
      </c>
      <c r="K358" s="59">
        <f t="shared" si="127"/>
        <v>51</v>
      </c>
      <c r="L358" s="59">
        <f t="shared" si="116"/>
        <v>51</v>
      </c>
      <c r="M358" s="59" t="str">
        <f t="shared" si="117"/>
        <v>Week_</v>
      </c>
      <c r="N358" s="59" t="str">
        <f t="shared" si="118"/>
        <v>Week_51</v>
      </c>
      <c r="O358" s="59">
        <f t="shared" si="128"/>
        <v>0</v>
      </c>
      <c r="P358" s="59" t="str">
        <f t="shared" si="129"/>
        <v/>
      </c>
      <c r="Q358" s="59" t="str">
        <f t="shared" si="119"/>
        <v/>
      </c>
      <c r="R358" s="59" t="str">
        <f t="shared" si="120"/>
        <v>December 2021</v>
      </c>
      <c r="S358" s="61">
        <f t="shared" si="121"/>
        <v>44545</v>
      </c>
      <c r="Z358" s="62">
        <f t="shared" si="122"/>
        <v>44545</v>
      </c>
      <c r="AA358" s="63" t="s">
        <v>253</v>
      </c>
    </row>
    <row r="359" spans="2:27" x14ac:dyDescent="0.2">
      <c r="B359" s="58">
        <f t="shared" si="123"/>
        <v>44546</v>
      </c>
      <c r="C359" s="59" t="str">
        <f t="shared" si="111"/>
        <v>16</v>
      </c>
      <c r="D359" s="59" t="str">
        <f t="shared" si="112"/>
        <v>Thursday</v>
      </c>
      <c r="E359" s="59" t="str">
        <f t="shared" si="113"/>
        <v>December</v>
      </c>
      <c r="F359" s="59" t="str">
        <f t="shared" si="114"/>
        <v>2021</v>
      </c>
      <c r="G359" s="59" t="str">
        <f t="shared" si="124"/>
        <v>Week_51</v>
      </c>
      <c r="H359" s="59" t="str">
        <f t="shared" si="125"/>
        <v>December 2021</v>
      </c>
      <c r="I359" s="59" t="str">
        <f t="shared" si="126"/>
        <v>Week_51</v>
      </c>
      <c r="J359" s="60">
        <f t="shared" si="115"/>
        <v>44546</v>
      </c>
      <c r="K359" s="59">
        <f t="shared" si="127"/>
        <v>51</v>
      </c>
      <c r="L359" s="59">
        <f t="shared" si="116"/>
        <v>51</v>
      </c>
      <c r="M359" s="59" t="str">
        <f t="shared" si="117"/>
        <v>Week_</v>
      </c>
      <c r="N359" s="59" t="str">
        <f t="shared" si="118"/>
        <v>Week_51</v>
      </c>
      <c r="O359" s="59">
        <f t="shared" si="128"/>
        <v>0</v>
      </c>
      <c r="P359" s="59" t="str">
        <f t="shared" si="129"/>
        <v/>
      </c>
      <c r="Q359" s="59" t="str">
        <f t="shared" si="119"/>
        <v/>
      </c>
      <c r="R359" s="59" t="str">
        <f t="shared" si="120"/>
        <v>December 2021</v>
      </c>
      <c r="S359" s="61">
        <f t="shared" si="121"/>
        <v>44546</v>
      </c>
      <c r="Z359" s="62">
        <f t="shared" si="122"/>
        <v>44546</v>
      </c>
      <c r="AA359" s="63" t="s">
        <v>253</v>
      </c>
    </row>
    <row r="360" spans="2:27" x14ac:dyDescent="0.2">
      <c r="B360" s="58">
        <f t="shared" si="123"/>
        <v>44547</v>
      </c>
      <c r="C360" s="59" t="str">
        <f t="shared" si="111"/>
        <v>17</v>
      </c>
      <c r="D360" s="59" t="str">
        <f t="shared" si="112"/>
        <v>Friday</v>
      </c>
      <c r="E360" s="59" t="str">
        <f t="shared" si="113"/>
        <v>December</v>
      </c>
      <c r="F360" s="59" t="str">
        <f t="shared" si="114"/>
        <v>2021</v>
      </c>
      <c r="G360" s="59" t="str">
        <f t="shared" si="124"/>
        <v>Week_51</v>
      </c>
      <c r="H360" s="59" t="str">
        <f t="shared" si="125"/>
        <v>December 2021</v>
      </c>
      <c r="I360" s="59" t="str">
        <f t="shared" si="126"/>
        <v>Week_51</v>
      </c>
      <c r="J360" s="60">
        <f t="shared" si="115"/>
        <v>44547</v>
      </c>
      <c r="K360" s="59">
        <f t="shared" si="127"/>
        <v>51</v>
      </c>
      <c r="L360" s="59">
        <f t="shared" si="116"/>
        <v>51</v>
      </c>
      <c r="M360" s="59" t="str">
        <f t="shared" si="117"/>
        <v>Week_</v>
      </c>
      <c r="N360" s="59" t="str">
        <f t="shared" si="118"/>
        <v>Week_51</v>
      </c>
      <c r="O360" s="59">
        <f t="shared" si="128"/>
        <v>0</v>
      </c>
      <c r="P360" s="59" t="str">
        <f t="shared" si="129"/>
        <v/>
      </c>
      <c r="Q360" s="59" t="str">
        <f t="shared" si="119"/>
        <v/>
      </c>
      <c r="R360" s="59" t="str">
        <f t="shared" si="120"/>
        <v>December 2021</v>
      </c>
      <c r="S360" s="61">
        <f t="shared" si="121"/>
        <v>44547</v>
      </c>
      <c r="Z360" s="62">
        <f t="shared" si="122"/>
        <v>44547</v>
      </c>
      <c r="AA360" s="63" t="s">
        <v>253</v>
      </c>
    </row>
    <row r="361" spans="2:27" x14ac:dyDescent="0.2">
      <c r="B361" s="58">
        <f t="shared" si="123"/>
        <v>44548</v>
      </c>
      <c r="C361" s="59" t="str">
        <f t="shared" si="111"/>
        <v>18</v>
      </c>
      <c r="D361" s="59" t="str">
        <f t="shared" si="112"/>
        <v>Saturday</v>
      </c>
      <c r="E361" s="59" t="str">
        <f t="shared" si="113"/>
        <v>December</v>
      </c>
      <c r="F361" s="59" t="str">
        <f t="shared" si="114"/>
        <v>2021</v>
      </c>
      <c r="G361" s="59" t="str">
        <f t="shared" si="124"/>
        <v>Week_51</v>
      </c>
      <c r="H361" s="59" t="str">
        <f t="shared" si="125"/>
        <v>December 2021</v>
      </c>
      <c r="I361" s="59" t="str">
        <f t="shared" si="126"/>
        <v>Week_51</v>
      </c>
      <c r="J361" s="60">
        <f t="shared" si="115"/>
        <v>44548</v>
      </c>
      <c r="K361" s="59">
        <f t="shared" si="127"/>
        <v>51</v>
      </c>
      <c r="L361" s="59">
        <f t="shared" si="116"/>
        <v>51</v>
      </c>
      <c r="M361" s="59" t="str">
        <f t="shared" si="117"/>
        <v>Week_</v>
      </c>
      <c r="N361" s="59" t="str">
        <f t="shared" si="118"/>
        <v>Week_51</v>
      </c>
      <c r="O361" s="59">
        <f t="shared" si="128"/>
        <v>0</v>
      </c>
      <c r="P361" s="59" t="str">
        <f t="shared" si="129"/>
        <v/>
      </c>
      <c r="Q361" s="59" t="str">
        <f t="shared" si="119"/>
        <v/>
      </c>
      <c r="R361" s="59" t="str">
        <f t="shared" si="120"/>
        <v>December 2021</v>
      </c>
      <c r="S361" s="61">
        <f t="shared" si="121"/>
        <v>44548</v>
      </c>
      <c r="Z361" s="62">
        <f t="shared" si="122"/>
        <v>44548</v>
      </c>
      <c r="AA361" s="63" t="s">
        <v>253</v>
      </c>
    </row>
    <row r="362" spans="2:27" x14ac:dyDescent="0.2">
      <c r="B362" s="58">
        <f t="shared" si="123"/>
        <v>44549</v>
      </c>
      <c r="C362" s="59" t="str">
        <f t="shared" si="111"/>
        <v>19</v>
      </c>
      <c r="D362" s="59" t="str">
        <f t="shared" si="112"/>
        <v>Sunday</v>
      </c>
      <c r="E362" s="59" t="str">
        <f t="shared" si="113"/>
        <v>December</v>
      </c>
      <c r="F362" s="59" t="str">
        <f t="shared" si="114"/>
        <v>2021</v>
      </c>
      <c r="G362" s="59" t="str">
        <f t="shared" si="124"/>
        <v>Week_51</v>
      </c>
      <c r="H362" s="59" t="str">
        <f t="shared" si="125"/>
        <v>December 2021</v>
      </c>
      <c r="I362" s="59" t="str">
        <f t="shared" si="126"/>
        <v>Week_51</v>
      </c>
      <c r="J362" s="60">
        <f t="shared" si="115"/>
        <v>44549</v>
      </c>
      <c r="K362" s="59">
        <f t="shared" si="127"/>
        <v>51</v>
      </c>
      <c r="L362" s="59">
        <f t="shared" si="116"/>
        <v>51</v>
      </c>
      <c r="M362" s="59" t="str">
        <f t="shared" si="117"/>
        <v>Week_</v>
      </c>
      <c r="N362" s="59" t="str">
        <f t="shared" si="118"/>
        <v>Week_51</v>
      </c>
      <c r="O362" s="59">
        <f t="shared" si="128"/>
        <v>0</v>
      </c>
      <c r="P362" s="59" t="str">
        <f t="shared" si="129"/>
        <v/>
      </c>
      <c r="Q362" s="59" t="str">
        <f t="shared" si="119"/>
        <v/>
      </c>
      <c r="R362" s="59" t="str">
        <f t="shared" si="120"/>
        <v>December 2021</v>
      </c>
      <c r="S362" s="61">
        <f t="shared" si="121"/>
        <v>44549</v>
      </c>
      <c r="Z362" s="62">
        <f t="shared" si="122"/>
        <v>44549</v>
      </c>
      <c r="AA362" s="63" t="s">
        <v>253</v>
      </c>
    </row>
    <row r="363" spans="2:27" x14ac:dyDescent="0.2">
      <c r="B363" s="58">
        <f t="shared" si="123"/>
        <v>44550</v>
      </c>
      <c r="C363" s="59" t="str">
        <f t="shared" si="111"/>
        <v>20</v>
      </c>
      <c r="D363" s="59" t="str">
        <f t="shared" si="112"/>
        <v>Monday</v>
      </c>
      <c r="E363" s="59" t="str">
        <f t="shared" si="113"/>
        <v>December</v>
      </c>
      <c r="F363" s="59" t="str">
        <f t="shared" si="114"/>
        <v>2021</v>
      </c>
      <c r="G363" s="59" t="str">
        <f t="shared" si="124"/>
        <v>Week_52</v>
      </c>
      <c r="H363" s="59" t="str">
        <f t="shared" si="125"/>
        <v>December 2021</v>
      </c>
      <c r="I363" s="59" t="str">
        <f t="shared" si="126"/>
        <v>Start WeekWeek_52</v>
      </c>
      <c r="J363" s="60">
        <f t="shared" si="115"/>
        <v>44550</v>
      </c>
      <c r="K363" s="59">
        <f t="shared" si="127"/>
        <v>52</v>
      </c>
      <c r="L363" s="59">
        <f t="shared" si="116"/>
        <v>52</v>
      </c>
      <c r="M363" s="59" t="str">
        <f t="shared" si="117"/>
        <v>Week_</v>
      </c>
      <c r="N363" s="59" t="str">
        <f t="shared" si="118"/>
        <v>Week_52</v>
      </c>
      <c r="O363" s="59">
        <f t="shared" si="128"/>
        <v>1</v>
      </c>
      <c r="P363" s="59" t="str">
        <f t="shared" si="129"/>
        <v>Start Week</v>
      </c>
      <c r="Q363" s="59" t="str">
        <f t="shared" si="119"/>
        <v/>
      </c>
      <c r="R363" s="59" t="str">
        <f t="shared" si="120"/>
        <v>December 2021</v>
      </c>
      <c r="S363" s="61">
        <f t="shared" si="121"/>
        <v>44550</v>
      </c>
      <c r="Z363" s="62">
        <f t="shared" si="122"/>
        <v>44550</v>
      </c>
      <c r="AA363" s="63" t="s">
        <v>253</v>
      </c>
    </row>
    <row r="364" spans="2:27" x14ac:dyDescent="0.2">
      <c r="B364" s="58">
        <f t="shared" si="123"/>
        <v>44551</v>
      </c>
      <c r="C364" s="59" t="str">
        <f t="shared" si="111"/>
        <v>21</v>
      </c>
      <c r="D364" s="59" t="str">
        <f t="shared" si="112"/>
        <v>Tuesday</v>
      </c>
      <c r="E364" s="59" t="str">
        <f t="shared" si="113"/>
        <v>December</v>
      </c>
      <c r="F364" s="59" t="str">
        <f t="shared" si="114"/>
        <v>2021</v>
      </c>
      <c r="G364" s="59" t="str">
        <f t="shared" si="124"/>
        <v>Week_52</v>
      </c>
      <c r="H364" s="59" t="str">
        <f t="shared" si="125"/>
        <v>December 2021</v>
      </c>
      <c r="I364" s="59" t="str">
        <f t="shared" si="126"/>
        <v>Week_52</v>
      </c>
      <c r="J364" s="60">
        <f t="shared" si="115"/>
        <v>44551</v>
      </c>
      <c r="K364" s="59">
        <f t="shared" si="127"/>
        <v>52</v>
      </c>
      <c r="L364" s="59">
        <f t="shared" si="116"/>
        <v>52</v>
      </c>
      <c r="M364" s="59" t="str">
        <f t="shared" si="117"/>
        <v>Week_</v>
      </c>
      <c r="N364" s="59" t="str">
        <f t="shared" si="118"/>
        <v>Week_52</v>
      </c>
      <c r="O364" s="59">
        <f t="shared" si="128"/>
        <v>0</v>
      </c>
      <c r="P364" s="59" t="str">
        <f t="shared" si="129"/>
        <v/>
      </c>
      <c r="Q364" s="59" t="str">
        <f t="shared" si="119"/>
        <v/>
      </c>
      <c r="R364" s="59" t="str">
        <f t="shared" si="120"/>
        <v>December 2021</v>
      </c>
      <c r="S364" s="61">
        <f t="shared" si="121"/>
        <v>44551</v>
      </c>
      <c r="Z364" s="62">
        <f t="shared" si="122"/>
        <v>44551</v>
      </c>
      <c r="AA364" s="63" t="s">
        <v>253</v>
      </c>
    </row>
    <row r="365" spans="2:27" x14ac:dyDescent="0.2">
      <c r="B365" s="58">
        <f t="shared" si="123"/>
        <v>44552</v>
      </c>
      <c r="C365" s="59" t="str">
        <f t="shared" si="111"/>
        <v>22</v>
      </c>
      <c r="D365" s="59" t="str">
        <f t="shared" si="112"/>
        <v>Wednesday</v>
      </c>
      <c r="E365" s="59" t="str">
        <f t="shared" si="113"/>
        <v>December</v>
      </c>
      <c r="F365" s="59" t="str">
        <f t="shared" si="114"/>
        <v>2021</v>
      </c>
      <c r="G365" s="59" t="str">
        <f t="shared" si="124"/>
        <v>Week_52</v>
      </c>
      <c r="H365" s="59" t="str">
        <f t="shared" si="125"/>
        <v>December 2021</v>
      </c>
      <c r="I365" s="59" t="str">
        <f t="shared" si="126"/>
        <v>Week_52</v>
      </c>
      <c r="J365" s="60">
        <f t="shared" si="115"/>
        <v>44552</v>
      </c>
      <c r="K365" s="59">
        <f t="shared" si="127"/>
        <v>52</v>
      </c>
      <c r="L365" s="59">
        <f t="shared" si="116"/>
        <v>52</v>
      </c>
      <c r="M365" s="59" t="str">
        <f t="shared" si="117"/>
        <v>Week_</v>
      </c>
      <c r="N365" s="59" t="str">
        <f t="shared" si="118"/>
        <v>Week_52</v>
      </c>
      <c r="O365" s="59">
        <f t="shared" si="128"/>
        <v>0</v>
      </c>
      <c r="P365" s="59" t="str">
        <f t="shared" si="129"/>
        <v/>
      </c>
      <c r="Q365" s="59" t="str">
        <f t="shared" si="119"/>
        <v/>
      </c>
      <c r="R365" s="59" t="str">
        <f t="shared" si="120"/>
        <v>December 2021</v>
      </c>
      <c r="S365" s="61">
        <f t="shared" si="121"/>
        <v>44552</v>
      </c>
      <c r="Z365" s="62">
        <f t="shared" si="122"/>
        <v>44552</v>
      </c>
      <c r="AA365" s="63" t="s">
        <v>253</v>
      </c>
    </row>
    <row r="366" spans="2:27" x14ac:dyDescent="0.2">
      <c r="B366" s="58">
        <f t="shared" si="123"/>
        <v>44553</v>
      </c>
      <c r="C366" s="59" t="str">
        <f t="shared" si="111"/>
        <v>23</v>
      </c>
      <c r="D366" s="59" t="str">
        <f t="shared" si="112"/>
        <v>Thursday</v>
      </c>
      <c r="E366" s="59" t="str">
        <f t="shared" si="113"/>
        <v>December</v>
      </c>
      <c r="F366" s="59" t="str">
        <f t="shared" si="114"/>
        <v>2021</v>
      </c>
      <c r="G366" s="59" t="str">
        <f t="shared" si="124"/>
        <v>Week_52</v>
      </c>
      <c r="H366" s="59" t="str">
        <f t="shared" si="125"/>
        <v>December 2021</v>
      </c>
      <c r="I366" s="59" t="str">
        <f t="shared" si="126"/>
        <v>Week_52</v>
      </c>
      <c r="J366" s="60">
        <f t="shared" si="115"/>
        <v>44553</v>
      </c>
      <c r="K366" s="59">
        <f t="shared" si="127"/>
        <v>52</v>
      </c>
      <c r="L366" s="59">
        <f t="shared" si="116"/>
        <v>52</v>
      </c>
      <c r="M366" s="59" t="str">
        <f t="shared" si="117"/>
        <v>Week_</v>
      </c>
      <c r="N366" s="59" t="str">
        <f t="shared" si="118"/>
        <v>Week_52</v>
      </c>
      <c r="O366" s="59">
        <f t="shared" si="128"/>
        <v>0</v>
      </c>
      <c r="P366" s="59" t="str">
        <f t="shared" si="129"/>
        <v/>
      </c>
      <c r="Q366" s="59" t="str">
        <f t="shared" si="119"/>
        <v/>
      </c>
      <c r="R366" s="59" t="str">
        <f t="shared" si="120"/>
        <v>December 2021</v>
      </c>
      <c r="S366" s="61">
        <f t="shared" si="121"/>
        <v>44553</v>
      </c>
      <c r="Z366" s="62">
        <f t="shared" si="122"/>
        <v>44553</v>
      </c>
      <c r="AA366" s="63" t="s">
        <v>253</v>
      </c>
    </row>
    <row r="367" spans="2:27" x14ac:dyDescent="0.2">
      <c r="B367" s="58">
        <f t="shared" si="123"/>
        <v>44554</v>
      </c>
      <c r="C367" s="59" t="str">
        <f t="shared" si="111"/>
        <v>24</v>
      </c>
      <c r="D367" s="59" t="str">
        <f t="shared" si="112"/>
        <v>Friday</v>
      </c>
      <c r="E367" s="59" t="str">
        <f t="shared" si="113"/>
        <v>December</v>
      </c>
      <c r="F367" s="59" t="str">
        <f t="shared" si="114"/>
        <v>2021</v>
      </c>
      <c r="G367" s="59" t="str">
        <f t="shared" si="124"/>
        <v>Week_52</v>
      </c>
      <c r="H367" s="59" t="str">
        <f t="shared" si="125"/>
        <v>December 2021</v>
      </c>
      <c r="I367" s="59" t="str">
        <f t="shared" si="126"/>
        <v>Week_52</v>
      </c>
      <c r="J367" s="60">
        <f t="shared" si="115"/>
        <v>44554</v>
      </c>
      <c r="K367" s="59">
        <f t="shared" si="127"/>
        <v>52</v>
      </c>
      <c r="L367" s="59">
        <f t="shared" si="116"/>
        <v>52</v>
      </c>
      <c r="M367" s="59" t="str">
        <f t="shared" si="117"/>
        <v>Week_</v>
      </c>
      <c r="N367" s="59" t="str">
        <f t="shared" si="118"/>
        <v>Week_52</v>
      </c>
      <c r="O367" s="59">
        <f t="shared" si="128"/>
        <v>0</v>
      </c>
      <c r="P367" s="59" t="str">
        <f t="shared" si="129"/>
        <v/>
      </c>
      <c r="Q367" s="59" t="str">
        <f t="shared" si="119"/>
        <v/>
      </c>
      <c r="R367" s="59" t="str">
        <f t="shared" si="120"/>
        <v>December 2021</v>
      </c>
      <c r="S367" s="61">
        <f t="shared" si="121"/>
        <v>44554</v>
      </c>
      <c r="Z367" s="62">
        <f t="shared" si="122"/>
        <v>44554</v>
      </c>
      <c r="AA367" s="63" t="s">
        <v>253</v>
      </c>
    </row>
    <row r="368" spans="2:27" x14ac:dyDescent="0.2">
      <c r="B368" s="58">
        <f t="shared" si="123"/>
        <v>44555</v>
      </c>
      <c r="C368" s="59" t="str">
        <f t="shared" si="111"/>
        <v>25</v>
      </c>
      <c r="D368" s="59" t="str">
        <f t="shared" si="112"/>
        <v>Saturday</v>
      </c>
      <c r="E368" s="59" t="str">
        <f t="shared" si="113"/>
        <v>December</v>
      </c>
      <c r="F368" s="59" t="str">
        <f t="shared" si="114"/>
        <v>2021</v>
      </c>
      <c r="G368" s="59" t="str">
        <f t="shared" si="124"/>
        <v>Week_52</v>
      </c>
      <c r="H368" s="59" t="str">
        <f t="shared" si="125"/>
        <v>December 2021</v>
      </c>
      <c r="I368" s="59" t="str">
        <f t="shared" si="126"/>
        <v>Week_52</v>
      </c>
      <c r="J368" s="60">
        <f t="shared" si="115"/>
        <v>44555</v>
      </c>
      <c r="K368" s="59">
        <f t="shared" si="127"/>
        <v>52</v>
      </c>
      <c r="L368" s="59">
        <f t="shared" si="116"/>
        <v>52</v>
      </c>
      <c r="M368" s="59" t="str">
        <f t="shared" si="117"/>
        <v>Week_</v>
      </c>
      <c r="N368" s="59" t="str">
        <f t="shared" si="118"/>
        <v>Week_52</v>
      </c>
      <c r="O368" s="59">
        <f t="shared" si="128"/>
        <v>0</v>
      </c>
      <c r="P368" s="59" t="str">
        <f t="shared" si="129"/>
        <v/>
      </c>
      <c r="Q368" s="59" t="str">
        <f t="shared" si="119"/>
        <v/>
      </c>
      <c r="R368" s="59" t="str">
        <f t="shared" si="120"/>
        <v>December 2021</v>
      </c>
      <c r="S368" s="61">
        <f t="shared" si="121"/>
        <v>44555</v>
      </c>
      <c r="Z368" s="62">
        <f t="shared" si="122"/>
        <v>44555</v>
      </c>
      <c r="AA368" s="63" t="s">
        <v>253</v>
      </c>
    </row>
    <row r="369" spans="2:27" x14ac:dyDescent="0.2">
      <c r="B369" s="58">
        <f t="shared" si="123"/>
        <v>44556</v>
      </c>
      <c r="C369" s="59" t="str">
        <f t="shared" si="111"/>
        <v>26</v>
      </c>
      <c r="D369" s="59" t="str">
        <f t="shared" si="112"/>
        <v>Sunday</v>
      </c>
      <c r="E369" s="59" t="str">
        <f t="shared" si="113"/>
        <v>December</v>
      </c>
      <c r="F369" s="59" t="str">
        <f t="shared" si="114"/>
        <v>2021</v>
      </c>
      <c r="G369" s="59" t="str">
        <f t="shared" si="124"/>
        <v>Week_52</v>
      </c>
      <c r="H369" s="59" t="str">
        <f t="shared" si="125"/>
        <v>December 2021</v>
      </c>
      <c r="I369" s="59" t="str">
        <f t="shared" si="126"/>
        <v>Week_52</v>
      </c>
      <c r="J369" s="60">
        <f t="shared" si="115"/>
        <v>44556</v>
      </c>
      <c r="K369" s="59">
        <f t="shared" si="127"/>
        <v>52</v>
      </c>
      <c r="L369" s="59">
        <f t="shared" si="116"/>
        <v>52</v>
      </c>
      <c r="M369" s="59" t="str">
        <f t="shared" si="117"/>
        <v>Week_</v>
      </c>
      <c r="N369" s="59" t="str">
        <f t="shared" si="118"/>
        <v>Week_52</v>
      </c>
      <c r="O369" s="59">
        <f t="shared" si="128"/>
        <v>0</v>
      </c>
      <c r="P369" s="59" t="str">
        <f t="shared" si="129"/>
        <v/>
      </c>
      <c r="Q369" s="59" t="str">
        <f t="shared" si="119"/>
        <v/>
      </c>
      <c r="R369" s="59" t="str">
        <f t="shared" si="120"/>
        <v>December 2021</v>
      </c>
      <c r="S369" s="61">
        <f t="shared" si="121"/>
        <v>44556</v>
      </c>
      <c r="Z369" s="62">
        <f t="shared" si="122"/>
        <v>44556</v>
      </c>
      <c r="AA369" s="63" t="s">
        <v>253</v>
      </c>
    </row>
    <row r="370" spans="2:27" x14ac:dyDescent="0.2">
      <c r="B370" s="58">
        <f t="shared" si="123"/>
        <v>44557</v>
      </c>
      <c r="C370" s="59" t="str">
        <f t="shared" si="111"/>
        <v>27</v>
      </c>
      <c r="D370" s="59" t="str">
        <f t="shared" si="112"/>
        <v>Monday</v>
      </c>
      <c r="E370" s="59" t="str">
        <f t="shared" si="113"/>
        <v>December</v>
      </c>
      <c r="F370" s="59" t="str">
        <f t="shared" si="114"/>
        <v>2021</v>
      </c>
      <c r="G370" s="59" t="str">
        <f t="shared" si="124"/>
        <v>Week_53</v>
      </c>
      <c r="H370" s="59" t="str">
        <f t="shared" si="125"/>
        <v>December 2021</v>
      </c>
      <c r="I370" s="59" t="str">
        <f t="shared" si="126"/>
        <v>Start WeekWeek_53</v>
      </c>
      <c r="J370" s="60">
        <f t="shared" si="115"/>
        <v>44557</v>
      </c>
      <c r="K370" s="59">
        <f t="shared" si="127"/>
        <v>53</v>
      </c>
      <c r="L370" s="59">
        <f t="shared" si="116"/>
        <v>53</v>
      </c>
      <c r="M370" s="59" t="str">
        <f t="shared" si="117"/>
        <v>Week_</v>
      </c>
      <c r="N370" s="59" t="str">
        <f t="shared" si="118"/>
        <v>Week_53</v>
      </c>
      <c r="O370" s="59">
        <f t="shared" si="128"/>
        <v>1</v>
      </c>
      <c r="P370" s="59" t="str">
        <f t="shared" si="129"/>
        <v>Start Week</v>
      </c>
      <c r="Q370" s="59" t="str">
        <f t="shared" si="119"/>
        <v/>
      </c>
      <c r="R370" s="59" t="str">
        <f t="shared" si="120"/>
        <v>December 2021</v>
      </c>
      <c r="S370" s="61">
        <f t="shared" si="121"/>
        <v>44557</v>
      </c>
      <c r="Z370" s="62">
        <f t="shared" si="122"/>
        <v>44557</v>
      </c>
      <c r="AA370" s="63" t="s">
        <v>253</v>
      </c>
    </row>
    <row r="371" spans="2:27" x14ac:dyDescent="0.2">
      <c r="B371" s="58">
        <f t="shared" si="123"/>
        <v>44558</v>
      </c>
      <c r="C371" s="59" t="str">
        <f t="shared" si="111"/>
        <v>28</v>
      </c>
      <c r="D371" s="59" t="str">
        <f t="shared" si="112"/>
        <v>Tuesday</v>
      </c>
      <c r="E371" s="59" t="str">
        <f t="shared" si="113"/>
        <v>December</v>
      </c>
      <c r="F371" s="59" t="str">
        <f t="shared" si="114"/>
        <v>2021</v>
      </c>
      <c r="G371" s="59" t="str">
        <f t="shared" si="124"/>
        <v>Week_53</v>
      </c>
      <c r="H371" s="59" t="str">
        <f t="shared" si="125"/>
        <v>December 2021</v>
      </c>
      <c r="I371" s="59" t="str">
        <f t="shared" si="126"/>
        <v>Week_53</v>
      </c>
      <c r="J371" s="60">
        <f t="shared" si="115"/>
        <v>44558</v>
      </c>
      <c r="K371" s="59">
        <f t="shared" si="127"/>
        <v>53</v>
      </c>
      <c r="L371" s="59">
        <f t="shared" si="116"/>
        <v>53</v>
      </c>
      <c r="M371" s="59" t="str">
        <f t="shared" si="117"/>
        <v>Week_</v>
      </c>
      <c r="N371" s="59" t="str">
        <f t="shared" si="118"/>
        <v>Week_53</v>
      </c>
      <c r="O371" s="59">
        <f t="shared" si="128"/>
        <v>0</v>
      </c>
      <c r="P371" s="59" t="str">
        <f t="shared" si="129"/>
        <v/>
      </c>
      <c r="Q371" s="59" t="str">
        <f t="shared" si="119"/>
        <v/>
      </c>
      <c r="R371" s="59" t="str">
        <f t="shared" si="120"/>
        <v>December 2021</v>
      </c>
      <c r="S371" s="61">
        <f t="shared" si="121"/>
        <v>44558</v>
      </c>
      <c r="Z371" s="62">
        <f t="shared" si="122"/>
        <v>44558</v>
      </c>
      <c r="AA371" s="63" t="s">
        <v>253</v>
      </c>
    </row>
    <row r="372" spans="2:27" x14ac:dyDescent="0.2">
      <c r="B372" s="58">
        <f t="shared" si="123"/>
        <v>44559</v>
      </c>
      <c r="C372" s="59" t="str">
        <f t="shared" si="111"/>
        <v>29</v>
      </c>
      <c r="D372" s="59" t="str">
        <f t="shared" si="112"/>
        <v>Wednesday</v>
      </c>
      <c r="E372" s="59" t="str">
        <f t="shared" si="113"/>
        <v>December</v>
      </c>
      <c r="F372" s="59" t="str">
        <f t="shared" si="114"/>
        <v>2021</v>
      </c>
      <c r="G372" s="59" t="str">
        <f t="shared" si="124"/>
        <v>Week_53</v>
      </c>
      <c r="H372" s="59" t="str">
        <f t="shared" si="125"/>
        <v>December 2021</v>
      </c>
      <c r="I372" s="59" t="str">
        <f t="shared" si="126"/>
        <v>Week_53</v>
      </c>
      <c r="J372" s="60">
        <f t="shared" si="115"/>
        <v>44559</v>
      </c>
      <c r="K372" s="59">
        <f t="shared" si="127"/>
        <v>53</v>
      </c>
      <c r="L372" s="59">
        <f t="shared" si="116"/>
        <v>53</v>
      </c>
      <c r="M372" s="59" t="str">
        <f t="shared" si="117"/>
        <v>Week_</v>
      </c>
      <c r="N372" s="59" t="str">
        <f t="shared" si="118"/>
        <v>Week_53</v>
      </c>
      <c r="O372" s="59">
        <f t="shared" si="128"/>
        <v>0</v>
      </c>
      <c r="P372" s="59" t="str">
        <f t="shared" si="129"/>
        <v/>
      </c>
      <c r="Q372" s="59" t="str">
        <f t="shared" si="119"/>
        <v/>
      </c>
      <c r="R372" s="59" t="str">
        <f t="shared" si="120"/>
        <v>December 2021</v>
      </c>
      <c r="S372" s="61">
        <f t="shared" si="121"/>
        <v>44559</v>
      </c>
      <c r="Z372" s="62">
        <f t="shared" si="122"/>
        <v>44559</v>
      </c>
      <c r="AA372" s="63" t="s">
        <v>253</v>
      </c>
    </row>
    <row r="373" spans="2:27" x14ac:dyDescent="0.2">
      <c r="B373" s="58">
        <f t="shared" si="123"/>
        <v>44560</v>
      </c>
      <c r="C373" s="59" t="str">
        <f t="shared" si="111"/>
        <v>30</v>
      </c>
      <c r="D373" s="59" t="str">
        <f t="shared" si="112"/>
        <v>Thursday</v>
      </c>
      <c r="E373" s="59" t="str">
        <f t="shared" si="113"/>
        <v>December</v>
      </c>
      <c r="F373" s="59" t="str">
        <f t="shared" si="114"/>
        <v>2021</v>
      </c>
      <c r="G373" s="59" t="str">
        <f t="shared" si="124"/>
        <v>Week_53</v>
      </c>
      <c r="H373" s="59" t="str">
        <f t="shared" si="125"/>
        <v>December 2021</v>
      </c>
      <c r="I373" s="59" t="str">
        <f t="shared" si="126"/>
        <v>Week_53</v>
      </c>
      <c r="J373" s="60">
        <f t="shared" si="115"/>
        <v>44560</v>
      </c>
      <c r="K373" s="59">
        <f t="shared" si="127"/>
        <v>53</v>
      </c>
      <c r="L373" s="59">
        <f t="shared" si="116"/>
        <v>53</v>
      </c>
      <c r="M373" s="59" t="str">
        <f t="shared" si="117"/>
        <v>Week_</v>
      </c>
      <c r="N373" s="59" t="str">
        <f t="shared" si="118"/>
        <v>Week_53</v>
      </c>
      <c r="O373" s="59">
        <f t="shared" si="128"/>
        <v>0</v>
      </c>
      <c r="P373" s="59" t="str">
        <f t="shared" si="129"/>
        <v/>
      </c>
      <c r="Q373" s="59" t="str">
        <f t="shared" si="119"/>
        <v/>
      </c>
      <c r="R373" s="59" t="str">
        <f t="shared" si="120"/>
        <v>December 2021</v>
      </c>
      <c r="S373" s="61">
        <f t="shared" si="121"/>
        <v>44560</v>
      </c>
      <c r="Z373" s="62">
        <f t="shared" si="122"/>
        <v>44560</v>
      </c>
      <c r="AA373" s="63" t="s">
        <v>253</v>
      </c>
    </row>
    <row r="374" spans="2:27" x14ac:dyDescent="0.2">
      <c r="B374" s="58">
        <f t="shared" si="123"/>
        <v>44561</v>
      </c>
      <c r="C374" s="59" t="str">
        <f t="shared" si="111"/>
        <v>31</v>
      </c>
      <c r="D374" s="59" t="str">
        <f t="shared" si="112"/>
        <v>Friday</v>
      </c>
      <c r="E374" s="59" t="str">
        <f t="shared" si="113"/>
        <v>December</v>
      </c>
      <c r="F374" s="59" t="str">
        <f t="shared" si="114"/>
        <v>2021</v>
      </c>
      <c r="G374" s="59" t="str">
        <f t="shared" si="124"/>
        <v>Week_53</v>
      </c>
      <c r="H374" s="59" t="str">
        <f t="shared" si="125"/>
        <v>December 2021</v>
      </c>
      <c r="I374" s="59" t="str">
        <f t="shared" si="126"/>
        <v>Week_53</v>
      </c>
      <c r="J374" s="60">
        <f t="shared" si="115"/>
        <v>44561</v>
      </c>
      <c r="K374" s="59">
        <f t="shared" si="127"/>
        <v>53</v>
      </c>
      <c r="L374" s="59">
        <f t="shared" si="116"/>
        <v>53</v>
      </c>
      <c r="M374" s="59" t="str">
        <f t="shared" si="117"/>
        <v>Week_</v>
      </c>
      <c r="N374" s="59" t="str">
        <f t="shared" si="118"/>
        <v>Week_53</v>
      </c>
      <c r="O374" s="59">
        <f t="shared" si="128"/>
        <v>0</v>
      </c>
      <c r="P374" s="59" t="str">
        <f t="shared" si="129"/>
        <v/>
      </c>
      <c r="Q374" s="59" t="str">
        <f t="shared" si="119"/>
        <v/>
      </c>
      <c r="R374" s="59" t="str">
        <f t="shared" si="120"/>
        <v>December 2021</v>
      </c>
      <c r="S374" s="61">
        <f t="shared" si="121"/>
        <v>44561</v>
      </c>
      <c r="Z374" s="62">
        <f t="shared" si="122"/>
        <v>44561</v>
      </c>
      <c r="AA374" s="63" t="s">
        <v>253</v>
      </c>
    </row>
    <row r="375" spans="2:27" x14ac:dyDescent="0.2">
      <c r="B375" s="72">
        <f t="shared" si="123"/>
        <v>44562</v>
      </c>
      <c r="C375" s="73" t="str">
        <f t="shared" si="111"/>
        <v>01</v>
      </c>
      <c r="D375" s="73" t="str">
        <f t="shared" si="112"/>
        <v>Saturday</v>
      </c>
      <c r="E375" s="73" t="str">
        <f t="shared" si="113"/>
        <v>January</v>
      </c>
      <c r="F375" s="73" t="str">
        <f t="shared" si="114"/>
        <v>2022</v>
      </c>
      <c r="G375" s="73" t="str">
        <f t="shared" si="124"/>
        <v>Week_53</v>
      </c>
      <c r="H375" s="73" t="str">
        <f t="shared" si="125"/>
        <v>January 2022</v>
      </c>
      <c r="I375" s="73" t="str">
        <f t="shared" si="126"/>
        <v>Week_53</v>
      </c>
      <c r="J375" s="74">
        <f t="shared" si="115"/>
        <v>44562</v>
      </c>
      <c r="K375" s="73">
        <f t="shared" si="127"/>
        <v>53</v>
      </c>
      <c r="L375" s="73">
        <f t="shared" si="116"/>
        <v>53</v>
      </c>
      <c r="M375" s="73" t="str">
        <f t="shared" si="117"/>
        <v>Week_</v>
      </c>
      <c r="N375" s="73" t="str">
        <f t="shared" si="118"/>
        <v>Week_53</v>
      </c>
      <c r="O375" s="73">
        <f t="shared" si="128"/>
        <v>0</v>
      </c>
      <c r="P375" s="73" t="str">
        <f t="shared" si="129"/>
        <v/>
      </c>
      <c r="Q375" s="73" t="str">
        <f t="shared" si="119"/>
        <v>Start Month</v>
      </c>
      <c r="R375" s="73" t="str">
        <f t="shared" si="120"/>
        <v>Start MonthJanuary 2022</v>
      </c>
      <c r="S375" s="75">
        <f t="shared" si="121"/>
        <v>44562</v>
      </c>
      <c r="Z375" s="15" t="str">
        <f t="shared" ref="Z375:Z427" si="130">+U10</f>
        <v>Week_01</v>
      </c>
      <c r="AA375" s="17" t="s">
        <v>1</v>
      </c>
    </row>
    <row r="376" spans="2:27" x14ac:dyDescent="0.2">
      <c r="B376" s="21"/>
      <c r="Z376" s="15" t="str">
        <f t="shared" si="130"/>
        <v>Week_02</v>
      </c>
      <c r="AA376" s="17" t="s">
        <v>1</v>
      </c>
    </row>
    <row r="377" spans="2:27" x14ac:dyDescent="0.2">
      <c r="B377" s="21"/>
      <c r="Z377" s="15" t="str">
        <f t="shared" si="130"/>
        <v>Week_03</v>
      </c>
      <c r="AA377" s="17" t="s">
        <v>1</v>
      </c>
    </row>
    <row r="378" spans="2:27" x14ac:dyDescent="0.2">
      <c r="B378" s="21"/>
      <c r="Z378" s="15" t="str">
        <f t="shared" si="130"/>
        <v>Week_04</v>
      </c>
      <c r="AA378" s="17" t="s">
        <v>1</v>
      </c>
    </row>
    <row r="379" spans="2:27" x14ac:dyDescent="0.2">
      <c r="B379" s="21"/>
      <c r="Z379" s="15" t="str">
        <f t="shared" si="130"/>
        <v>Week_05</v>
      </c>
      <c r="AA379" s="17" t="s">
        <v>1</v>
      </c>
    </row>
    <row r="380" spans="2:27" x14ac:dyDescent="0.2">
      <c r="B380" s="21"/>
      <c r="Z380" s="15" t="str">
        <f t="shared" si="130"/>
        <v>Week_06</v>
      </c>
      <c r="AA380" s="17" t="s">
        <v>1</v>
      </c>
    </row>
    <row r="381" spans="2:27" x14ac:dyDescent="0.2">
      <c r="B381" s="21"/>
      <c r="Z381" s="15" t="str">
        <f t="shared" si="130"/>
        <v>Week_07</v>
      </c>
      <c r="AA381" s="17" t="s">
        <v>1</v>
      </c>
    </row>
    <row r="382" spans="2:27" x14ac:dyDescent="0.2">
      <c r="B382" s="21"/>
      <c r="Z382" s="15" t="str">
        <f t="shared" si="130"/>
        <v>Week_08</v>
      </c>
      <c r="AA382" s="17" t="s">
        <v>1</v>
      </c>
    </row>
    <row r="383" spans="2:27" x14ac:dyDescent="0.2">
      <c r="B383" s="21"/>
      <c r="Z383" s="15" t="str">
        <f t="shared" si="130"/>
        <v>Week_09</v>
      </c>
      <c r="AA383" s="17" t="s">
        <v>1</v>
      </c>
    </row>
    <row r="384" spans="2:27" x14ac:dyDescent="0.2">
      <c r="B384" s="21"/>
      <c r="Z384" s="15" t="str">
        <f t="shared" si="130"/>
        <v>Week_10</v>
      </c>
      <c r="AA384" s="17" t="s">
        <v>1</v>
      </c>
    </row>
    <row r="385" spans="2:27" x14ac:dyDescent="0.2">
      <c r="B385" s="21"/>
      <c r="Z385" s="15" t="str">
        <f t="shared" si="130"/>
        <v>Week_11</v>
      </c>
      <c r="AA385" s="17" t="s">
        <v>1</v>
      </c>
    </row>
    <row r="386" spans="2:27" x14ac:dyDescent="0.2">
      <c r="B386" s="21"/>
      <c r="Z386" s="15" t="str">
        <f t="shared" si="130"/>
        <v>Week_12</v>
      </c>
      <c r="AA386" s="17" t="s">
        <v>1</v>
      </c>
    </row>
    <row r="387" spans="2:27" x14ac:dyDescent="0.2">
      <c r="B387" s="21"/>
      <c r="Z387" s="15" t="str">
        <f t="shared" si="130"/>
        <v>Week_13</v>
      </c>
      <c r="AA387" s="17" t="s">
        <v>1</v>
      </c>
    </row>
    <row r="388" spans="2:27" x14ac:dyDescent="0.2">
      <c r="B388" s="21"/>
      <c r="Z388" s="15" t="str">
        <f t="shared" si="130"/>
        <v>Week_14</v>
      </c>
      <c r="AA388" s="17" t="s">
        <v>1</v>
      </c>
    </row>
    <row r="389" spans="2:27" x14ac:dyDescent="0.2">
      <c r="B389" s="21"/>
      <c r="Z389" s="15" t="str">
        <f t="shared" si="130"/>
        <v>Week_15</v>
      </c>
      <c r="AA389" s="17" t="s">
        <v>1</v>
      </c>
    </row>
    <row r="390" spans="2:27" x14ac:dyDescent="0.2">
      <c r="B390" s="21"/>
      <c r="Z390" s="15" t="str">
        <f t="shared" si="130"/>
        <v>Week_16</v>
      </c>
      <c r="AA390" s="17" t="s">
        <v>1</v>
      </c>
    </row>
    <row r="391" spans="2:27" x14ac:dyDescent="0.2">
      <c r="B391" s="21"/>
      <c r="Z391" s="15" t="str">
        <f t="shared" si="130"/>
        <v>Week_17</v>
      </c>
      <c r="AA391" s="17" t="s">
        <v>1</v>
      </c>
    </row>
    <row r="392" spans="2:27" x14ac:dyDescent="0.2">
      <c r="B392" s="21"/>
      <c r="Z392" s="15" t="str">
        <f t="shared" si="130"/>
        <v>Week_18</v>
      </c>
      <c r="AA392" s="17" t="s">
        <v>1</v>
      </c>
    </row>
    <row r="393" spans="2:27" x14ac:dyDescent="0.2">
      <c r="B393" s="21"/>
      <c r="Z393" s="15" t="str">
        <f t="shared" si="130"/>
        <v>Week_19</v>
      </c>
      <c r="AA393" s="17" t="s">
        <v>1</v>
      </c>
    </row>
    <row r="394" spans="2:27" x14ac:dyDescent="0.2">
      <c r="B394" s="21"/>
      <c r="Z394" s="15" t="str">
        <f t="shared" si="130"/>
        <v>Week_20</v>
      </c>
      <c r="AA394" s="17" t="s">
        <v>1</v>
      </c>
    </row>
    <row r="395" spans="2:27" x14ac:dyDescent="0.2">
      <c r="B395" s="21"/>
      <c r="Z395" s="15" t="str">
        <f t="shared" si="130"/>
        <v>Week_21</v>
      </c>
      <c r="AA395" s="17" t="s">
        <v>1</v>
      </c>
    </row>
    <row r="396" spans="2:27" x14ac:dyDescent="0.2">
      <c r="B396" s="21"/>
      <c r="Z396" s="15" t="str">
        <f t="shared" si="130"/>
        <v>Week_22</v>
      </c>
      <c r="AA396" s="17" t="s">
        <v>1</v>
      </c>
    </row>
    <row r="397" spans="2:27" x14ac:dyDescent="0.2">
      <c r="B397" s="21"/>
      <c r="Z397" s="15" t="str">
        <f t="shared" si="130"/>
        <v>Week_23</v>
      </c>
      <c r="AA397" s="17" t="s">
        <v>1</v>
      </c>
    </row>
    <row r="398" spans="2:27" x14ac:dyDescent="0.2">
      <c r="B398" s="21"/>
      <c r="Z398" s="15" t="str">
        <f t="shared" si="130"/>
        <v>Week_24</v>
      </c>
      <c r="AA398" s="17" t="s">
        <v>1</v>
      </c>
    </row>
    <row r="399" spans="2:27" x14ac:dyDescent="0.2">
      <c r="B399" s="21"/>
      <c r="Z399" s="15" t="str">
        <f t="shared" si="130"/>
        <v>Week_25</v>
      </c>
      <c r="AA399" s="17" t="s">
        <v>1</v>
      </c>
    </row>
    <row r="400" spans="2:27" x14ac:dyDescent="0.2">
      <c r="B400" s="21"/>
      <c r="Z400" s="15" t="str">
        <f t="shared" si="130"/>
        <v>Week_26</v>
      </c>
      <c r="AA400" s="17" t="s">
        <v>1</v>
      </c>
    </row>
    <row r="401" spans="2:27" x14ac:dyDescent="0.2">
      <c r="B401" s="21"/>
      <c r="Z401" s="15" t="str">
        <f t="shared" si="130"/>
        <v>Week_27</v>
      </c>
      <c r="AA401" s="17" t="s">
        <v>1</v>
      </c>
    </row>
    <row r="402" spans="2:27" x14ac:dyDescent="0.2">
      <c r="B402" s="21"/>
      <c r="Z402" s="15" t="str">
        <f t="shared" si="130"/>
        <v>Week_28</v>
      </c>
      <c r="AA402" s="17" t="s">
        <v>1</v>
      </c>
    </row>
    <row r="403" spans="2:27" x14ac:dyDescent="0.2">
      <c r="B403" s="21"/>
      <c r="Z403" s="15" t="str">
        <f t="shared" si="130"/>
        <v>Week_29</v>
      </c>
      <c r="AA403" s="17" t="s">
        <v>1</v>
      </c>
    </row>
    <row r="404" spans="2:27" x14ac:dyDescent="0.2">
      <c r="B404" s="21"/>
      <c r="Z404" s="15" t="str">
        <f t="shared" si="130"/>
        <v>Week_30</v>
      </c>
      <c r="AA404" s="17" t="s">
        <v>1</v>
      </c>
    </row>
    <row r="405" spans="2:27" x14ac:dyDescent="0.2">
      <c r="B405" s="21"/>
      <c r="Z405" s="15" t="str">
        <f t="shared" si="130"/>
        <v>Week_31</v>
      </c>
      <c r="AA405" s="17" t="s">
        <v>1</v>
      </c>
    </row>
    <row r="406" spans="2:27" x14ac:dyDescent="0.2">
      <c r="B406" s="21"/>
      <c r="Z406" s="15" t="str">
        <f t="shared" si="130"/>
        <v>Week_32</v>
      </c>
      <c r="AA406" s="17" t="s">
        <v>1</v>
      </c>
    </row>
    <row r="407" spans="2:27" x14ac:dyDescent="0.2">
      <c r="B407" s="21"/>
      <c r="Z407" s="15" t="str">
        <f t="shared" si="130"/>
        <v>Week_33</v>
      </c>
      <c r="AA407" s="17" t="s">
        <v>1</v>
      </c>
    </row>
    <row r="408" spans="2:27" x14ac:dyDescent="0.2">
      <c r="B408" s="21"/>
      <c r="Z408" s="15" t="str">
        <f t="shared" si="130"/>
        <v>Week_34</v>
      </c>
      <c r="AA408" s="17" t="s">
        <v>1</v>
      </c>
    </row>
    <row r="409" spans="2:27" x14ac:dyDescent="0.2">
      <c r="B409" s="21"/>
      <c r="Z409" s="15" t="str">
        <f t="shared" si="130"/>
        <v>Week_35</v>
      </c>
      <c r="AA409" s="17" t="s">
        <v>1</v>
      </c>
    </row>
    <row r="410" spans="2:27" x14ac:dyDescent="0.2">
      <c r="B410" s="21"/>
      <c r="Z410" s="15" t="str">
        <f t="shared" si="130"/>
        <v>Week_36</v>
      </c>
      <c r="AA410" s="17" t="s">
        <v>1</v>
      </c>
    </row>
    <row r="411" spans="2:27" x14ac:dyDescent="0.2">
      <c r="B411" s="21"/>
      <c r="Z411" s="15" t="str">
        <f t="shared" si="130"/>
        <v>Week_37</v>
      </c>
      <c r="AA411" s="17" t="s">
        <v>1</v>
      </c>
    </row>
    <row r="412" spans="2:27" x14ac:dyDescent="0.2">
      <c r="B412" s="21"/>
      <c r="Z412" s="15" t="str">
        <f t="shared" si="130"/>
        <v>Week_38</v>
      </c>
      <c r="AA412" s="17" t="s">
        <v>1</v>
      </c>
    </row>
    <row r="413" spans="2:27" x14ac:dyDescent="0.2">
      <c r="B413" s="21"/>
      <c r="Z413" s="15" t="str">
        <f t="shared" si="130"/>
        <v>Week_39</v>
      </c>
      <c r="AA413" s="17" t="s">
        <v>1</v>
      </c>
    </row>
    <row r="414" spans="2:27" x14ac:dyDescent="0.2">
      <c r="B414" s="21"/>
      <c r="Z414" s="15" t="str">
        <f t="shared" si="130"/>
        <v>Week_40</v>
      </c>
      <c r="AA414" s="17" t="s">
        <v>1</v>
      </c>
    </row>
    <row r="415" spans="2:27" x14ac:dyDescent="0.2">
      <c r="Z415" s="15" t="str">
        <f t="shared" si="130"/>
        <v>Week_41</v>
      </c>
      <c r="AA415" s="17" t="s">
        <v>1</v>
      </c>
    </row>
    <row r="416" spans="2:27" x14ac:dyDescent="0.2">
      <c r="Z416" s="15" t="str">
        <f t="shared" si="130"/>
        <v>Week_42</v>
      </c>
      <c r="AA416" s="17" t="s">
        <v>1</v>
      </c>
    </row>
    <row r="417" spans="26:27" x14ac:dyDescent="0.2">
      <c r="Z417" s="15" t="str">
        <f t="shared" si="130"/>
        <v>Week_43</v>
      </c>
      <c r="AA417" s="17" t="s">
        <v>1</v>
      </c>
    </row>
    <row r="418" spans="26:27" x14ac:dyDescent="0.2">
      <c r="Z418" s="15" t="str">
        <f t="shared" si="130"/>
        <v>Week_44</v>
      </c>
      <c r="AA418" s="17" t="s">
        <v>1</v>
      </c>
    </row>
    <row r="419" spans="26:27" x14ac:dyDescent="0.2">
      <c r="Z419" s="15" t="str">
        <f t="shared" si="130"/>
        <v>Week_45</v>
      </c>
      <c r="AA419" s="17" t="s">
        <v>1</v>
      </c>
    </row>
    <row r="420" spans="26:27" x14ac:dyDescent="0.2">
      <c r="Z420" s="15" t="str">
        <f t="shared" si="130"/>
        <v>Week_46</v>
      </c>
      <c r="AA420" s="17" t="s">
        <v>1</v>
      </c>
    </row>
    <row r="421" spans="26:27" x14ac:dyDescent="0.2">
      <c r="Z421" s="15" t="str">
        <f t="shared" si="130"/>
        <v>Week_47</v>
      </c>
      <c r="AA421" s="17" t="s">
        <v>1</v>
      </c>
    </row>
    <row r="422" spans="26:27" x14ac:dyDescent="0.2">
      <c r="Z422" s="15" t="str">
        <f t="shared" si="130"/>
        <v>Week_48</v>
      </c>
      <c r="AA422" s="17" t="s">
        <v>1</v>
      </c>
    </row>
    <row r="423" spans="26:27" x14ac:dyDescent="0.2">
      <c r="Z423" s="15" t="str">
        <f t="shared" si="130"/>
        <v>Week_49</v>
      </c>
      <c r="AA423" s="17" t="s">
        <v>1</v>
      </c>
    </row>
    <row r="424" spans="26:27" x14ac:dyDescent="0.2">
      <c r="Z424" s="15" t="str">
        <f t="shared" si="130"/>
        <v>Week_50</v>
      </c>
      <c r="AA424" s="17" t="s">
        <v>1</v>
      </c>
    </row>
    <row r="425" spans="26:27" x14ac:dyDescent="0.2">
      <c r="Z425" s="15" t="str">
        <f t="shared" si="130"/>
        <v>Week_51</v>
      </c>
      <c r="AA425" s="17" t="s">
        <v>1</v>
      </c>
    </row>
    <row r="426" spans="26:27" x14ac:dyDescent="0.2">
      <c r="Z426" s="15" t="str">
        <f t="shared" si="130"/>
        <v>Week_52</v>
      </c>
      <c r="AA426" s="17" t="s">
        <v>1</v>
      </c>
    </row>
    <row r="427" spans="26:27" x14ac:dyDescent="0.2">
      <c r="Z427" s="15" t="str">
        <f t="shared" si="130"/>
        <v>Week_53</v>
      </c>
      <c r="AA427" s="17" t="s">
        <v>1</v>
      </c>
    </row>
    <row r="428" spans="26:27" x14ac:dyDescent="0.2">
      <c r="Z428" s="15" t="str">
        <f t="shared" ref="Z428:Z439" si="131">+AO10</f>
        <v>January 2021</v>
      </c>
      <c r="AA428" s="17" t="s">
        <v>215</v>
      </c>
    </row>
    <row r="429" spans="26:27" x14ac:dyDescent="0.2">
      <c r="Z429" s="15" t="str">
        <f t="shared" si="131"/>
        <v>February 2021</v>
      </c>
      <c r="AA429" s="17" t="s">
        <v>215</v>
      </c>
    </row>
    <row r="430" spans="26:27" x14ac:dyDescent="0.2">
      <c r="Z430" s="15" t="str">
        <f t="shared" si="131"/>
        <v>March 2021</v>
      </c>
      <c r="AA430" s="17" t="s">
        <v>215</v>
      </c>
    </row>
    <row r="431" spans="26:27" x14ac:dyDescent="0.2">
      <c r="Z431" s="15" t="str">
        <f t="shared" si="131"/>
        <v>April 2021</v>
      </c>
      <c r="AA431" s="17" t="s">
        <v>215</v>
      </c>
    </row>
    <row r="432" spans="26:27" x14ac:dyDescent="0.2">
      <c r="Z432" s="15" t="str">
        <f t="shared" si="131"/>
        <v>May 2021</v>
      </c>
      <c r="AA432" s="17" t="s">
        <v>215</v>
      </c>
    </row>
    <row r="433" spans="26:27" x14ac:dyDescent="0.2">
      <c r="Z433" s="15" t="str">
        <f t="shared" si="131"/>
        <v>June 2021</v>
      </c>
      <c r="AA433" s="17" t="s">
        <v>215</v>
      </c>
    </row>
    <row r="434" spans="26:27" x14ac:dyDescent="0.2">
      <c r="Z434" s="15" t="str">
        <f t="shared" si="131"/>
        <v>July 2021</v>
      </c>
      <c r="AA434" s="17" t="s">
        <v>215</v>
      </c>
    </row>
    <row r="435" spans="26:27" x14ac:dyDescent="0.2">
      <c r="Z435" s="15" t="str">
        <f t="shared" si="131"/>
        <v>August 2021</v>
      </c>
      <c r="AA435" s="17" t="s">
        <v>215</v>
      </c>
    </row>
    <row r="436" spans="26:27" x14ac:dyDescent="0.2">
      <c r="Z436" s="15" t="str">
        <f t="shared" si="131"/>
        <v>September 2021</v>
      </c>
      <c r="AA436" s="17" t="s">
        <v>215</v>
      </c>
    </row>
    <row r="437" spans="26:27" x14ac:dyDescent="0.2">
      <c r="Z437" s="15" t="str">
        <f t="shared" si="131"/>
        <v>October 2021</v>
      </c>
      <c r="AA437" s="17" t="s">
        <v>215</v>
      </c>
    </row>
    <row r="438" spans="26:27" x14ac:dyDescent="0.2">
      <c r="Z438" s="15" t="str">
        <f t="shared" si="131"/>
        <v>November 2021</v>
      </c>
      <c r="AA438" s="17" t="s">
        <v>215</v>
      </c>
    </row>
    <row r="439" spans="26:27" x14ac:dyDescent="0.2">
      <c r="Z439" s="15" t="str">
        <f t="shared" si="131"/>
        <v>December 2021</v>
      </c>
      <c r="AA439" s="17" t="s">
        <v>215</v>
      </c>
    </row>
  </sheetData>
  <mergeCells count="14">
    <mergeCell ref="B5:S5"/>
    <mergeCell ref="B7:F7"/>
    <mergeCell ref="H7:H8"/>
    <mergeCell ref="I7:I8"/>
    <mergeCell ref="J7:J8"/>
    <mergeCell ref="K7:P7"/>
    <mergeCell ref="Q7:S7"/>
    <mergeCell ref="AM7:AM8"/>
    <mergeCell ref="AN7:AS7"/>
    <mergeCell ref="AT7:AY7"/>
    <mergeCell ref="BA7:BD8"/>
    <mergeCell ref="Q8:R8"/>
    <mergeCell ref="AC8:AD8"/>
    <mergeCell ref="U7:X7"/>
  </mergeCells>
  <conditionalFormatting sqref="DA9">
    <cfRule type="duplicateValues" dxfId="492" priority="2"/>
  </conditionalFormatting>
  <conditionalFormatting sqref="DE9">
    <cfRule type="duplicateValues" dxfId="491" priority="1"/>
  </conditionalFormatting>
  <dataValidations disablePrompts="1" count="2">
    <dataValidation type="list" allowBlank="1" showInputMessage="1" showErrorMessage="1" sqref="C3:C4" xr:uid="{00000000-0002-0000-0000-000000000000}">
      <formula1>$D$13:$D$19</formula1>
    </dataValidation>
    <dataValidation type="list" allowBlank="1" showInputMessage="1" showErrorMessage="1" sqref="AN28" xr:uid="{00000000-0002-0000-0000-000001000000}">
      <formula1>$AR$10:$AR$21</formula1>
    </dataValidation>
  </dataValidations>
  <pageMargins left="0.7" right="0.7" top="0.75" bottom="0.75" header="0.3" footer="0.3"/>
  <pageSetup orientation="portrait" horizontalDpi="360" verticalDpi="36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892E-CB14-46C1-B6FD-3023B272F91A}">
  <sheetPr codeName="Sheet30"/>
  <dimension ref="B4:FF89"/>
  <sheetViews>
    <sheetView showGridLines="0" topLeftCell="G1" zoomScale="85" zoomScaleNormal="85" workbookViewId="0">
      <selection activeCell="L26" sqref="L26"/>
    </sheetView>
  </sheetViews>
  <sheetFormatPr defaultRowHeight="14.5" x14ac:dyDescent="0.35"/>
  <cols>
    <col min="2" max="2" width="24" customWidth="1"/>
    <col min="3" max="3" width="75.81640625" bestFit="1" customWidth="1"/>
    <col min="4" max="4" width="21.7265625" bestFit="1" customWidth="1"/>
    <col min="5" max="5" width="26.7265625" bestFit="1" customWidth="1"/>
    <col min="6" max="6" width="110.26953125" customWidth="1"/>
    <col min="7" max="7" width="21.1796875" bestFit="1" customWidth="1"/>
    <col min="8" max="8" width="15.1796875" bestFit="1" customWidth="1"/>
    <col min="9" max="9" width="10.453125" customWidth="1"/>
    <col min="10" max="10" width="11.26953125" customWidth="1"/>
    <col min="11" max="11" width="10.453125" customWidth="1"/>
    <col min="12" max="12" width="35.26953125" bestFit="1" customWidth="1"/>
    <col min="13" max="13" width="22.1796875" bestFit="1" customWidth="1"/>
    <col min="14" max="14" width="13.26953125" bestFit="1" customWidth="1"/>
    <col min="15" max="15" width="12.54296875" bestFit="1" customWidth="1"/>
    <col min="16" max="16" width="10.81640625" bestFit="1" customWidth="1"/>
    <col min="17" max="17" width="11.81640625" bestFit="1" customWidth="1"/>
    <col min="18" max="18" width="24.1796875" bestFit="1" customWidth="1"/>
    <col min="19" max="19" width="11.54296875" bestFit="1" customWidth="1"/>
    <col min="20" max="20" width="13.54296875" bestFit="1" customWidth="1"/>
    <col min="23" max="23" width="13.7265625" bestFit="1" customWidth="1"/>
    <col min="24" max="24" width="36.26953125" bestFit="1" customWidth="1"/>
    <col min="25" max="25" width="47.453125" bestFit="1" customWidth="1"/>
    <col min="26" max="26" width="10.81640625" bestFit="1" customWidth="1"/>
    <col min="27" max="27" width="13.7265625" bestFit="1" customWidth="1"/>
    <col min="28" max="28" width="12.81640625" customWidth="1"/>
    <col min="29" max="29" width="10.7265625" bestFit="1" customWidth="1"/>
    <col min="31" max="31" width="7.1796875" bestFit="1" customWidth="1"/>
    <col min="32" max="32" width="8.453125" bestFit="1" customWidth="1"/>
    <col min="33" max="34" width="13.54296875" bestFit="1" customWidth="1"/>
    <col min="37" max="37" width="8.81640625" bestFit="1" customWidth="1"/>
    <col min="38" max="38" width="36.54296875" bestFit="1" customWidth="1"/>
    <col min="39" max="39" width="20.54296875" bestFit="1" customWidth="1"/>
    <col min="40" max="40" width="26.26953125" bestFit="1" customWidth="1"/>
    <col min="41" max="41" width="9.54296875" bestFit="1" customWidth="1"/>
    <col min="42" max="42" width="13.453125" bestFit="1" customWidth="1"/>
    <col min="43" max="43" width="15" bestFit="1" customWidth="1"/>
    <col min="44" max="44" width="35.453125" bestFit="1" customWidth="1"/>
    <col min="45" max="45" width="37.1796875" bestFit="1" customWidth="1"/>
    <col min="49" max="49" width="8.81640625" bestFit="1" customWidth="1"/>
    <col min="50" max="50" width="36.54296875" bestFit="1" customWidth="1"/>
    <col min="51" max="51" width="20.54296875" bestFit="1" customWidth="1"/>
    <col min="52" max="52" width="23.1796875" bestFit="1" customWidth="1"/>
    <col min="53" max="53" width="9.54296875" bestFit="1" customWidth="1"/>
    <col min="54" max="54" width="13.453125" bestFit="1" customWidth="1"/>
    <col min="55" max="55" width="15" bestFit="1" customWidth="1"/>
    <col min="56" max="56" width="32.26953125" bestFit="1" customWidth="1"/>
    <col min="57" max="57" width="34.26953125" bestFit="1" customWidth="1"/>
    <col min="60" max="60" width="36.453125" bestFit="1" customWidth="1"/>
    <col min="61" max="61" width="35.26953125" bestFit="1" customWidth="1"/>
    <col min="62" max="62" width="30" bestFit="1" customWidth="1"/>
    <col min="63" max="63" width="24.453125" bestFit="1" customWidth="1"/>
    <col min="64" max="64" width="36.26953125" bestFit="1" customWidth="1"/>
    <col min="65" max="65" width="29.26953125" bestFit="1" customWidth="1"/>
    <col min="66" max="66" width="24.1796875" bestFit="1" customWidth="1"/>
    <col min="67" max="67" width="7.1796875" bestFit="1" customWidth="1"/>
    <col min="68" max="68" width="8.453125" bestFit="1" customWidth="1"/>
    <col min="69" max="69" width="30.453125" bestFit="1" customWidth="1"/>
    <col min="70" max="70" width="30.54296875" bestFit="1" customWidth="1"/>
    <col min="73" max="73" width="36.26953125" bestFit="1" customWidth="1"/>
    <col min="74" max="74" width="11.26953125" bestFit="1" customWidth="1"/>
    <col min="75" max="75" width="11.54296875" bestFit="1" customWidth="1"/>
    <col min="76" max="76" width="12.1796875" bestFit="1" customWidth="1"/>
    <col min="77" max="77" width="36.1796875" bestFit="1" customWidth="1"/>
    <col min="78" max="78" width="24.54296875" bestFit="1" customWidth="1"/>
    <col min="79" max="79" width="47.453125" bestFit="1" customWidth="1"/>
    <col min="80" max="80" width="10.7265625" bestFit="1" customWidth="1"/>
    <col min="81" max="81" width="21.7265625" bestFit="1" customWidth="1"/>
    <col min="82" max="82" width="7.1796875" bestFit="1" customWidth="1"/>
    <col min="83" max="83" width="8.453125" bestFit="1" customWidth="1"/>
    <col min="84" max="84" width="47.453125" bestFit="1" customWidth="1"/>
    <col min="87" max="87" width="36.26953125" bestFit="1" customWidth="1"/>
    <col min="88" max="88" width="11.26953125" bestFit="1" customWidth="1"/>
    <col min="89" max="89" width="22.26953125" bestFit="1" customWidth="1"/>
    <col min="90" max="90" width="7.1796875" bestFit="1" customWidth="1"/>
    <col min="91" max="91" width="8.453125" bestFit="1" customWidth="1"/>
    <col min="92" max="92" width="13.54296875" bestFit="1" customWidth="1"/>
    <col min="95" max="95" width="36" bestFit="1" customWidth="1"/>
    <col min="96" max="97" width="15.7265625" bestFit="1" customWidth="1"/>
    <col min="100" max="100" width="36.54296875" bestFit="1" customWidth="1"/>
    <col min="101" max="101" width="24.7265625" bestFit="1" customWidth="1"/>
    <col min="102" max="102" width="27.1796875" bestFit="1" customWidth="1"/>
    <col min="110" max="110" width="36.26953125" bestFit="1" customWidth="1"/>
    <col min="111" max="111" width="11.26953125" bestFit="1" customWidth="1"/>
    <col min="112" max="112" width="33.54296875" bestFit="1" customWidth="1"/>
    <col min="113" max="113" width="32.81640625" bestFit="1" customWidth="1"/>
    <col min="114" max="114" width="25.453125" bestFit="1" customWidth="1"/>
    <col min="115" max="115" width="15.453125" bestFit="1" customWidth="1"/>
    <col min="116" max="116" width="25.1796875" bestFit="1" customWidth="1"/>
    <col min="117" max="117" width="39.7265625" bestFit="1" customWidth="1"/>
    <col min="118" max="118" width="8.453125" bestFit="1" customWidth="1"/>
    <col min="119" max="119" width="7.1796875" bestFit="1" customWidth="1"/>
    <col min="122" max="122" width="36.54296875" bestFit="1" customWidth="1"/>
    <col min="123" max="123" width="27.26953125" bestFit="1" customWidth="1"/>
    <col min="124" max="124" width="33.54296875" bestFit="1" customWidth="1"/>
    <col min="125" max="125" width="8.453125" bestFit="1" customWidth="1"/>
    <col min="126" max="126" width="7.1796875" bestFit="1" customWidth="1"/>
    <col min="127" max="127" width="11.1796875" bestFit="1" customWidth="1"/>
    <col min="128" max="128" width="30.453125" bestFit="1" customWidth="1"/>
    <col min="132" max="132" width="36.26953125" bestFit="1" customWidth="1"/>
    <col min="133" max="133" width="33.54296875" bestFit="1" customWidth="1"/>
    <col min="134" max="134" width="25.453125" bestFit="1" customWidth="1"/>
    <col min="135" max="135" width="25.1796875" bestFit="1" customWidth="1"/>
    <col min="136" max="136" width="39.7265625" bestFit="1" customWidth="1"/>
    <col min="137" max="137" width="8.453125" bestFit="1" customWidth="1"/>
    <col min="138" max="138" width="7.1796875" bestFit="1" customWidth="1"/>
    <col min="139" max="139" width="8.453125" bestFit="1" customWidth="1"/>
    <col min="143" max="143" width="36.54296875" bestFit="1" customWidth="1"/>
    <col min="144" max="144" width="27.26953125" bestFit="1" customWidth="1"/>
    <col min="145" max="145" width="33.54296875" bestFit="1" customWidth="1"/>
    <col min="146" max="146" width="24.1796875" bestFit="1" customWidth="1"/>
    <col min="147" max="147" width="8.453125" bestFit="1" customWidth="1"/>
    <col min="148" max="148" width="7.1796875" bestFit="1" customWidth="1"/>
    <col min="149" max="149" width="8.453125" bestFit="1" customWidth="1"/>
    <col min="150" max="150" width="30.453125" bestFit="1" customWidth="1"/>
    <col min="153" max="153" width="36.54296875" bestFit="1" customWidth="1"/>
    <col min="154" max="154" width="8" bestFit="1" customWidth="1"/>
    <col min="155" max="155" width="8.453125" bestFit="1" customWidth="1"/>
    <col min="156" max="156" width="15.81640625" bestFit="1" customWidth="1"/>
    <col min="159" max="159" width="17" bestFit="1" customWidth="1"/>
    <col min="160" max="160" width="9.453125" bestFit="1" customWidth="1"/>
    <col min="161" max="161" width="36.26953125" bestFit="1" customWidth="1"/>
    <col min="162" max="162" width="10.81640625" bestFit="1" customWidth="1"/>
    <col min="163" max="163" width="26.453125" bestFit="1" customWidth="1"/>
    <col min="164" max="164" width="13.81640625" bestFit="1" customWidth="1"/>
  </cols>
  <sheetData>
    <row r="4" spans="2:162" x14ac:dyDescent="0.35">
      <c r="B4" s="182" t="s">
        <v>1200</v>
      </c>
    </row>
    <row r="5" spans="2:162" x14ac:dyDescent="0.35">
      <c r="B5" s="193">
        <v>44495.310682870368</v>
      </c>
      <c r="C5" s="193"/>
      <c r="M5" t="s">
        <v>1118</v>
      </c>
    </row>
    <row r="7" spans="2:162" x14ac:dyDescent="0.35">
      <c r="B7" s="182" t="s">
        <v>1164</v>
      </c>
    </row>
    <row r="8" spans="2:162" x14ac:dyDescent="0.35">
      <c r="B8" s="183">
        <v>3</v>
      </c>
    </row>
    <row r="9" spans="2:162" x14ac:dyDescent="0.35">
      <c r="L9" s="113" t="s">
        <v>1050</v>
      </c>
      <c r="W9" s="113" t="s">
        <v>1051</v>
      </c>
      <c r="AE9" t="s">
        <v>1052</v>
      </c>
      <c r="AK9" s="113" t="s">
        <v>1053</v>
      </c>
      <c r="AW9" s="113" t="s">
        <v>1054</v>
      </c>
      <c r="BH9" s="113" t="s">
        <v>1055</v>
      </c>
      <c r="BU9" s="113" t="s">
        <v>1056</v>
      </c>
      <c r="CI9" s="113" t="s">
        <v>1057</v>
      </c>
      <c r="CQ9" s="113" t="s">
        <v>1049</v>
      </c>
      <c r="CV9" s="113" t="s">
        <v>1048</v>
      </c>
      <c r="DF9" t="s">
        <v>1047</v>
      </c>
      <c r="DR9" s="113" t="s">
        <v>1045</v>
      </c>
      <c r="EB9" s="113" t="s">
        <v>1046</v>
      </c>
      <c r="EM9" s="113" t="s">
        <v>1044</v>
      </c>
      <c r="EW9" s="113" t="s">
        <v>1131</v>
      </c>
      <c r="FE9" t="s">
        <v>2047</v>
      </c>
    </row>
    <row r="10" spans="2:162" x14ac:dyDescent="0.35">
      <c r="B10" s="45" t="s">
        <v>980</v>
      </c>
      <c r="L10" t="s">
        <v>981</v>
      </c>
      <c r="M10" t="s">
        <v>982</v>
      </c>
      <c r="N10" t="s">
        <v>983</v>
      </c>
      <c r="O10" t="s">
        <v>984</v>
      </c>
      <c r="P10" t="s">
        <v>985</v>
      </c>
      <c r="Q10" t="s">
        <v>986</v>
      </c>
      <c r="R10" t="s">
        <v>987</v>
      </c>
      <c r="S10" t="s">
        <v>988</v>
      </c>
      <c r="T10" t="s">
        <v>2048</v>
      </c>
      <c r="W10" t="s">
        <v>989</v>
      </c>
      <c r="X10" t="s">
        <v>990</v>
      </c>
      <c r="Y10" t="s">
        <v>1015</v>
      </c>
      <c r="Z10" t="s">
        <v>1119</v>
      </c>
      <c r="AA10" t="s">
        <v>2048</v>
      </c>
      <c r="AE10" t="s">
        <v>989</v>
      </c>
      <c r="AF10" t="s">
        <v>990</v>
      </c>
      <c r="AG10" t="s">
        <v>991</v>
      </c>
      <c r="AH10" t="s">
        <v>2048</v>
      </c>
      <c r="AK10" t="s">
        <v>992</v>
      </c>
      <c r="AL10" t="s">
        <v>981</v>
      </c>
      <c r="AM10" t="s">
        <v>993</v>
      </c>
      <c r="AN10" t="s">
        <v>994</v>
      </c>
      <c r="AO10" t="s">
        <v>995</v>
      </c>
      <c r="AP10" t="s">
        <v>996</v>
      </c>
      <c r="AQ10" t="s">
        <v>997</v>
      </c>
      <c r="AR10" t="s">
        <v>998</v>
      </c>
      <c r="AS10" t="s">
        <v>2048</v>
      </c>
      <c r="AW10" t="s">
        <v>992</v>
      </c>
      <c r="AX10" t="s">
        <v>981</v>
      </c>
      <c r="AY10" t="s">
        <v>993</v>
      </c>
      <c r="AZ10" t="s">
        <v>994</v>
      </c>
      <c r="BA10" t="s">
        <v>995</v>
      </c>
      <c r="BB10" t="s">
        <v>996</v>
      </c>
      <c r="BC10" t="s">
        <v>997</v>
      </c>
      <c r="BD10" t="s">
        <v>998</v>
      </c>
      <c r="BE10" t="s">
        <v>2048</v>
      </c>
      <c r="BH10" t="s">
        <v>981</v>
      </c>
      <c r="BI10" t="s">
        <v>999</v>
      </c>
      <c r="BJ10" t="s">
        <v>1000</v>
      </c>
      <c r="BK10" t="s">
        <v>1001</v>
      </c>
      <c r="BL10" t="s">
        <v>1002</v>
      </c>
      <c r="BM10" t="s">
        <v>1003</v>
      </c>
      <c r="BN10" t="s">
        <v>987</v>
      </c>
      <c r="BO10" t="s">
        <v>989</v>
      </c>
      <c r="BP10" t="s">
        <v>990</v>
      </c>
      <c r="BQ10" t="s">
        <v>1004</v>
      </c>
      <c r="BR10" t="s">
        <v>2048</v>
      </c>
      <c r="BU10" t="s">
        <v>981</v>
      </c>
      <c r="BV10" t="s">
        <v>1006</v>
      </c>
      <c r="BW10" t="s">
        <v>1007</v>
      </c>
      <c r="BX10" t="s">
        <v>1008</v>
      </c>
      <c r="BY10" t="s">
        <v>999</v>
      </c>
      <c r="BZ10" t="s">
        <v>1009</v>
      </c>
      <c r="CA10" t="s">
        <v>1010</v>
      </c>
      <c r="CB10" t="s">
        <v>1011</v>
      </c>
      <c r="CC10" t="s">
        <v>1012</v>
      </c>
      <c r="CD10" t="s">
        <v>989</v>
      </c>
      <c r="CE10" t="s">
        <v>990</v>
      </c>
      <c r="CF10" t="s">
        <v>2048</v>
      </c>
      <c r="CI10" t="s">
        <v>981</v>
      </c>
      <c r="CJ10" t="s">
        <v>1006</v>
      </c>
      <c r="CK10" t="s">
        <v>1014</v>
      </c>
      <c r="CL10" t="s">
        <v>989</v>
      </c>
      <c r="CM10" t="s">
        <v>990</v>
      </c>
      <c r="CN10" t="s">
        <v>2048</v>
      </c>
      <c r="CQ10" t="s">
        <v>990</v>
      </c>
      <c r="CR10" t="s">
        <v>989</v>
      </c>
      <c r="CS10" t="s">
        <v>2048</v>
      </c>
      <c r="CV10" t="s">
        <v>990</v>
      </c>
      <c r="CW10" t="s">
        <v>989</v>
      </c>
      <c r="CX10" t="s">
        <v>2048</v>
      </c>
      <c r="DF10" t="s">
        <v>981</v>
      </c>
      <c r="DG10" t="s">
        <v>1006</v>
      </c>
      <c r="DH10" t="s">
        <v>1037</v>
      </c>
      <c r="DI10" t="s">
        <v>1038</v>
      </c>
      <c r="DJ10" t="s">
        <v>1039</v>
      </c>
      <c r="DK10" t="s">
        <v>1040</v>
      </c>
      <c r="DL10" t="s">
        <v>1041</v>
      </c>
      <c r="DM10" t="s">
        <v>1042</v>
      </c>
      <c r="DN10" t="s">
        <v>990</v>
      </c>
      <c r="DO10" t="s">
        <v>989</v>
      </c>
      <c r="DR10" t="s">
        <v>981</v>
      </c>
      <c r="DS10" t="s">
        <v>1043</v>
      </c>
      <c r="DT10" t="s">
        <v>1037</v>
      </c>
      <c r="DU10" t="s">
        <v>990</v>
      </c>
      <c r="DV10" t="s">
        <v>989</v>
      </c>
      <c r="DW10" t="s">
        <v>12</v>
      </c>
      <c r="DX10" t="s">
        <v>1157</v>
      </c>
      <c r="EB10" t="s">
        <v>981</v>
      </c>
      <c r="EC10" t="s">
        <v>1037</v>
      </c>
      <c r="ED10" t="s">
        <v>1039</v>
      </c>
      <c r="EE10" t="s">
        <v>1041</v>
      </c>
      <c r="EF10" t="s">
        <v>1042</v>
      </c>
      <c r="EG10" t="s">
        <v>990</v>
      </c>
      <c r="EH10" t="s">
        <v>989</v>
      </c>
      <c r="EI10" t="s">
        <v>1205</v>
      </c>
      <c r="EM10" t="s">
        <v>981</v>
      </c>
      <c r="EN10" t="s">
        <v>1043</v>
      </c>
      <c r="EO10" t="s">
        <v>1037</v>
      </c>
      <c r="EP10" t="s">
        <v>987</v>
      </c>
      <c r="EQ10" t="s">
        <v>990</v>
      </c>
      <c r="ER10" t="s">
        <v>989</v>
      </c>
      <c r="ES10" t="s">
        <v>1205</v>
      </c>
      <c r="ET10" t="s">
        <v>1157</v>
      </c>
      <c r="EW10" t="s">
        <v>990</v>
      </c>
      <c r="EX10" t="s">
        <v>989</v>
      </c>
      <c r="EY10" t="s">
        <v>1205</v>
      </c>
      <c r="EZ10" t="s">
        <v>0</v>
      </c>
      <c r="FE10" t="s">
        <v>981</v>
      </c>
      <c r="FF10" t="s">
        <v>1119</v>
      </c>
    </row>
    <row r="11" spans="2:162" x14ac:dyDescent="0.35">
      <c r="B11" s="168" t="s">
        <v>1333</v>
      </c>
      <c r="L11" s="103" t="s">
        <v>1184</v>
      </c>
      <c r="M11" s="103" t="s">
        <v>1408</v>
      </c>
      <c r="N11" s="103" t="s">
        <v>209</v>
      </c>
      <c r="O11" s="154">
        <v>0.25</v>
      </c>
      <c r="P11" s="155">
        <v>0.5</v>
      </c>
      <c r="Q11" s="154">
        <v>0.75</v>
      </c>
      <c r="R11" s="103" t="s">
        <v>1154</v>
      </c>
      <c r="S11" s="103" t="s">
        <v>2018</v>
      </c>
      <c r="T11" s="103" t="s">
        <v>547</v>
      </c>
      <c r="W11" t="s">
        <v>1354</v>
      </c>
      <c r="X11" t="s">
        <v>1459</v>
      </c>
      <c r="Y11" t="s">
        <v>2146</v>
      </c>
      <c r="Z11">
        <v>0</v>
      </c>
      <c r="AA11" s="103" t="s">
        <v>1354</v>
      </c>
      <c r="AE11" s="103"/>
      <c r="AF11" s="103"/>
      <c r="AG11" s="103"/>
      <c r="AH11" s="103"/>
      <c r="AK11" s="103"/>
      <c r="AL11" s="103" t="s">
        <v>1477</v>
      </c>
      <c r="AM11">
        <v>50121015</v>
      </c>
      <c r="AN11" s="103" t="s">
        <v>907</v>
      </c>
      <c r="AO11" s="103" t="b">
        <v>1</v>
      </c>
      <c r="AP11" s="103" t="b">
        <v>1</v>
      </c>
      <c r="AQ11" s="103" t="b">
        <v>0</v>
      </c>
      <c r="AR11" t="s">
        <v>1966</v>
      </c>
      <c r="AS11" s="103" t="s">
        <v>2073</v>
      </c>
      <c r="AW11" s="103"/>
      <c r="AX11" s="103" t="s">
        <v>1490</v>
      </c>
      <c r="AY11">
        <v>50221026</v>
      </c>
      <c r="AZ11" s="103" t="s">
        <v>1491</v>
      </c>
      <c r="BA11" s="103" t="b">
        <v>1</v>
      </c>
      <c r="BB11" s="103" t="b">
        <v>0</v>
      </c>
      <c r="BC11" s="103" t="b">
        <v>1</v>
      </c>
      <c r="BD11" t="s">
        <v>2020</v>
      </c>
      <c r="BE11" s="103" t="s">
        <v>2124</v>
      </c>
      <c r="BH11" s="103" t="s">
        <v>1700</v>
      </c>
      <c r="BI11" s="103" t="s">
        <v>1646</v>
      </c>
      <c r="BJ11" s="103" t="s">
        <v>1701</v>
      </c>
      <c r="BK11" s="103" t="s">
        <v>1223</v>
      </c>
      <c r="BL11" t="s">
        <v>1702</v>
      </c>
      <c r="BM11" s="103"/>
      <c r="BN11" s="103" t="s">
        <v>1154</v>
      </c>
      <c r="BQ11" t="s">
        <v>1223</v>
      </c>
      <c r="BR11" s="103" t="s">
        <v>1223</v>
      </c>
      <c r="BU11" s="103" t="s">
        <v>1459</v>
      </c>
      <c r="BV11" s="103" t="b">
        <v>1</v>
      </c>
      <c r="BY11" s="103" t="s">
        <v>1372</v>
      </c>
      <c r="BZ11" s="103" t="s">
        <v>1716</v>
      </c>
      <c r="CA11" s="103" t="s">
        <v>2146</v>
      </c>
      <c r="CB11" s="103">
        <v>0</v>
      </c>
      <c r="CC11" s="103" t="s">
        <v>1373</v>
      </c>
      <c r="CF11" s="103" t="s">
        <v>2146</v>
      </c>
      <c r="CI11" s="103" t="s">
        <v>1747</v>
      </c>
      <c r="CJ11" s="103" t="b">
        <v>1</v>
      </c>
      <c r="CK11" s="103" t="s">
        <v>1748</v>
      </c>
      <c r="CN11" s="103" t="s">
        <v>422</v>
      </c>
      <c r="CQ11" s="103" t="s">
        <v>1385</v>
      </c>
      <c r="CR11" t="s">
        <v>1386</v>
      </c>
      <c r="CS11" s="103" t="s">
        <v>2061</v>
      </c>
      <c r="CV11" s="103" t="s">
        <v>1755</v>
      </c>
      <c r="CW11" s="103" t="s">
        <v>1756</v>
      </c>
      <c r="CX11" s="103" t="s">
        <v>2063</v>
      </c>
      <c r="DF11" s="103" t="s">
        <v>1774</v>
      </c>
      <c r="DG11" s="103" t="b">
        <v>1</v>
      </c>
      <c r="DH11" s="103" t="s">
        <v>20</v>
      </c>
      <c r="DI11" s="103" t="s">
        <v>1775</v>
      </c>
      <c r="DJ11" s="103" t="b">
        <v>0</v>
      </c>
      <c r="DM11" s="103"/>
      <c r="DR11" s="103" t="s">
        <v>1821</v>
      </c>
      <c r="DS11" s="103" t="s">
        <v>157</v>
      </c>
      <c r="DT11" s="103" t="s">
        <v>23</v>
      </c>
      <c r="DX11" t="s">
        <v>157</v>
      </c>
      <c r="EB11" s="103" t="s">
        <v>1792</v>
      </c>
      <c r="EC11" s="103" t="s">
        <v>1793</v>
      </c>
      <c r="ED11" s="103" t="b">
        <v>1</v>
      </c>
      <c r="EI11">
        <v>9</v>
      </c>
      <c r="EM11" s="103" t="s">
        <v>1821</v>
      </c>
      <c r="EN11" s="103" t="s">
        <v>157</v>
      </c>
      <c r="EO11" s="103" t="s">
        <v>23</v>
      </c>
      <c r="EP11" s="103" t="s">
        <v>1154</v>
      </c>
      <c r="ES11">
        <v>27</v>
      </c>
      <c r="ET11" t="s">
        <v>157</v>
      </c>
      <c r="EW11" s="165" t="s">
        <v>1878</v>
      </c>
      <c r="EX11" s="165" t="s">
        <v>1879</v>
      </c>
      <c r="EY11">
        <v>2</v>
      </c>
      <c r="EZ11" t="s">
        <v>1927</v>
      </c>
      <c r="FE11" s="103" t="s">
        <v>1459</v>
      </c>
      <c r="FF11">
        <v>0</v>
      </c>
    </row>
    <row r="12" spans="2:162" x14ac:dyDescent="0.35">
      <c r="L12" s="103" t="s">
        <v>1183</v>
      </c>
      <c r="M12" s="103" t="s">
        <v>1408</v>
      </c>
      <c r="N12" s="103" t="s">
        <v>212</v>
      </c>
      <c r="O12" s="154">
        <v>0.75</v>
      </c>
      <c r="P12" s="155">
        <v>0.5</v>
      </c>
      <c r="Q12" s="154">
        <v>0.25</v>
      </c>
      <c r="R12" s="103" t="s">
        <v>1154</v>
      </c>
      <c r="S12" s="103" t="s">
        <v>2019</v>
      </c>
      <c r="T12" s="103" t="s">
        <v>548</v>
      </c>
      <c r="W12" t="s">
        <v>1436</v>
      </c>
      <c r="X12" t="s">
        <v>1435</v>
      </c>
      <c r="Y12" t="s">
        <v>1437</v>
      </c>
      <c r="Z12">
        <v>0</v>
      </c>
      <c r="AA12" s="103" t="s">
        <v>1436</v>
      </c>
      <c r="AK12" s="103"/>
      <c r="AL12" s="103" t="s">
        <v>1478</v>
      </c>
      <c r="AM12">
        <v>50121016</v>
      </c>
      <c r="AN12" s="103" t="s">
        <v>948</v>
      </c>
      <c r="AO12" s="103" t="b">
        <v>1</v>
      </c>
      <c r="AP12" s="103" t="b">
        <v>1</v>
      </c>
      <c r="AQ12" s="103" t="b">
        <v>0</v>
      </c>
      <c r="AR12" t="s">
        <v>1967</v>
      </c>
      <c r="AS12" s="103" t="s">
        <v>2074</v>
      </c>
      <c r="AW12" s="103"/>
      <c r="AX12" s="103" t="s">
        <v>1496</v>
      </c>
      <c r="AY12">
        <v>50421030</v>
      </c>
      <c r="AZ12" s="103" t="s">
        <v>300</v>
      </c>
      <c r="BA12" s="103" t="b">
        <v>1</v>
      </c>
      <c r="BB12" s="103" t="b">
        <v>0</v>
      </c>
      <c r="BC12" s="103" t="b">
        <v>1</v>
      </c>
      <c r="BD12" t="s">
        <v>2021</v>
      </c>
      <c r="BE12" s="103" t="s">
        <v>2125</v>
      </c>
      <c r="BH12" s="103" t="s">
        <v>1659</v>
      </c>
      <c r="BI12" s="103" t="s">
        <v>1646</v>
      </c>
      <c r="BJ12" s="103" t="s">
        <v>1660</v>
      </c>
      <c r="BK12" s="103" t="s">
        <v>1232</v>
      </c>
      <c r="BL12" t="s">
        <v>1658</v>
      </c>
      <c r="BM12" s="103" t="s">
        <v>1223</v>
      </c>
      <c r="BN12" s="103" t="s">
        <v>1154</v>
      </c>
      <c r="BQ12" t="s">
        <v>1260</v>
      </c>
      <c r="BR12" s="103" t="s">
        <v>1260</v>
      </c>
      <c r="BU12" s="103" t="s">
        <v>1418</v>
      </c>
      <c r="BV12" s="103" t="b">
        <v>1</v>
      </c>
      <c r="BY12" s="103" t="s">
        <v>1372</v>
      </c>
      <c r="BZ12" s="103" t="s">
        <v>1716</v>
      </c>
      <c r="CA12" s="103" t="s">
        <v>1420</v>
      </c>
      <c r="CB12" s="103">
        <v>0</v>
      </c>
      <c r="CC12" s="103"/>
      <c r="CF12" s="103" t="s">
        <v>1420</v>
      </c>
      <c r="CI12" s="103" t="s">
        <v>1745</v>
      </c>
      <c r="CJ12" s="103" t="b">
        <v>1</v>
      </c>
      <c r="CK12" s="103" t="s">
        <v>1746</v>
      </c>
      <c r="CN12" s="103" t="s">
        <v>2050</v>
      </c>
      <c r="CQ12" s="103" t="s">
        <v>1389</v>
      </c>
      <c r="CR12" t="s">
        <v>1390</v>
      </c>
      <c r="CS12" s="103" t="s">
        <v>2062</v>
      </c>
      <c r="CV12" s="103" t="s">
        <v>1759</v>
      </c>
      <c r="CW12" s="103" t="s">
        <v>1760</v>
      </c>
      <c r="CX12" s="103" t="s">
        <v>2064</v>
      </c>
      <c r="DF12" s="103" t="s">
        <v>1776</v>
      </c>
      <c r="DG12" s="103" t="b">
        <v>1</v>
      </c>
      <c r="DH12" s="103" t="s">
        <v>23</v>
      </c>
      <c r="DI12" s="103" t="s">
        <v>1777</v>
      </c>
      <c r="DJ12" s="103" t="b">
        <v>0</v>
      </c>
      <c r="DM12" s="103"/>
      <c r="DR12" s="103" t="s">
        <v>1820</v>
      </c>
      <c r="DS12" s="103" t="s">
        <v>156</v>
      </c>
      <c r="DT12" s="103" t="s">
        <v>23</v>
      </c>
      <c r="DX12" t="s">
        <v>156</v>
      </c>
      <c r="EB12" s="103" t="s">
        <v>1789</v>
      </c>
      <c r="EC12" s="103" t="s">
        <v>1790</v>
      </c>
      <c r="ED12" s="103" t="b">
        <v>1</v>
      </c>
      <c r="EI12">
        <v>8</v>
      </c>
      <c r="EM12" s="103" t="s">
        <v>1820</v>
      </c>
      <c r="EN12" s="103" t="s">
        <v>156</v>
      </c>
      <c r="EO12" s="103" t="s">
        <v>23</v>
      </c>
      <c r="EP12" s="103" t="s">
        <v>1154</v>
      </c>
      <c r="ES12">
        <v>26</v>
      </c>
      <c r="ET12" t="s">
        <v>156</v>
      </c>
      <c r="EW12" s="165" t="s">
        <v>1876</v>
      </c>
      <c r="EX12" s="165" t="s">
        <v>1877</v>
      </c>
      <c r="EY12">
        <v>1</v>
      </c>
      <c r="EZ12" t="s">
        <v>1928</v>
      </c>
      <c r="FE12" s="103" t="s">
        <v>1427</v>
      </c>
      <c r="FF12">
        <v>30</v>
      </c>
    </row>
    <row r="13" spans="2:162" ht="15.5" x14ac:dyDescent="0.35">
      <c r="B13" s="169" t="s">
        <v>1093</v>
      </c>
      <c r="C13" s="158" t="s">
        <v>1068</v>
      </c>
      <c r="W13" t="s">
        <v>1361</v>
      </c>
      <c r="X13" t="s">
        <v>1434</v>
      </c>
      <c r="Y13" t="s">
        <v>1410</v>
      </c>
      <c r="Z13">
        <v>0</v>
      </c>
      <c r="AA13" s="103" t="s">
        <v>1361</v>
      </c>
      <c r="AK13" s="103"/>
      <c r="AL13" s="103" t="s">
        <v>1479</v>
      </c>
      <c r="AM13">
        <v>50121017</v>
      </c>
      <c r="AN13" s="103" t="s">
        <v>1480</v>
      </c>
      <c r="AO13" s="103" t="b">
        <v>1</v>
      </c>
      <c r="AP13" s="103" t="b">
        <v>1</v>
      </c>
      <c r="AQ13" s="103" t="b">
        <v>0</v>
      </c>
      <c r="AR13" t="s">
        <v>1968</v>
      </c>
      <c r="AS13" s="103" t="s">
        <v>2075</v>
      </c>
      <c r="AW13" s="103"/>
      <c r="AX13" s="103" t="s">
        <v>1499</v>
      </c>
      <c r="AY13">
        <v>50421033</v>
      </c>
      <c r="AZ13" s="103" t="s">
        <v>1306</v>
      </c>
      <c r="BA13" s="103" t="b">
        <v>1</v>
      </c>
      <c r="BB13" s="103" t="b">
        <v>0</v>
      </c>
      <c r="BC13" s="103" t="b">
        <v>1</v>
      </c>
      <c r="BD13" t="s">
        <v>2022</v>
      </c>
      <c r="BE13" s="103" t="s">
        <v>2126</v>
      </c>
      <c r="BH13" s="103" t="s">
        <v>1656</v>
      </c>
      <c r="BI13" s="103" t="s">
        <v>1646</v>
      </c>
      <c r="BJ13" s="103" t="s">
        <v>1657</v>
      </c>
      <c r="BK13" s="103" t="s">
        <v>1226</v>
      </c>
      <c r="BL13" t="s">
        <v>1658</v>
      </c>
      <c r="BM13" s="103" t="s">
        <v>1223</v>
      </c>
      <c r="BN13" s="103" t="s">
        <v>1154</v>
      </c>
      <c r="BQ13" t="s">
        <v>1261</v>
      </c>
      <c r="BR13" s="103" t="s">
        <v>2135</v>
      </c>
      <c r="BU13" s="103" t="s">
        <v>1461</v>
      </c>
      <c r="BV13" s="103" t="b">
        <v>1</v>
      </c>
      <c r="BY13" s="103" t="s">
        <v>1372</v>
      </c>
      <c r="BZ13" s="103" t="s">
        <v>1716</v>
      </c>
      <c r="CA13" s="103" t="s">
        <v>2046</v>
      </c>
      <c r="CB13" s="103">
        <v>0</v>
      </c>
      <c r="CC13" s="103" t="s">
        <v>1373</v>
      </c>
      <c r="CF13" s="103" t="s">
        <v>2046</v>
      </c>
      <c r="CI13" s="103" t="s">
        <v>1743</v>
      </c>
      <c r="CJ13" s="103" t="b">
        <v>1</v>
      </c>
      <c r="CK13" s="103" t="s">
        <v>1744</v>
      </c>
      <c r="CN13" s="103" t="s">
        <v>2051</v>
      </c>
      <c r="CQ13" s="103" t="s">
        <v>1383</v>
      </c>
      <c r="CR13" t="s">
        <v>1384</v>
      </c>
      <c r="CS13" s="103" t="s">
        <v>1384</v>
      </c>
      <c r="CV13" s="103" t="s">
        <v>1765</v>
      </c>
      <c r="CW13" s="103" t="s">
        <v>1766</v>
      </c>
      <c r="CX13" s="103" t="s">
        <v>2065</v>
      </c>
      <c r="DF13" s="103" t="s">
        <v>1778</v>
      </c>
      <c r="DG13" s="103" t="b">
        <v>1</v>
      </c>
      <c r="DH13" s="103" t="s">
        <v>1779</v>
      </c>
      <c r="DI13" s="103" t="s">
        <v>1780</v>
      </c>
      <c r="DJ13" s="103" t="b">
        <v>1</v>
      </c>
      <c r="DM13" s="103"/>
      <c r="DR13" s="103" t="s">
        <v>1823</v>
      </c>
      <c r="DS13" s="103" t="s">
        <v>1169</v>
      </c>
      <c r="DT13" s="103" t="s">
        <v>23</v>
      </c>
      <c r="DX13" t="s">
        <v>1169</v>
      </c>
      <c r="EB13" s="103" t="s">
        <v>1787</v>
      </c>
      <c r="EC13" s="103" t="s">
        <v>1238</v>
      </c>
      <c r="ED13" s="103" t="b">
        <v>0</v>
      </c>
      <c r="EI13">
        <v>7</v>
      </c>
      <c r="EM13" s="103" t="s">
        <v>1823</v>
      </c>
      <c r="EN13" s="103" t="s">
        <v>1169</v>
      </c>
      <c r="EO13" s="103" t="s">
        <v>23</v>
      </c>
      <c r="EP13" s="103" t="s">
        <v>1154</v>
      </c>
      <c r="ES13">
        <v>29</v>
      </c>
      <c r="ET13" t="s">
        <v>1169</v>
      </c>
      <c r="EW13" s="165" t="s">
        <v>1909</v>
      </c>
      <c r="EX13" s="165" t="s">
        <v>1910</v>
      </c>
      <c r="EY13">
        <v>19</v>
      </c>
      <c r="EZ13" t="s">
        <v>1929</v>
      </c>
      <c r="FE13" s="103" t="s">
        <v>1422</v>
      </c>
      <c r="FF13">
        <v>0</v>
      </c>
    </row>
    <row r="14" spans="2:162" x14ac:dyDescent="0.35">
      <c r="W14" t="s">
        <v>1206</v>
      </c>
      <c r="X14" t="s">
        <v>1452</v>
      </c>
      <c r="Y14" t="s">
        <v>1410</v>
      </c>
      <c r="Z14">
        <v>0</v>
      </c>
      <c r="AA14" s="103" t="s">
        <v>1206</v>
      </c>
      <c r="AK14" s="103"/>
      <c r="AL14" s="103" t="s">
        <v>1481</v>
      </c>
      <c r="AM14">
        <v>50121018</v>
      </c>
      <c r="AN14" s="103" t="s">
        <v>950</v>
      </c>
      <c r="AO14" s="103" t="b">
        <v>1</v>
      </c>
      <c r="AP14" s="103" t="b">
        <v>1</v>
      </c>
      <c r="AQ14" s="103" t="b">
        <v>0</v>
      </c>
      <c r="AR14" t="s">
        <v>1969</v>
      </c>
      <c r="AS14" s="103" t="s">
        <v>2076</v>
      </c>
      <c r="AW14" s="103"/>
      <c r="AX14" s="103" t="s">
        <v>1506</v>
      </c>
      <c r="AY14">
        <v>50621034</v>
      </c>
      <c r="AZ14" s="103" t="s">
        <v>1507</v>
      </c>
      <c r="BA14" s="103" t="b">
        <v>1</v>
      </c>
      <c r="BB14" s="103" t="b">
        <v>0</v>
      </c>
      <c r="BC14" s="103" t="b">
        <v>1</v>
      </c>
      <c r="BD14" t="s">
        <v>2023</v>
      </c>
      <c r="BE14" s="103" t="s">
        <v>2127</v>
      </c>
      <c r="BH14" s="103" t="s">
        <v>1668</v>
      </c>
      <c r="BI14" s="103" t="s">
        <v>1646</v>
      </c>
      <c r="BJ14" s="103" t="s">
        <v>1669</v>
      </c>
      <c r="BK14" s="103" t="s">
        <v>1232</v>
      </c>
      <c r="BL14" t="s">
        <v>1670</v>
      </c>
      <c r="BM14" s="103"/>
      <c r="BN14" s="103" t="s">
        <v>1154</v>
      </c>
      <c r="BQ14" t="s">
        <v>1232</v>
      </c>
      <c r="BR14" s="103" t="s">
        <v>1232</v>
      </c>
      <c r="BU14" s="103" t="s">
        <v>1427</v>
      </c>
      <c r="BV14" s="103" t="b">
        <v>1</v>
      </c>
      <c r="BY14" s="103" t="s">
        <v>1372</v>
      </c>
      <c r="BZ14" s="103" t="s">
        <v>1719</v>
      </c>
      <c r="CA14" s="103" t="s">
        <v>2145</v>
      </c>
      <c r="CB14" s="103">
        <v>30</v>
      </c>
      <c r="CC14" s="103" t="s">
        <v>1373</v>
      </c>
      <c r="CF14" s="103" t="s">
        <v>2145</v>
      </c>
      <c r="CI14" s="103" t="s">
        <v>1739</v>
      </c>
      <c r="CJ14" s="103" t="b">
        <v>1</v>
      </c>
      <c r="CK14" s="103" t="s">
        <v>1740</v>
      </c>
      <c r="CN14" s="103" t="s">
        <v>2052</v>
      </c>
      <c r="CQ14" s="103" t="s">
        <v>1375</v>
      </c>
      <c r="CR14" t="s">
        <v>1376</v>
      </c>
      <c r="CS14" s="103" t="s">
        <v>1376</v>
      </c>
      <c r="CV14" s="103" t="s">
        <v>1751</v>
      </c>
      <c r="CW14" s="103" t="s">
        <v>1752</v>
      </c>
      <c r="CX14" s="103" t="s">
        <v>2066</v>
      </c>
      <c r="DF14" s="103" t="s">
        <v>1781</v>
      </c>
      <c r="DG14" s="103" t="b">
        <v>1</v>
      </c>
      <c r="DH14" s="103" t="s">
        <v>1240</v>
      </c>
      <c r="DI14" s="103" t="s">
        <v>1782</v>
      </c>
      <c r="DJ14" s="103" t="b">
        <v>1</v>
      </c>
      <c r="DM14" s="103"/>
      <c r="DR14" s="103" t="s">
        <v>1822</v>
      </c>
      <c r="DS14" s="103" t="s">
        <v>1168</v>
      </c>
      <c r="DT14" s="103" t="s">
        <v>23</v>
      </c>
      <c r="DX14" t="s">
        <v>1168</v>
      </c>
      <c r="EB14" s="103" t="s">
        <v>1785</v>
      </c>
      <c r="EC14" s="103" t="s">
        <v>1239</v>
      </c>
      <c r="ED14" s="103" t="b">
        <v>0</v>
      </c>
      <c r="EI14">
        <v>6</v>
      </c>
      <c r="EM14" s="103" t="s">
        <v>1822</v>
      </c>
      <c r="EN14" s="103" t="s">
        <v>1168</v>
      </c>
      <c r="EO14" s="103" t="s">
        <v>23</v>
      </c>
      <c r="EP14" s="103" t="s">
        <v>1154</v>
      </c>
      <c r="ES14">
        <v>28</v>
      </c>
      <c r="ET14" t="s">
        <v>1168</v>
      </c>
      <c r="EW14" s="165" t="s">
        <v>1907</v>
      </c>
      <c r="EX14" s="165" t="s">
        <v>1908</v>
      </c>
      <c r="EY14">
        <v>18</v>
      </c>
      <c r="EZ14" t="s">
        <v>1930</v>
      </c>
      <c r="FE14" s="103" t="s">
        <v>1463</v>
      </c>
      <c r="FF14">
        <v>0</v>
      </c>
    </row>
    <row r="15" spans="2:162" x14ac:dyDescent="0.35">
      <c r="B15" t="s">
        <v>1147</v>
      </c>
      <c r="W15" t="s">
        <v>1356</v>
      </c>
      <c r="X15" t="s">
        <v>1409</v>
      </c>
      <c r="Y15" t="s">
        <v>1410</v>
      </c>
      <c r="Z15">
        <v>0</v>
      </c>
      <c r="AA15" s="103" t="s">
        <v>1356</v>
      </c>
      <c r="AK15" s="103"/>
      <c r="AL15" s="103" t="s">
        <v>1482</v>
      </c>
      <c r="AM15">
        <v>50121019</v>
      </c>
      <c r="AN15" s="103" t="s">
        <v>951</v>
      </c>
      <c r="AO15" s="103" t="b">
        <v>1</v>
      </c>
      <c r="AP15" s="103" t="b">
        <v>1</v>
      </c>
      <c r="AQ15" s="103" t="b">
        <v>0</v>
      </c>
      <c r="AR15" t="s">
        <v>1970</v>
      </c>
      <c r="AS15" s="103" t="s">
        <v>2077</v>
      </c>
      <c r="AW15" s="103"/>
      <c r="AX15" s="103" t="s">
        <v>1508</v>
      </c>
      <c r="AY15">
        <v>50621037</v>
      </c>
      <c r="AZ15" s="103" t="s">
        <v>1155</v>
      </c>
      <c r="BA15" s="103" t="b">
        <v>1</v>
      </c>
      <c r="BB15" s="103" t="b">
        <v>0</v>
      </c>
      <c r="BC15" s="103" t="b">
        <v>1</v>
      </c>
      <c r="BD15" t="s">
        <v>2024</v>
      </c>
      <c r="BE15" s="103" t="s">
        <v>2128</v>
      </c>
      <c r="BH15" s="103" t="s">
        <v>1688</v>
      </c>
      <c r="BI15" s="103" t="s">
        <v>1646</v>
      </c>
      <c r="BJ15" s="103" t="s">
        <v>1689</v>
      </c>
      <c r="BK15" s="103" t="s">
        <v>1690</v>
      </c>
      <c r="BL15" t="s">
        <v>1670</v>
      </c>
      <c r="BM15" s="103"/>
      <c r="BN15" s="103" t="s">
        <v>1154</v>
      </c>
      <c r="BQ15" t="s">
        <v>1690</v>
      </c>
      <c r="BR15" s="103" t="s">
        <v>1690</v>
      </c>
      <c r="BU15" s="103" t="s">
        <v>1429</v>
      </c>
      <c r="BV15" s="103" t="b">
        <v>1</v>
      </c>
      <c r="BY15" s="103" t="s">
        <v>1372</v>
      </c>
      <c r="BZ15" s="103" t="s">
        <v>1719</v>
      </c>
      <c r="CA15" s="103" t="s">
        <v>2142</v>
      </c>
      <c r="CB15" s="103">
        <v>50</v>
      </c>
      <c r="CC15" s="103" t="s">
        <v>1373</v>
      </c>
      <c r="CF15" s="103" t="s">
        <v>2143</v>
      </c>
      <c r="CI15" s="103" t="s">
        <v>1741</v>
      </c>
      <c r="CJ15" s="103" t="b">
        <v>1</v>
      </c>
      <c r="CK15" s="103" t="s">
        <v>1742</v>
      </c>
      <c r="CN15" s="103" t="s">
        <v>2053</v>
      </c>
      <c r="CQ15" s="103" t="s">
        <v>1391</v>
      </c>
      <c r="CR15" t="s">
        <v>1392</v>
      </c>
      <c r="CS15" s="103" t="s">
        <v>1392</v>
      </c>
      <c r="CV15" s="103" t="s">
        <v>1770</v>
      </c>
      <c r="CW15" s="103" t="s">
        <v>1771</v>
      </c>
      <c r="CX15" s="103" t="s">
        <v>2067</v>
      </c>
      <c r="DF15" s="103" t="s">
        <v>1783</v>
      </c>
      <c r="DG15" s="103" t="b">
        <v>1</v>
      </c>
      <c r="DH15" s="103" t="s">
        <v>24</v>
      </c>
      <c r="DI15" s="103" t="s">
        <v>1784</v>
      </c>
      <c r="DJ15" s="103" t="b">
        <v>0</v>
      </c>
      <c r="DM15" s="103"/>
      <c r="DR15" s="103" t="s">
        <v>1819</v>
      </c>
      <c r="DS15" s="103" t="s">
        <v>160</v>
      </c>
      <c r="DT15" s="103" t="s">
        <v>23</v>
      </c>
      <c r="DX15" t="s">
        <v>160</v>
      </c>
      <c r="EB15" s="103" t="s">
        <v>1783</v>
      </c>
      <c r="EC15" s="103" t="s">
        <v>24</v>
      </c>
      <c r="ED15" s="103" t="b">
        <v>0</v>
      </c>
      <c r="EI15">
        <v>5</v>
      </c>
      <c r="EM15" s="103" t="s">
        <v>1819</v>
      </c>
      <c r="EN15" s="103" t="s">
        <v>160</v>
      </c>
      <c r="EO15" s="103" t="s">
        <v>23</v>
      </c>
      <c r="EP15" s="103" t="s">
        <v>1154</v>
      </c>
      <c r="ES15">
        <v>25</v>
      </c>
      <c r="ET15" t="s">
        <v>160</v>
      </c>
      <c r="EW15" s="165" t="s">
        <v>1905</v>
      </c>
      <c r="EX15" s="165" t="s">
        <v>1906</v>
      </c>
      <c r="EY15">
        <v>17</v>
      </c>
      <c r="EZ15" t="s">
        <v>1931</v>
      </c>
      <c r="FE15" s="103" t="s">
        <v>1461</v>
      </c>
      <c r="FF15">
        <v>0</v>
      </c>
    </row>
    <row r="16" spans="2:162" x14ac:dyDescent="0.35">
      <c r="B16" t="s">
        <v>1132</v>
      </c>
      <c r="W16" t="s">
        <v>1348</v>
      </c>
      <c r="X16" t="s">
        <v>1439</v>
      </c>
      <c r="Y16" t="s">
        <v>1410</v>
      </c>
      <c r="Z16">
        <v>0</v>
      </c>
      <c r="AA16" s="103" t="s">
        <v>1348</v>
      </c>
      <c r="AK16" s="103"/>
      <c r="AL16" s="103" t="s">
        <v>1483</v>
      </c>
      <c r="AM16">
        <v>50121020</v>
      </c>
      <c r="AN16" s="103" t="s">
        <v>952</v>
      </c>
      <c r="AO16" s="103" t="b">
        <v>1</v>
      </c>
      <c r="AP16" s="103" t="b">
        <v>1</v>
      </c>
      <c r="AQ16" s="103" t="b">
        <v>0</v>
      </c>
      <c r="AR16" t="s">
        <v>1971</v>
      </c>
      <c r="AS16" s="103" t="s">
        <v>2078</v>
      </c>
      <c r="AW16" s="103"/>
      <c r="AX16" s="103" t="s">
        <v>1546</v>
      </c>
      <c r="AY16">
        <v>50721058</v>
      </c>
      <c r="AZ16" s="103" t="s">
        <v>1547</v>
      </c>
      <c r="BA16" s="103" t="b">
        <v>1</v>
      </c>
      <c r="BB16" s="103" t="b">
        <v>0</v>
      </c>
      <c r="BC16" s="103" t="b">
        <v>1</v>
      </c>
      <c r="BD16" t="s">
        <v>2025</v>
      </c>
      <c r="BE16" s="103" t="s">
        <v>2129</v>
      </c>
      <c r="BH16" s="103" t="s">
        <v>1675</v>
      </c>
      <c r="BI16" s="103" t="s">
        <v>1646</v>
      </c>
      <c r="BJ16" s="103" t="s">
        <v>1676</v>
      </c>
      <c r="BK16" s="103" t="s">
        <v>1677</v>
      </c>
      <c r="BL16" t="s">
        <v>1670</v>
      </c>
      <c r="BM16" s="103"/>
      <c r="BN16" s="103" t="s">
        <v>1154</v>
      </c>
      <c r="BQ16" t="s">
        <v>1677</v>
      </c>
      <c r="BR16" s="103" t="s">
        <v>2136</v>
      </c>
      <c r="BU16" s="103" t="s">
        <v>1187</v>
      </c>
      <c r="BV16" s="103" t="b">
        <v>1</v>
      </c>
      <c r="BY16" s="103" t="s">
        <v>1372</v>
      </c>
      <c r="BZ16" s="103" t="s">
        <v>1717</v>
      </c>
      <c r="CA16" s="103" t="s">
        <v>1441</v>
      </c>
      <c r="CB16" s="103">
        <v>0</v>
      </c>
      <c r="CC16" s="103"/>
      <c r="CF16" s="103" t="s">
        <v>1441</v>
      </c>
      <c r="CI16" s="103" t="s">
        <v>1749</v>
      </c>
      <c r="CJ16" s="103" t="b">
        <v>1</v>
      </c>
      <c r="CK16" s="103" t="s">
        <v>1750</v>
      </c>
      <c r="CN16" s="103" t="s">
        <v>460</v>
      </c>
      <c r="CQ16" s="103" t="s">
        <v>1381</v>
      </c>
      <c r="CR16" t="s">
        <v>1382</v>
      </c>
      <c r="CS16" s="103" t="s">
        <v>1382</v>
      </c>
      <c r="CV16" s="103" t="s">
        <v>1772</v>
      </c>
      <c r="CW16" s="103" t="s">
        <v>1773</v>
      </c>
      <c r="CX16" s="103" t="s">
        <v>2068</v>
      </c>
      <c r="DF16" s="103" t="s">
        <v>1785</v>
      </c>
      <c r="DG16" s="103" t="b">
        <v>1</v>
      </c>
      <c r="DH16" s="103" t="s">
        <v>1239</v>
      </c>
      <c r="DI16" s="103" t="s">
        <v>1786</v>
      </c>
      <c r="DJ16" s="103" t="b">
        <v>0</v>
      </c>
      <c r="DM16" s="103"/>
      <c r="DR16" s="103" t="s">
        <v>1816</v>
      </c>
      <c r="DS16" s="103" t="s">
        <v>158</v>
      </c>
      <c r="DT16" s="103" t="s">
        <v>23</v>
      </c>
      <c r="DX16" t="s">
        <v>158</v>
      </c>
      <c r="EB16" s="103" t="s">
        <v>1781</v>
      </c>
      <c r="EC16" s="103" t="s">
        <v>1240</v>
      </c>
      <c r="ED16" s="103" t="b">
        <v>1</v>
      </c>
      <c r="EI16">
        <v>4</v>
      </c>
      <c r="EM16" s="103" t="s">
        <v>1816</v>
      </c>
      <c r="EN16" s="103" t="s">
        <v>158</v>
      </c>
      <c r="EO16" s="103" t="s">
        <v>23</v>
      </c>
      <c r="EP16" s="103" t="s">
        <v>1154</v>
      </c>
      <c r="ES16">
        <v>22</v>
      </c>
      <c r="ET16" t="s">
        <v>158</v>
      </c>
      <c r="EW16" s="165" t="s">
        <v>1903</v>
      </c>
      <c r="EX16" s="165" t="s">
        <v>1904</v>
      </c>
      <c r="EY16">
        <v>16</v>
      </c>
      <c r="EZ16" t="s">
        <v>1932</v>
      </c>
      <c r="FE16" s="103" t="s">
        <v>1458</v>
      </c>
      <c r="FF16">
        <v>0</v>
      </c>
    </row>
    <row r="17" spans="2:162" x14ac:dyDescent="0.35">
      <c r="B17" t="s">
        <v>1148</v>
      </c>
      <c r="W17" t="s">
        <v>1355</v>
      </c>
      <c r="X17" t="s">
        <v>1447</v>
      </c>
      <c r="Y17" t="s">
        <v>1410</v>
      </c>
      <c r="Z17">
        <v>0</v>
      </c>
      <c r="AA17" s="103" t="s">
        <v>1355</v>
      </c>
      <c r="AK17" s="103"/>
      <c r="AL17" s="103" t="s">
        <v>1484</v>
      </c>
      <c r="AM17">
        <v>50121021</v>
      </c>
      <c r="AN17" s="103" t="s">
        <v>945</v>
      </c>
      <c r="AO17" s="103" t="b">
        <v>1</v>
      </c>
      <c r="AP17" s="103" t="b">
        <v>1</v>
      </c>
      <c r="AQ17" s="103" t="b">
        <v>0</v>
      </c>
      <c r="AR17" t="s">
        <v>1972</v>
      </c>
      <c r="AS17" s="103" t="s">
        <v>2079</v>
      </c>
      <c r="AW17" s="103"/>
      <c r="AX17" s="103" t="s">
        <v>1589</v>
      </c>
      <c r="AY17">
        <v>50721097</v>
      </c>
      <c r="AZ17" s="103" t="s">
        <v>874</v>
      </c>
      <c r="BA17" s="103" t="b">
        <v>1</v>
      </c>
      <c r="BB17" s="103" t="b">
        <v>0</v>
      </c>
      <c r="BC17" s="103" t="b">
        <v>1</v>
      </c>
      <c r="BD17" t="s">
        <v>2026</v>
      </c>
      <c r="BE17" s="103" t="s">
        <v>2130</v>
      </c>
      <c r="BH17" s="103" t="s">
        <v>1712</v>
      </c>
      <c r="BI17" s="103" t="s">
        <v>1646</v>
      </c>
      <c r="BJ17" s="103" t="s">
        <v>1713</v>
      </c>
      <c r="BK17" s="103" t="s">
        <v>1215</v>
      </c>
      <c r="BL17" t="s">
        <v>1714</v>
      </c>
      <c r="BM17" s="103"/>
      <c r="BN17" s="103" t="s">
        <v>1154</v>
      </c>
      <c r="BQ17" t="s">
        <v>1215</v>
      </c>
      <c r="BR17" s="103" t="s">
        <v>1215</v>
      </c>
      <c r="BU17" s="103" t="s">
        <v>1443</v>
      </c>
      <c r="BV17" s="103" t="b">
        <v>1</v>
      </c>
      <c r="BY17" s="103" t="s">
        <v>1372</v>
      </c>
      <c r="BZ17" s="103" t="s">
        <v>1717</v>
      </c>
      <c r="CA17" s="103" t="s">
        <v>1413</v>
      </c>
      <c r="CB17" s="103">
        <v>0</v>
      </c>
      <c r="CC17" s="103"/>
      <c r="CF17" s="103" t="s">
        <v>1413</v>
      </c>
      <c r="CI17" s="103" t="s">
        <v>1737</v>
      </c>
      <c r="CJ17" s="103" t="b">
        <v>1</v>
      </c>
      <c r="CK17" s="103" t="s">
        <v>1738</v>
      </c>
      <c r="CN17" s="103" t="s">
        <v>465</v>
      </c>
      <c r="CQ17" s="103" t="s">
        <v>1377</v>
      </c>
      <c r="CR17" t="s">
        <v>1378</v>
      </c>
      <c r="CS17" s="103" t="s">
        <v>1378</v>
      </c>
      <c r="CV17" s="103" t="s">
        <v>1762</v>
      </c>
      <c r="CW17" s="103" t="s">
        <v>1763</v>
      </c>
      <c r="CX17" s="103" t="s">
        <v>1763</v>
      </c>
      <c r="DF17" s="103" t="s">
        <v>1787</v>
      </c>
      <c r="DG17" s="103" t="b">
        <v>1</v>
      </c>
      <c r="DH17" s="103" t="s">
        <v>1238</v>
      </c>
      <c r="DI17" s="103" t="s">
        <v>1788</v>
      </c>
      <c r="DJ17" s="103" t="b">
        <v>0</v>
      </c>
      <c r="DM17" s="103"/>
      <c r="DR17" s="103" t="s">
        <v>1815</v>
      </c>
      <c r="DS17" s="103" t="s">
        <v>1165</v>
      </c>
      <c r="DT17" s="103" t="s">
        <v>23</v>
      </c>
      <c r="DX17" t="s">
        <v>1165</v>
      </c>
      <c r="EB17" s="103" t="s">
        <v>1778</v>
      </c>
      <c r="EC17" s="103" t="s">
        <v>1779</v>
      </c>
      <c r="ED17" s="103" t="b">
        <v>1</v>
      </c>
      <c r="EI17">
        <v>3</v>
      </c>
      <c r="EM17" s="103" t="s">
        <v>1815</v>
      </c>
      <c r="EN17" s="103" t="s">
        <v>1165</v>
      </c>
      <c r="EO17" s="103" t="s">
        <v>23</v>
      </c>
      <c r="EP17" s="103" t="s">
        <v>1154</v>
      </c>
      <c r="ES17">
        <v>21</v>
      </c>
      <c r="ET17" t="s">
        <v>1165</v>
      </c>
      <c r="EW17" s="165" t="s">
        <v>1901</v>
      </c>
      <c r="EX17" s="165" t="s">
        <v>1902</v>
      </c>
      <c r="EY17">
        <v>15</v>
      </c>
      <c r="EZ17" t="s">
        <v>1933</v>
      </c>
      <c r="FE17" s="103" t="s">
        <v>1457</v>
      </c>
      <c r="FF17">
        <v>0</v>
      </c>
    </row>
    <row r="18" spans="2:162" x14ac:dyDescent="0.35">
      <c r="W18" t="s">
        <v>1360</v>
      </c>
      <c r="X18" t="s">
        <v>1432</v>
      </c>
      <c r="Y18" t="s">
        <v>1410</v>
      </c>
      <c r="Z18">
        <v>0</v>
      </c>
      <c r="AA18" s="103" t="s">
        <v>1360</v>
      </c>
      <c r="AK18" s="103"/>
      <c r="AL18" s="103" t="s">
        <v>1485</v>
      </c>
      <c r="AM18">
        <v>50121022</v>
      </c>
      <c r="AN18" s="103" t="s">
        <v>953</v>
      </c>
      <c r="AO18" s="103" t="b">
        <v>1</v>
      </c>
      <c r="AP18" s="103" t="b">
        <v>1</v>
      </c>
      <c r="AQ18" s="103" t="b">
        <v>0</v>
      </c>
      <c r="AR18" t="s">
        <v>1973</v>
      </c>
      <c r="AS18" s="103" t="s">
        <v>2080</v>
      </c>
      <c r="AW18" s="103"/>
      <c r="AX18" s="103" t="s">
        <v>1596</v>
      </c>
      <c r="AY18">
        <v>50721103</v>
      </c>
      <c r="AZ18" s="103" t="s">
        <v>1597</v>
      </c>
      <c r="BA18" s="103" t="b">
        <v>1</v>
      </c>
      <c r="BB18" s="103" t="b">
        <v>0</v>
      </c>
      <c r="BC18" s="103" t="b">
        <v>1</v>
      </c>
      <c r="BD18" t="s">
        <v>2027</v>
      </c>
      <c r="BE18" s="103" t="s">
        <v>2131</v>
      </c>
      <c r="BH18" s="103" t="s">
        <v>1709</v>
      </c>
      <c r="BI18" s="103" t="s">
        <v>1646</v>
      </c>
      <c r="BJ18" s="103" t="s">
        <v>1710</v>
      </c>
      <c r="BK18" s="103" t="s">
        <v>1711</v>
      </c>
      <c r="BL18" t="s">
        <v>1712</v>
      </c>
      <c r="BM18" s="103" t="s">
        <v>1215</v>
      </c>
      <c r="BN18" s="103" t="s">
        <v>1154</v>
      </c>
      <c r="BQ18" t="s">
        <v>2017</v>
      </c>
      <c r="BR18" s="103" t="s">
        <v>2017</v>
      </c>
      <c r="BU18" s="103" t="s">
        <v>1435</v>
      </c>
      <c r="BV18" s="103" t="b">
        <v>1</v>
      </c>
      <c r="BY18" s="103" t="s">
        <v>1372</v>
      </c>
      <c r="BZ18" s="103" t="s">
        <v>1717</v>
      </c>
      <c r="CA18" s="103" t="s">
        <v>1437</v>
      </c>
      <c r="CB18" s="103">
        <v>0</v>
      </c>
      <c r="CC18" s="103"/>
      <c r="CF18" s="103" t="s">
        <v>1437</v>
      </c>
      <c r="CI18" s="103" t="s">
        <v>1733</v>
      </c>
      <c r="CJ18" s="103" t="b">
        <v>1</v>
      </c>
      <c r="CK18" s="103" t="s">
        <v>1734</v>
      </c>
      <c r="CN18" s="103" t="s">
        <v>2054</v>
      </c>
      <c r="CQ18" s="103" t="s">
        <v>1387</v>
      </c>
      <c r="CR18" t="s">
        <v>1388</v>
      </c>
      <c r="CS18" s="103" t="s">
        <v>1388</v>
      </c>
      <c r="CV18" s="103" t="s">
        <v>1764</v>
      </c>
      <c r="CW18" s="103" t="s">
        <v>315</v>
      </c>
      <c r="CX18" s="103" t="s">
        <v>315</v>
      </c>
      <c r="DF18" s="103" t="s">
        <v>1789</v>
      </c>
      <c r="DG18" s="103" t="b">
        <v>1</v>
      </c>
      <c r="DH18" s="103" t="s">
        <v>1790</v>
      </c>
      <c r="DI18" s="103" t="s">
        <v>1791</v>
      </c>
      <c r="DJ18" s="103" t="b">
        <v>1</v>
      </c>
      <c r="DM18" s="103"/>
      <c r="DR18" s="103" t="s">
        <v>1818</v>
      </c>
      <c r="DS18" s="103" t="s">
        <v>1167</v>
      </c>
      <c r="DT18" s="103" t="s">
        <v>23</v>
      </c>
      <c r="DX18" t="s">
        <v>1167</v>
      </c>
      <c r="EB18" s="103" t="s">
        <v>1776</v>
      </c>
      <c r="EC18" s="103" t="s">
        <v>23</v>
      </c>
      <c r="ED18" s="103" t="b">
        <v>0</v>
      </c>
      <c r="EI18">
        <v>2</v>
      </c>
      <c r="EM18" s="103" t="s">
        <v>1818</v>
      </c>
      <c r="EN18" s="103" t="s">
        <v>1167</v>
      </c>
      <c r="EO18" s="103" t="s">
        <v>23</v>
      </c>
      <c r="EP18" s="103" t="s">
        <v>1154</v>
      </c>
      <c r="ES18">
        <v>24</v>
      </c>
      <c r="ET18" t="s">
        <v>1167</v>
      </c>
      <c r="EW18" s="165" t="s">
        <v>1899</v>
      </c>
      <c r="EX18" s="165" t="s">
        <v>1900</v>
      </c>
      <c r="EY18">
        <v>14</v>
      </c>
      <c r="EZ18" t="s">
        <v>1934</v>
      </c>
      <c r="FE18" s="103" t="s">
        <v>1456</v>
      </c>
      <c r="FF18">
        <v>0</v>
      </c>
    </row>
    <row r="19" spans="2:162" x14ac:dyDescent="0.35">
      <c r="W19" t="s">
        <v>1462</v>
      </c>
      <c r="X19" t="s">
        <v>1461</v>
      </c>
      <c r="Y19" t="s">
        <v>2046</v>
      </c>
      <c r="Z19">
        <v>0</v>
      </c>
      <c r="AA19" s="103" t="s">
        <v>1462</v>
      </c>
      <c r="AK19" s="103"/>
      <c r="AL19" s="103" t="s">
        <v>1486</v>
      </c>
      <c r="AM19">
        <v>50121023</v>
      </c>
      <c r="AN19" s="103" t="s">
        <v>954</v>
      </c>
      <c r="AO19" s="103" t="b">
        <v>1</v>
      </c>
      <c r="AP19" s="103" t="b">
        <v>1</v>
      </c>
      <c r="AQ19" s="103" t="b">
        <v>0</v>
      </c>
      <c r="AR19" t="s">
        <v>1974</v>
      </c>
      <c r="AS19" s="103" t="s">
        <v>2081</v>
      </c>
      <c r="AW19" s="103"/>
      <c r="AX19" s="103" t="s">
        <v>1617</v>
      </c>
      <c r="AY19">
        <v>50821118</v>
      </c>
      <c r="AZ19" s="103" t="s">
        <v>1618</v>
      </c>
      <c r="BA19" s="103" t="b">
        <v>1</v>
      </c>
      <c r="BB19" s="103" t="b">
        <v>0</v>
      </c>
      <c r="BC19" s="103" t="b">
        <v>1</v>
      </c>
      <c r="BD19" t="s">
        <v>2028</v>
      </c>
      <c r="BE19" s="103" t="s">
        <v>2132</v>
      </c>
      <c r="BH19" s="103" t="s">
        <v>1691</v>
      </c>
      <c r="BI19" s="103" t="s">
        <v>1646</v>
      </c>
      <c r="BJ19" s="103" t="s">
        <v>1692</v>
      </c>
      <c r="BK19" s="103" t="s">
        <v>1693</v>
      </c>
      <c r="BL19" t="s">
        <v>1694</v>
      </c>
      <c r="BM19" s="103"/>
      <c r="BN19" s="103" t="s">
        <v>1154</v>
      </c>
      <c r="BQ19" t="s">
        <v>1693</v>
      </c>
      <c r="BR19" s="103" t="s">
        <v>2137</v>
      </c>
      <c r="BU19" s="103" t="s">
        <v>1185</v>
      </c>
      <c r="BV19" s="103" t="b">
        <v>1</v>
      </c>
      <c r="BY19" s="103" t="s">
        <v>1372</v>
      </c>
      <c r="BZ19" s="103" t="s">
        <v>1717</v>
      </c>
      <c r="CA19" s="103" t="s">
        <v>1421</v>
      </c>
      <c r="CB19" s="103">
        <v>0</v>
      </c>
      <c r="CC19" s="103"/>
      <c r="CF19" s="103" t="s">
        <v>1421</v>
      </c>
      <c r="CI19" s="103" t="s">
        <v>1726</v>
      </c>
      <c r="CJ19" s="103" t="b">
        <v>1</v>
      </c>
      <c r="CK19" s="103" t="s">
        <v>1727</v>
      </c>
      <c r="CN19" s="103" t="s">
        <v>2055</v>
      </c>
      <c r="CQ19" s="103" t="s">
        <v>1379</v>
      </c>
      <c r="CR19" t="s">
        <v>1380</v>
      </c>
      <c r="CS19" s="103" t="s">
        <v>1380</v>
      </c>
      <c r="CV19" s="103" t="s">
        <v>1761</v>
      </c>
      <c r="CW19" s="103" t="s">
        <v>331</v>
      </c>
      <c r="CX19" s="103" t="s">
        <v>331</v>
      </c>
      <c r="DF19" s="103" t="s">
        <v>1792</v>
      </c>
      <c r="DG19" s="103" t="b">
        <v>1</v>
      </c>
      <c r="DH19" s="103" t="s">
        <v>1793</v>
      </c>
      <c r="DI19" s="103" t="s">
        <v>1794</v>
      </c>
      <c r="DJ19" s="103" t="b">
        <v>1</v>
      </c>
      <c r="DM19" s="103"/>
      <c r="DR19" s="103" t="s">
        <v>1817</v>
      </c>
      <c r="DS19" s="103" t="s">
        <v>1166</v>
      </c>
      <c r="DT19" s="103" t="s">
        <v>23</v>
      </c>
      <c r="DX19" t="s">
        <v>1166</v>
      </c>
      <c r="EB19" s="103" t="s">
        <v>1774</v>
      </c>
      <c r="EC19" s="103" t="s">
        <v>20</v>
      </c>
      <c r="ED19" s="103" t="b">
        <v>0</v>
      </c>
      <c r="EI19">
        <v>1</v>
      </c>
      <c r="EM19" s="103" t="s">
        <v>1817</v>
      </c>
      <c r="EN19" s="103" t="s">
        <v>1166</v>
      </c>
      <c r="EO19" s="103" t="s">
        <v>23</v>
      </c>
      <c r="EP19" s="103" t="s">
        <v>1154</v>
      </c>
      <c r="ES19">
        <v>23</v>
      </c>
      <c r="ET19" t="s">
        <v>1166</v>
      </c>
      <c r="EW19" s="165" t="s">
        <v>1897</v>
      </c>
      <c r="EX19" s="165" t="s">
        <v>1898</v>
      </c>
      <c r="EY19">
        <v>13</v>
      </c>
      <c r="EZ19" t="s">
        <v>1935</v>
      </c>
      <c r="FE19" s="103" t="s">
        <v>1454</v>
      </c>
      <c r="FF19">
        <v>0</v>
      </c>
    </row>
    <row r="20" spans="2:162" x14ac:dyDescent="0.35">
      <c r="W20" t="s">
        <v>1450</v>
      </c>
      <c r="X20" t="s">
        <v>1449</v>
      </c>
      <c r="Y20" t="s">
        <v>1416</v>
      </c>
      <c r="Z20">
        <v>0</v>
      </c>
      <c r="AA20" s="103" t="s">
        <v>1450</v>
      </c>
      <c r="AK20" s="103"/>
      <c r="AL20" s="103" t="s">
        <v>1487</v>
      </c>
      <c r="AM20">
        <v>50121024</v>
      </c>
      <c r="AN20" s="103" t="s">
        <v>955</v>
      </c>
      <c r="AO20" s="103" t="b">
        <v>1</v>
      </c>
      <c r="AP20" s="103" t="b">
        <v>1</v>
      </c>
      <c r="AQ20" s="103" t="b">
        <v>0</v>
      </c>
      <c r="AR20" t="s">
        <v>1975</v>
      </c>
      <c r="AS20" s="103" t="s">
        <v>2082</v>
      </c>
      <c r="AW20" s="103"/>
      <c r="AX20" s="103" t="s">
        <v>1632</v>
      </c>
      <c r="AY20">
        <v>51020007</v>
      </c>
      <c r="AZ20" s="103" t="s">
        <v>1274</v>
      </c>
      <c r="BA20" s="103" t="b">
        <v>1</v>
      </c>
      <c r="BB20" s="103" t="b">
        <v>0</v>
      </c>
      <c r="BC20" s="103" t="b">
        <v>1</v>
      </c>
      <c r="BD20" t="s">
        <v>2029</v>
      </c>
      <c r="BE20" s="103" t="s">
        <v>2133</v>
      </c>
      <c r="BH20" s="103" t="s">
        <v>1684</v>
      </c>
      <c r="BI20" s="103" t="s">
        <v>1646</v>
      </c>
      <c r="BJ20" s="103" t="s">
        <v>310</v>
      </c>
      <c r="BK20" s="103" t="s">
        <v>1216</v>
      </c>
      <c r="BL20">
        <v>0</v>
      </c>
      <c r="BM20" s="103"/>
      <c r="BN20" s="103" t="s">
        <v>1154</v>
      </c>
      <c r="BQ20" t="s">
        <v>1216</v>
      </c>
      <c r="BR20" s="103" t="s">
        <v>1216</v>
      </c>
      <c r="BU20" s="103" t="s">
        <v>1422</v>
      </c>
      <c r="BV20" s="103" t="b">
        <v>1</v>
      </c>
      <c r="BY20" s="103" t="s">
        <v>1372</v>
      </c>
      <c r="BZ20" s="103" t="s">
        <v>1718</v>
      </c>
      <c r="CA20" s="103" t="s">
        <v>2144</v>
      </c>
      <c r="CB20" s="103">
        <v>0</v>
      </c>
      <c r="CC20" s="103" t="s">
        <v>1373</v>
      </c>
      <c r="CF20" s="103" t="s">
        <v>2144</v>
      </c>
      <c r="CI20" s="103" t="s">
        <v>1724</v>
      </c>
      <c r="CJ20" s="103" t="b">
        <v>1</v>
      </c>
      <c r="CK20" s="103" t="s">
        <v>1725</v>
      </c>
      <c r="CN20" s="103" t="s">
        <v>2056</v>
      </c>
      <c r="CQ20" s="103" t="s">
        <v>1393</v>
      </c>
      <c r="CR20" t="s">
        <v>1394</v>
      </c>
      <c r="CS20" s="103" t="s">
        <v>1394</v>
      </c>
      <c r="CV20" s="103" t="s">
        <v>1753</v>
      </c>
      <c r="CW20" s="103" t="s">
        <v>345</v>
      </c>
      <c r="CX20" s="103" t="s">
        <v>345</v>
      </c>
      <c r="DR20" s="103" t="s">
        <v>1824</v>
      </c>
      <c r="DS20" s="103" t="s">
        <v>969</v>
      </c>
      <c r="DT20" s="103" t="s">
        <v>23</v>
      </c>
      <c r="DX20" t="s">
        <v>969</v>
      </c>
      <c r="EM20" s="103" t="s">
        <v>1824</v>
      </c>
      <c r="EN20" s="103" t="s">
        <v>969</v>
      </c>
      <c r="EO20" s="103" t="s">
        <v>23</v>
      </c>
      <c r="EP20" s="103" t="s">
        <v>1154</v>
      </c>
      <c r="ES20">
        <v>30</v>
      </c>
      <c r="ET20" t="s">
        <v>969</v>
      </c>
      <c r="EW20" s="165" t="s">
        <v>1895</v>
      </c>
      <c r="EX20" s="165" t="s">
        <v>1896</v>
      </c>
      <c r="EY20">
        <v>12</v>
      </c>
      <c r="EZ20" t="s">
        <v>1936</v>
      </c>
      <c r="FE20" s="103" t="s">
        <v>1453</v>
      </c>
      <c r="FF20">
        <v>0</v>
      </c>
    </row>
    <row r="21" spans="2:162" x14ac:dyDescent="0.35">
      <c r="W21" t="s">
        <v>1351</v>
      </c>
      <c r="X21" t="s">
        <v>1463</v>
      </c>
      <c r="Y21" t="s">
        <v>1416</v>
      </c>
      <c r="Z21">
        <v>0</v>
      </c>
      <c r="AA21" s="103" t="s">
        <v>1351</v>
      </c>
      <c r="AK21" s="103"/>
      <c r="AL21" s="103" t="s">
        <v>1511</v>
      </c>
      <c r="AM21">
        <v>50621039</v>
      </c>
      <c r="AN21" s="103" t="s">
        <v>1512</v>
      </c>
      <c r="AO21" s="103" t="b">
        <v>1</v>
      </c>
      <c r="AP21" s="103" t="b">
        <v>1</v>
      </c>
      <c r="AQ21" s="103" t="b">
        <v>0</v>
      </c>
      <c r="AR21" t="s">
        <v>1976</v>
      </c>
      <c r="AS21" s="103" t="s">
        <v>2083</v>
      </c>
      <c r="AW21" s="103"/>
      <c r="AX21" s="103" t="s">
        <v>1641</v>
      </c>
      <c r="AY21">
        <v>1911820232</v>
      </c>
      <c r="AZ21" s="103" t="s">
        <v>1642</v>
      </c>
      <c r="BA21" s="103" t="b">
        <v>1</v>
      </c>
      <c r="BB21" s="103" t="b">
        <v>0</v>
      </c>
      <c r="BC21" s="103" t="b">
        <v>1</v>
      </c>
      <c r="BD21" t="s">
        <v>2030</v>
      </c>
      <c r="BE21" s="103" t="s">
        <v>2134</v>
      </c>
      <c r="BH21" s="103" t="s">
        <v>1658</v>
      </c>
      <c r="BI21" s="103" t="s">
        <v>1646</v>
      </c>
      <c r="BJ21" s="103" t="s">
        <v>1230</v>
      </c>
      <c r="BK21" s="103" t="s">
        <v>1223</v>
      </c>
      <c r="BL21" t="s">
        <v>1684</v>
      </c>
      <c r="BM21" s="103" t="s">
        <v>1216</v>
      </c>
      <c r="BN21" s="103" t="s">
        <v>1154</v>
      </c>
      <c r="BQ21" t="s">
        <v>1262</v>
      </c>
      <c r="BR21" s="103" t="s">
        <v>1262</v>
      </c>
      <c r="BU21" s="103" t="s">
        <v>1454</v>
      </c>
      <c r="BV21" s="103" t="b">
        <v>1</v>
      </c>
      <c r="BY21" s="103" t="s">
        <v>1372</v>
      </c>
      <c r="BZ21" s="103" t="s">
        <v>1374</v>
      </c>
      <c r="CA21" s="103" t="s">
        <v>1337</v>
      </c>
      <c r="CB21" s="103">
        <v>0</v>
      </c>
      <c r="CC21" s="103"/>
      <c r="CF21" s="103" t="s">
        <v>2049</v>
      </c>
      <c r="CI21" s="103" t="s">
        <v>1720</v>
      </c>
      <c r="CJ21" s="103" t="b">
        <v>1</v>
      </c>
      <c r="CK21" s="103" t="s">
        <v>1721</v>
      </c>
      <c r="CN21" s="103" t="s">
        <v>2057</v>
      </c>
      <c r="CV21" s="103" t="s">
        <v>1767</v>
      </c>
      <c r="CW21" s="103" t="s">
        <v>1398</v>
      </c>
      <c r="CX21" s="103" t="s">
        <v>2069</v>
      </c>
      <c r="DR21" s="103" t="s">
        <v>1831</v>
      </c>
      <c r="DS21" s="103" t="s">
        <v>162</v>
      </c>
      <c r="DT21" s="103" t="s">
        <v>23</v>
      </c>
      <c r="DX21" t="s">
        <v>162</v>
      </c>
      <c r="EM21" s="103" t="s">
        <v>1831</v>
      </c>
      <c r="EN21" s="103" t="s">
        <v>162</v>
      </c>
      <c r="EO21" s="103" t="s">
        <v>23</v>
      </c>
      <c r="EP21" s="103" t="s">
        <v>1154</v>
      </c>
      <c r="ES21">
        <v>37</v>
      </c>
      <c r="ET21" t="s">
        <v>162</v>
      </c>
      <c r="EW21" s="165" t="s">
        <v>1893</v>
      </c>
      <c r="EX21" s="165" t="s">
        <v>1894</v>
      </c>
      <c r="EY21">
        <v>11</v>
      </c>
      <c r="EZ21" t="s">
        <v>1937</v>
      </c>
      <c r="FE21" s="103" t="s">
        <v>1452</v>
      </c>
      <c r="FF21">
        <v>0</v>
      </c>
    </row>
    <row r="22" spans="2:162" x14ac:dyDescent="0.35">
      <c r="W22" t="s">
        <v>1344</v>
      </c>
      <c r="X22" t="s">
        <v>1457</v>
      </c>
      <c r="Y22" t="s">
        <v>1416</v>
      </c>
      <c r="Z22">
        <v>0</v>
      </c>
      <c r="AA22" s="103" t="s">
        <v>1344</v>
      </c>
      <c r="AK22" s="103"/>
      <c r="AL22" s="103" t="s">
        <v>1513</v>
      </c>
      <c r="AM22">
        <v>50621040</v>
      </c>
      <c r="AN22" s="103" t="s">
        <v>959</v>
      </c>
      <c r="AO22" s="103" t="b">
        <v>1</v>
      </c>
      <c r="AP22" s="103" t="b">
        <v>1</v>
      </c>
      <c r="AQ22" s="103" t="b">
        <v>0</v>
      </c>
      <c r="AR22" t="s">
        <v>1977</v>
      </c>
      <c r="AS22" s="103" t="s">
        <v>2084</v>
      </c>
      <c r="BH22" s="103" t="s">
        <v>1697</v>
      </c>
      <c r="BI22" s="103" t="s">
        <v>1646</v>
      </c>
      <c r="BJ22" s="103" t="s">
        <v>1214</v>
      </c>
      <c r="BK22" s="103" t="s">
        <v>1215</v>
      </c>
      <c r="BL22" t="s">
        <v>1684</v>
      </c>
      <c r="BM22" s="103" t="s">
        <v>1216</v>
      </c>
      <c r="BN22" s="103" t="s">
        <v>1154</v>
      </c>
      <c r="BQ22" t="s">
        <v>1263</v>
      </c>
      <c r="BR22" s="103" t="s">
        <v>1263</v>
      </c>
      <c r="CI22" s="103" t="s">
        <v>1722</v>
      </c>
      <c r="CJ22" s="103" t="b">
        <v>1</v>
      </c>
      <c r="CK22" s="103" t="s">
        <v>1723</v>
      </c>
      <c r="CN22" s="103" t="s">
        <v>2058</v>
      </c>
      <c r="CV22" s="103" t="s">
        <v>1754</v>
      </c>
      <c r="CW22" s="103" t="s">
        <v>1399</v>
      </c>
      <c r="CX22" s="103" t="s">
        <v>2070</v>
      </c>
      <c r="DR22" s="103" t="s">
        <v>1830</v>
      </c>
      <c r="DS22" s="103" t="s">
        <v>161</v>
      </c>
      <c r="DT22" s="103" t="s">
        <v>23</v>
      </c>
      <c r="DX22" t="s">
        <v>161</v>
      </c>
      <c r="EM22" s="103" t="s">
        <v>1830</v>
      </c>
      <c r="EN22" s="103" t="s">
        <v>161</v>
      </c>
      <c r="EO22" s="103" t="s">
        <v>23</v>
      </c>
      <c r="EP22" s="103" t="s">
        <v>1154</v>
      </c>
      <c r="ES22">
        <v>36</v>
      </c>
      <c r="ET22" t="s">
        <v>161</v>
      </c>
      <c r="EW22" s="165" t="s">
        <v>1892</v>
      </c>
      <c r="EX22" s="165" t="s">
        <v>1400</v>
      </c>
      <c r="EY22">
        <v>10</v>
      </c>
      <c r="EZ22" t="s">
        <v>1404</v>
      </c>
      <c r="FE22" s="103" t="s">
        <v>1451</v>
      </c>
      <c r="FF22">
        <v>0</v>
      </c>
    </row>
    <row r="23" spans="2:162" x14ac:dyDescent="0.35">
      <c r="W23" t="s">
        <v>1338</v>
      </c>
      <c r="X23" t="s">
        <v>1456</v>
      </c>
      <c r="Y23" t="s">
        <v>1416</v>
      </c>
      <c r="Z23">
        <v>0</v>
      </c>
      <c r="AA23" s="103" t="s">
        <v>1338</v>
      </c>
      <c r="AK23" s="103"/>
      <c r="AL23" s="103" t="s">
        <v>1514</v>
      </c>
      <c r="AM23">
        <v>50621041</v>
      </c>
      <c r="AN23" s="103" t="s">
        <v>961</v>
      </c>
      <c r="AO23" s="103" t="b">
        <v>1</v>
      </c>
      <c r="AP23" s="103" t="b">
        <v>1</v>
      </c>
      <c r="AQ23" s="103" t="b">
        <v>0</v>
      </c>
      <c r="AR23" t="s">
        <v>1978</v>
      </c>
      <c r="AS23" s="103" t="s">
        <v>2085</v>
      </c>
      <c r="BH23" s="103" t="s">
        <v>1648</v>
      </c>
      <c r="BI23" s="103" t="s">
        <v>1646</v>
      </c>
      <c r="BJ23" s="103" t="s">
        <v>1222</v>
      </c>
      <c r="BK23" s="103" t="s">
        <v>1210</v>
      </c>
      <c r="BL23" t="s">
        <v>1684</v>
      </c>
      <c r="BM23" s="103" t="s">
        <v>1216</v>
      </c>
      <c r="BN23" s="103" t="s">
        <v>1154</v>
      </c>
      <c r="BQ23" t="s">
        <v>1264</v>
      </c>
      <c r="BR23" s="103" t="s">
        <v>1264</v>
      </c>
      <c r="CI23" s="103" t="s">
        <v>1735</v>
      </c>
      <c r="CJ23" s="103" t="b">
        <v>1</v>
      </c>
      <c r="CK23" s="103" t="s">
        <v>1736</v>
      </c>
      <c r="CN23" s="103" t="s">
        <v>400</v>
      </c>
      <c r="CV23" s="103" t="s">
        <v>1769</v>
      </c>
      <c r="CW23" s="103" t="s">
        <v>1397</v>
      </c>
      <c r="CX23" s="103" t="s">
        <v>2071</v>
      </c>
      <c r="DR23" s="103" t="s">
        <v>1833</v>
      </c>
      <c r="DS23" s="103" t="s">
        <v>966</v>
      </c>
      <c r="DT23" s="103" t="s">
        <v>23</v>
      </c>
      <c r="DX23" t="s">
        <v>966</v>
      </c>
      <c r="EM23" s="103" t="s">
        <v>1833</v>
      </c>
      <c r="EN23" s="103" t="s">
        <v>966</v>
      </c>
      <c r="EO23" s="103" t="s">
        <v>23</v>
      </c>
      <c r="EP23" s="103" t="s">
        <v>1154</v>
      </c>
      <c r="ES23">
        <v>39</v>
      </c>
      <c r="ET23" t="s">
        <v>966</v>
      </c>
      <c r="EW23" s="165" t="s">
        <v>1890</v>
      </c>
      <c r="EX23" s="165" t="s">
        <v>1891</v>
      </c>
      <c r="EY23">
        <v>9</v>
      </c>
      <c r="EZ23" t="s">
        <v>1938</v>
      </c>
      <c r="FE23" s="103" t="s">
        <v>1449</v>
      </c>
      <c r="FF23">
        <v>0</v>
      </c>
    </row>
    <row r="24" spans="2:162" x14ac:dyDescent="0.35">
      <c r="W24" t="s">
        <v>1352</v>
      </c>
      <c r="X24" t="s">
        <v>1438</v>
      </c>
      <c r="Y24" t="s">
        <v>1416</v>
      </c>
      <c r="Z24">
        <v>0</v>
      </c>
      <c r="AA24" s="103" t="s">
        <v>1352</v>
      </c>
      <c r="AK24" s="103"/>
      <c r="AL24" s="103" t="s">
        <v>1515</v>
      </c>
      <c r="AM24">
        <v>50621042</v>
      </c>
      <c r="AN24" s="103" t="s">
        <v>906</v>
      </c>
      <c r="AO24" s="103" t="b">
        <v>1</v>
      </c>
      <c r="AP24" s="103" t="b">
        <v>1</v>
      </c>
      <c r="AQ24" s="103" t="b">
        <v>0</v>
      </c>
      <c r="AR24" t="s">
        <v>1979</v>
      </c>
      <c r="AS24" s="103" t="s">
        <v>2086</v>
      </c>
      <c r="BH24" s="103" t="s">
        <v>1663</v>
      </c>
      <c r="BI24" s="103" t="s">
        <v>1646</v>
      </c>
      <c r="BJ24" s="103" t="s">
        <v>1224</v>
      </c>
      <c r="BK24" s="103" t="s">
        <v>1211</v>
      </c>
      <c r="BL24" t="s">
        <v>1684</v>
      </c>
      <c r="BM24" s="103" t="s">
        <v>1216</v>
      </c>
      <c r="BN24" s="103" t="s">
        <v>1154</v>
      </c>
      <c r="BQ24" t="s">
        <v>1265</v>
      </c>
      <c r="BR24" s="103" t="s">
        <v>1265</v>
      </c>
      <c r="CI24" s="103" t="s">
        <v>1729</v>
      </c>
      <c r="CJ24" s="103" t="b">
        <v>1</v>
      </c>
      <c r="CK24" s="103" t="s">
        <v>1730</v>
      </c>
      <c r="CN24" s="103" t="s">
        <v>2059</v>
      </c>
      <c r="CV24" s="103" t="s">
        <v>1757</v>
      </c>
      <c r="CW24" s="103" t="s">
        <v>296</v>
      </c>
      <c r="CX24" s="103" t="s">
        <v>296</v>
      </c>
      <c r="DR24" s="103" t="s">
        <v>1832</v>
      </c>
      <c r="DS24" s="103" t="s">
        <v>163</v>
      </c>
      <c r="DT24" s="103" t="s">
        <v>23</v>
      </c>
      <c r="DX24" t="s">
        <v>163</v>
      </c>
      <c r="EM24" s="103" t="s">
        <v>1832</v>
      </c>
      <c r="EN24" s="103" t="s">
        <v>163</v>
      </c>
      <c r="EO24" s="103" t="s">
        <v>23</v>
      </c>
      <c r="EP24" s="103" t="s">
        <v>1154</v>
      </c>
      <c r="ES24">
        <v>38</v>
      </c>
      <c r="ET24" t="s">
        <v>163</v>
      </c>
      <c r="EW24" s="165" t="s">
        <v>1888</v>
      </c>
      <c r="EX24" s="165" t="s">
        <v>1889</v>
      </c>
      <c r="EY24">
        <v>8</v>
      </c>
      <c r="EZ24" t="s">
        <v>1939</v>
      </c>
      <c r="FE24" s="103" t="s">
        <v>1448</v>
      </c>
      <c r="FF24">
        <v>0</v>
      </c>
    </row>
    <row r="25" spans="2:162" x14ac:dyDescent="0.35">
      <c r="W25" t="s">
        <v>1358</v>
      </c>
      <c r="X25" t="s">
        <v>1417</v>
      </c>
      <c r="Y25" t="s">
        <v>1416</v>
      </c>
      <c r="Z25">
        <v>0</v>
      </c>
      <c r="AA25" s="103" t="s">
        <v>1358</v>
      </c>
      <c r="AK25" s="103"/>
      <c r="AL25" s="103" t="s">
        <v>1520</v>
      </c>
      <c r="AM25">
        <v>50621045</v>
      </c>
      <c r="AN25" s="103" t="s">
        <v>909</v>
      </c>
      <c r="AO25" s="103" t="b">
        <v>1</v>
      </c>
      <c r="AP25" s="103" t="b">
        <v>1</v>
      </c>
      <c r="AQ25" s="103" t="b">
        <v>0</v>
      </c>
      <c r="AR25" t="s">
        <v>1980</v>
      </c>
      <c r="AS25" s="103" t="s">
        <v>2087</v>
      </c>
      <c r="BH25" s="103" t="s">
        <v>1682</v>
      </c>
      <c r="BI25" s="103" t="s">
        <v>1646</v>
      </c>
      <c r="BJ25" s="103" t="s">
        <v>1227</v>
      </c>
      <c r="BK25" s="103" t="s">
        <v>1227</v>
      </c>
      <c r="BL25" t="s">
        <v>1683</v>
      </c>
      <c r="BM25" s="103"/>
      <c r="BN25" s="103" t="s">
        <v>1154</v>
      </c>
      <c r="BQ25" t="s">
        <v>1227</v>
      </c>
      <c r="BR25" s="103" t="s">
        <v>2138</v>
      </c>
      <c r="CI25" s="103" t="s">
        <v>1731</v>
      </c>
      <c r="CJ25" s="103" t="b">
        <v>1</v>
      </c>
      <c r="CK25" s="103" t="s">
        <v>1732</v>
      </c>
      <c r="CN25" s="103" t="s">
        <v>2060</v>
      </c>
      <c r="CV25" s="103" t="s">
        <v>1768</v>
      </c>
      <c r="CW25" s="103" t="s">
        <v>1395</v>
      </c>
      <c r="CX25" s="103" t="s">
        <v>2072</v>
      </c>
      <c r="DR25" s="103" t="s">
        <v>1829</v>
      </c>
      <c r="DS25" s="103" t="s">
        <v>159</v>
      </c>
      <c r="DT25" s="103" t="s">
        <v>23</v>
      </c>
      <c r="DX25" t="s">
        <v>159</v>
      </c>
      <c r="EM25" s="103" t="s">
        <v>1829</v>
      </c>
      <c r="EN25" s="103" t="s">
        <v>159</v>
      </c>
      <c r="EO25" s="103" t="s">
        <v>23</v>
      </c>
      <c r="EP25" s="103" t="s">
        <v>1154</v>
      </c>
      <c r="ES25">
        <v>35</v>
      </c>
      <c r="ET25" t="s">
        <v>159</v>
      </c>
      <c r="EW25" s="165" t="s">
        <v>1887</v>
      </c>
      <c r="EX25" s="165" t="s">
        <v>1403</v>
      </c>
      <c r="EY25">
        <v>7</v>
      </c>
      <c r="EZ25" t="s">
        <v>1405</v>
      </c>
      <c r="FE25" s="103" t="s">
        <v>1447</v>
      </c>
      <c r="FF25">
        <v>0</v>
      </c>
    </row>
    <row r="26" spans="2:162" x14ac:dyDescent="0.35">
      <c r="W26" t="s">
        <v>1347</v>
      </c>
      <c r="X26" t="s">
        <v>1458</v>
      </c>
      <c r="Y26" t="s">
        <v>1416</v>
      </c>
      <c r="Z26">
        <v>0</v>
      </c>
      <c r="AA26" s="103" t="s">
        <v>1347</v>
      </c>
      <c r="AK26" s="103"/>
      <c r="AL26" s="103" t="s">
        <v>1525</v>
      </c>
      <c r="AM26">
        <v>50621048</v>
      </c>
      <c r="AN26" s="103" t="s">
        <v>963</v>
      </c>
      <c r="AO26" s="103" t="b">
        <v>1</v>
      </c>
      <c r="AP26" s="103" t="b">
        <v>1</v>
      </c>
      <c r="AQ26" s="103" t="b">
        <v>0</v>
      </c>
      <c r="AR26" t="s">
        <v>1981</v>
      </c>
      <c r="AS26" s="103" t="s">
        <v>2088</v>
      </c>
      <c r="BH26" s="103" t="s">
        <v>1654</v>
      </c>
      <c r="BI26" s="103" t="s">
        <v>1646</v>
      </c>
      <c r="BJ26" s="103" t="s">
        <v>1655</v>
      </c>
      <c r="BK26" s="103" t="s">
        <v>1236</v>
      </c>
      <c r="BL26" t="s">
        <v>1648</v>
      </c>
      <c r="BM26" s="103" t="s">
        <v>1210</v>
      </c>
      <c r="BN26" s="103" t="s">
        <v>1154</v>
      </c>
      <c r="BQ26" t="s">
        <v>1266</v>
      </c>
      <c r="BR26" s="103" t="s">
        <v>1266</v>
      </c>
      <c r="CI26" s="103" t="s">
        <v>1728</v>
      </c>
      <c r="CJ26" s="103" t="b">
        <v>1</v>
      </c>
      <c r="CK26" s="103" t="s">
        <v>1237</v>
      </c>
      <c r="CN26" s="103" t="s">
        <v>410</v>
      </c>
      <c r="DR26" s="103" t="s">
        <v>1826</v>
      </c>
      <c r="DS26" s="103" t="s">
        <v>167</v>
      </c>
      <c r="DT26" s="103" t="s">
        <v>23</v>
      </c>
      <c r="DX26" t="s">
        <v>167</v>
      </c>
      <c r="EM26" s="103" t="s">
        <v>1826</v>
      </c>
      <c r="EN26" s="103" t="s">
        <v>167</v>
      </c>
      <c r="EO26" s="103" t="s">
        <v>23</v>
      </c>
      <c r="EP26" s="103" t="s">
        <v>1154</v>
      </c>
      <c r="ES26">
        <v>32</v>
      </c>
      <c r="ET26" t="s">
        <v>167</v>
      </c>
      <c r="EW26" s="165" t="s">
        <v>1886</v>
      </c>
      <c r="EX26" s="165" t="s">
        <v>1402</v>
      </c>
      <c r="EY26">
        <v>6</v>
      </c>
      <c r="EZ26" t="s">
        <v>1406</v>
      </c>
      <c r="FE26" s="103" t="s">
        <v>1445</v>
      </c>
      <c r="FF26">
        <v>0</v>
      </c>
    </row>
    <row r="27" spans="2:162" x14ac:dyDescent="0.35">
      <c r="W27" t="s">
        <v>1357</v>
      </c>
      <c r="X27" t="s">
        <v>1448</v>
      </c>
      <c r="Y27" t="s">
        <v>1416</v>
      </c>
      <c r="Z27">
        <v>0</v>
      </c>
      <c r="AA27" s="103" t="s">
        <v>1357</v>
      </c>
      <c r="AK27" s="103"/>
      <c r="AL27" s="103" t="s">
        <v>1526</v>
      </c>
      <c r="AM27">
        <v>50621049</v>
      </c>
      <c r="AN27" s="103" t="s">
        <v>1527</v>
      </c>
      <c r="AO27" s="103" t="b">
        <v>1</v>
      </c>
      <c r="AP27" s="103" t="b">
        <v>1</v>
      </c>
      <c r="AQ27" s="103" t="b">
        <v>0</v>
      </c>
      <c r="AR27" t="s">
        <v>1982</v>
      </c>
      <c r="AS27" s="103" t="s">
        <v>2089</v>
      </c>
      <c r="BH27" s="103" t="s">
        <v>1650</v>
      </c>
      <c r="BI27" s="103" t="s">
        <v>1646</v>
      </c>
      <c r="BJ27" s="103" t="s">
        <v>1651</v>
      </c>
      <c r="BK27" s="103" t="s">
        <v>1213</v>
      </c>
      <c r="BL27" t="s">
        <v>1648</v>
      </c>
      <c r="BM27" s="103" t="s">
        <v>1210</v>
      </c>
      <c r="BN27" s="103" t="s">
        <v>1154</v>
      </c>
      <c r="BQ27" t="s">
        <v>1267</v>
      </c>
      <c r="BR27" s="103" t="s">
        <v>1267</v>
      </c>
      <c r="DR27" s="103" t="s">
        <v>1825</v>
      </c>
      <c r="DS27" s="103" t="s">
        <v>164</v>
      </c>
      <c r="DT27" s="103" t="s">
        <v>23</v>
      </c>
      <c r="DX27" t="s">
        <v>164</v>
      </c>
      <c r="EM27" s="103" t="s">
        <v>1825</v>
      </c>
      <c r="EN27" s="103" t="s">
        <v>164</v>
      </c>
      <c r="EO27" s="103" t="s">
        <v>23</v>
      </c>
      <c r="EP27" s="103" t="s">
        <v>1154</v>
      </c>
      <c r="ES27">
        <v>31</v>
      </c>
      <c r="ET27" t="s">
        <v>164</v>
      </c>
      <c r="EW27" s="165" t="s">
        <v>1195</v>
      </c>
      <c r="EX27" s="165" t="s">
        <v>1401</v>
      </c>
      <c r="EY27">
        <v>20</v>
      </c>
      <c r="EZ27" t="s">
        <v>1407</v>
      </c>
      <c r="FE27" s="103" t="s">
        <v>1443</v>
      </c>
      <c r="FF27">
        <v>0</v>
      </c>
    </row>
    <row r="28" spans="2:162" x14ac:dyDescent="0.35">
      <c r="B28" s="153">
        <v>1</v>
      </c>
      <c r="C28" s="153">
        <v>2</v>
      </c>
      <c r="D28" s="153">
        <v>3</v>
      </c>
      <c r="E28" s="153">
        <v>4</v>
      </c>
      <c r="F28" s="153">
        <v>5</v>
      </c>
      <c r="G28" s="153">
        <v>6</v>
      </c>
      <c r="H28" s="192">
        <v>7</v>
      </c>
      <c r="I28" s="192">
        <v>8</v>
      </c>
      <c r="J28" s="192">
        <v>9</v>
      </c>
      <c r="W28" t="s">
        <v>1363</v>
      </c>
      <c r="X28" t="s">
        <v>1431</v>
      </c>
      <c r="Y28" t="s">
        <v>1416</v>
      </c>
      <c r="Z28">
        <v>0</v>
      </c>
      <c r="AA28" s="103" t="s">
        <v>1363</v>
      </c>
      <c r="AK28" s="103"/>
      <c r="AL28" s="103" t="s">
        <v>1548</v>
      </c>
      <c r="AM28">
        <v>50721059</v>
      </c>
      <c r="AN28" s="103" t="s">
        <v>876</v>
      </c>
      <c r="AO28" s="103" t="b">
        <v>1</v>
      </c>
      <c r="AP28" s="103" t="b">
        <v>1</v>
      </c>
      <c r="AQ28" s="103" t="b">
        <v>0</v>
      </c>
      <c r="AR28" t="s">
        <v>1983</v>
      </c>
      <c r="AS28" s="103" t="s">
        <v>2090</v>
      </c>
      <c r="BH28" s="103" t="s">
        <v>1645</v>
      </c>
      <c r="BI28" s="103" t="s">
        <v>1646</v>
      </c>
      <c r="BJ28" s="103" t="s">
        <v>1647</v>
      </c>
      <c r="BK28" s="103" t="s">
        <v>1235</v>
      </c>
      <c r="BL28" t="s">
        <v>1648</v>
      </c>
      <c r="BM28" s="103" t="s">
        <v>1210</v>
      </c>
      <c r="BN28" s="103" t="s">
        <v>1154</v>
      </c>
      <c r="BQ28" t="s">
        <v>1268</v>
      </c>
      <c r="BR28" s="103" t="s">
        <v>1268</v>
      </c>
      <c r="DR28" s="103" t="s">
        <v>1828</v>
      </c>
      <c r="DS28" s="103" t="s">
        <v>165</v>
      </c>
      <c r="DT28" s="103" t="s">
        <v>23</v>
      </c>
      <c r="DX28" t="s">
        <v>165</v>
      </c>
      <c r="EM28" s="103" t="s">
        <v>1828</v>
      </c>
      <c r="EN28" s="103" t="s">
        <v>165</v>
      </c>
      <c r="EO28" s="103" t="s">
        <v>23</v>
      </c>
      <c r="EP28" s="103" t="s">
        <v>1154</v>
      </c>
      <c r="ES28">
        <v>34</v>
      </c>
      <c r="ET28" t="s">
        <v>165</v>
      </c>
      <c r="EW28" s="165" t="s">
        <v>1884</v>
      </c>
      <c r="EX28" s="165" t="s">
        <v>1885</v>
      </c>
      <c r="EY28">
        <v>5</v>
      </c>
      <c r="EZ28" t="s">
        <v>1940</v>
      </c>
      <c r="FE28" s="103" t="s">
        <v>1442</v>
      </c>
      <c r="FF28">
        <v>0</v>
      </c>
    </row>
    <row r="29" spans="2:162" x14ac:dyDescent="0.35">
      <c r="B29" s="170" t="s">
        <v>1080</v>
      </c>
      <c r="C29" s="170" t="s">
        <v>1081</v>
      </c>
      <c r="D29" s="170" t="s">
        <v>1095</v>
      </c>
      <c r="E29" s="170" t="s">
        <v>1094</v>
      </c>
      <c r="F29" s="170" t="s">
        <v>1096</v>
      </c>
      <c r="G29" s="170" t="s">
        <v>1097</v>
      </c>
      <c r="H29" s="191" t="s">
        <v>1201</v>
      </c>
      <c r="I29" s="191" t="s">
        <v>1202</v>
      </c>
      <c r="J29" s="191" t="s">
        <v>1203</v>
      </c>
      <c r="W29" t="s">
        <v>1346</v>
      </c>
      <c r="X29" t="s">
        <v>1425</v>
      </c>
      <c r="Y29" t="s">
        <v>1416</v>
      </c>
      <c r="Z29">
        <v>0</v>
      </c>
      <c r="AA29" s="103" t="s">
        <v>1346</v>
      </c>
      <c r="AK29" s="103"/>
      <c r="AL29" s="103" t="s">
        <v>1549</v>
      </c>
      <c r="AM29">
        <v>50721060</v>
      </c>
      <c r="AN29" s="103" t="s">
        <v>878</v>
      </c>
      <c r="AO29" s="103" t="b">
        <v>1</v>
      </c>
      <c r="AP29" s="103" t="b">
        <v>1</v>
      </c>
      <c r="AQ29" s="103" t="b">
        <v>0</v>
      </c>
      <c r="AR29" t="s">
        <v>1984</v>
      </c>
      <c r="AS29" s="103" t="s">
        <v>2091</v>
      </c>
      <c r="BH29" s="103" t="s">
        <v>1664</v>
      </c>
      <c r="BI29" s="103" t="s">
        <v>1646</v>
      </c>
      <c r="BJ29" s="103" t="s">
        <v>1665</v>
      </c>
      <c r="BK29" s="103" t="s">
        <v>1217</v>
      </c>
      <c r="BL29" t="s">
        <v>1648</v>
      </c>
      <c r="BM29" s="103" t="s">
        <v>1210</v>
      </c>
      <c r="BN29" s="103" t="s">
        <v>1154</v>
      </c>
      <c r="BQ29" t="s">
        <v>1269</v>
      </c>
      <c r="BR29" s="103" t="s">
        <v>1269</v>
      </c>
      <c r="DR29" s="103" t="s">
        <v>1827</v>
      </c>
      <c r="DS29" s="103" t="s">
        <v>1170</v>
      </c>
      <c r="DT29" s="103" t="s">
        <v>23</v>
      </c>
      <c r="DX29" t="s">
        <v>1170</v>
      </c>
      <c r="EM29" s="103" t="s">
        <v>1827</v>
      </c>
      <c r="EN29" s="103" t="s">
        <v>1170</v>
      </c>
      <c r="EO29" s="103" t="s">
        <v>23</v>
      </c>
      <c r="EP29" s="103" t="s">
        <v>1154</v>
      </c>
      <c r="ES29">
        <v>33</v>
      </c>
      <c r="ET29" t="s">
        <v>1170</v>
      </c>
      <c r="EW29" s="165" t="s">
        <v>1882</v>
      </c>
      <c r="EX29" s="165" t="s">
        <v>1883</v>
      </c>
      <c r="EY29">
        <v>4</v>
      </c>
      <c r="EZ29" t="s">
        <v>1941</v>
      </c>
      <c r="FE29" s="103" t="s">
        <v>1187</v>
      </c>
      <c r="FF29">
        <v>0</v>
      </c>
    </row>
    <row r="30" spans="2:162" x14ac:dyDescent="0.35">
      <c r="B30" s="174" t="s">
        <v>103</v>
      </c>
      <c r="C30" s="175" t="s">
        <v>1082</v>
      </c>
      <c r="D30" s="176" t="str">
        <f>"Web_"&amp;ListAPILink[[#This Row],[Column header]]</f>
        <v>Web_Shift</v>
      </c>
      <c r="E30" s="177">
        <v>7</v>
      </c>
      <c r="F30" s="176" t="s">
        <v>1106</v>
      </c>
      <c r="G30" t="s">
        <v>1204</v>
      </c>
      <c r="H30" s="166">
        <v>2</v>
      </c>
      <c r="I30" s="166">
        <v>2</v>
      </c>
      <c r="J30" t="s">
        <v>965</v>
      </c>
      <c r="W30" t="s">
        <v>1349</v>
      </c>
      <c r="X30" t="s">
        <v>1440</v>
      </c>
      <c r="Y30" t="s">
        <v>1416</v>
      </c>
      <c r="Z30">
        <v>0</v>
      </c>
      <c r="AA30" s="103" t="s">
        <v>1349</v>
      </c>
      <c r="AK30" s="103"/>
      <c r="AL30" s="103" t="s">
        <v>1550</v>
      </c>
      <c r="AM30">
        <v>50721061</v>
      </c>
      <c r="AN30" s="103" t="s">
        <v>880</v>
      </c>
      <c r="AO30" s="103" t="b">
        <v>1</v>
      </c>
      <c r="AP30" s="103" t="b">
        <v>1</v>
      </c>
      <c r="AQ30" s="103" t="b">
        <v>0</v>
      </c>
      <c r="AR30" t="s">
        <v>1985</v>
      </c>
      <c r="AS30" s="103" t="s">
        <v>2092</v>
      </c>
      <c r="BH30" s="103" t="s">
        <v>1163</v>
      </c>
      <c r="BI30" s="103" t="s">
        <v>1646</v>
      </c>
      <c r="BJ30" s="103" t="s">
        <v>1649</v>
      </c>
      <c r="BK30" s="103" t="s">
        <v>1219</v>
      </c>
      <c r="BL30" t="s">
        <v>1648</v>
      </c>
      <c r="BM30" s="103" t="s">
        <v>1210</v>
      </c>
      <c r="BN30" s="103" t="s">
        <v>1154</v>
      </c>
      <c r="BQ30" t="s">
        <v>1005</v>
      </c>
      <c r="BR30" s="103" t="s">
        <v>1005</v>
      </c>
      <c r="DR30" s="103" t="s">
        <v>1814</v>
      </c>
      <c r="DS30" s="103" t="s">
        <v>166</v>
      </c>
      <c r="DT30" s="103" t="s">
        <v>23</v>
      </c>
      <c r="DX30" t="s">
        <v>166</v>
      </c>
      <c r="EM30" s="103" t="s">
        <v>1814</v>
      </c>
      <c r="EN30" s="103" t="s">
        <v>166</v>
      </c>
      <c r="EO30" s="103" t="s">
        <v>23</v>
      </c>
      <c r="EP30" s="103" t="s">
        <v>1154</v>
      </c>
      <c r="ES30">
        <v>20</v>
      </c>
      <c r="ET30" t="s">
        <v>166</v>
      </c>
      <c r="EW30" s="165" t="s">
        <v>1880</v>
      </c>
      <c r="EX30" s="165" t="s">
        <v>1881</v>
      </c>
      <c r="EY30">
        <v>3</v>
      </c>
      <c r="EZ30" t="s">
        <v>1942</v>
      </c>
      <c r="FE30" s="103" t="s">
        <v>1440</v>
      </c>
      <c r="FF30">
        <v>0</v>
      </c>
    </row>
    <row r="31" spans="2:162" x14ac:dyDescent="0.35">
      <c r="B31" s="174" t="s">
        <v>1101</v>
      </c>
      <c r="C31" s="175" t="s">
        <v>1083</v>
      </c>
      <c r="D31" s="176" t="str">
        <f>"Web_"&amp;ListAPILink[[#This Row],[Column header]]</f>
        <v>Web_CNUnit</v>
      </c>
      <c r="E31" s="177">
        <v>3</v>
      </c>
      <c r="F31" s="176" t="s">
        <v>1107</v>
      </c>
      <c r="G31" t="s">
        <v>1204</v>
      </c>
      <c r="H31" s="166">
        <v>38</v>
      </c>
      <c r="I31" s="166">
        <v>41</v>
      </c>
      <c r="J31" t="s">
        <v>965</v>
      </c>
      <c r="W31" t="s">
        <v>1353</v>
      </c>
      <c r="X31" t="s">
        <v>1433</v>
      </c>
      <c r="Y31" t="s">
        <v>1416</v>
      </c>
      <c r="Z31">
        <v>0</v>
      </c>
      <c r="AA31" s="103" t="s">
        <v>1353</v>
      </c>
      <c r="AK31" s="103"/>
      <c r="AL31" s="103" t="s">
        <v>1551</v>
      </c>
      <c r="AM31">
        <v>50721062</v>
      </c>
      <c r="AN31" s="103" t="s">
        <v>1552</v>
      </c>
      <c r="AO31" s="103" t="b">
        <v>1</v>
      </c>
      <c r="AP31" s="103" t="b">
        <v>1</v>
      </c>
      <c r="AQ31" s="103" t="b">
        <v>0</v>
      </c>
      <c r="AR31" t="s">
        <v>1986</v>
      </c>
      <c r="AS31" s="103" t="s">
        <v>2093</v>
      </c>
      <c r="BH31" s="103" t="s">
        <v>1666</v>
      </c>
      <c r="BI31" s="103" t="s">
        <v>1646</v>
      </c>
      <c r="BJ31" s="103" t="s">
        <v>1667</v>
      </c>
      <c r="BK31" s="103" t="s">
        <v>1221</v>
      </c>
      <c r="BL31" t="s">
        <v>1648</v>
      </c>
      <c r="BM31" s="103" t="s">
        <v>1210</v>
      </c>
      <c r="BN31" s="103" t="s">
        <v>1154</v>
      </c>
      <c r="BQ31" t="s">
        <v>1270</v>
      </c>
      <c r="BR31" s="103" t="s">
        <v>1270</v>
      </c>
      <c r="DR31" s="103" t="s">
        <v>1801</v>
      </c>
      <c r="DS31" s="103" t="s">
        <v>144</v>
      </c>
      <c r="DT31" s="103" t="s">
        <v>1239</v>
      </c>
      <c r="DX31" t="s">
        <v>1252</v>
      </c>
      <c r="EM31" s="103" t="s">
        <v>1801</v>
      </c>
      <c r="EN31" s="103" t="s">
        <v>144</v>
      </c>
      <c r="EO31" s="103" t="s">
        <v>1239</v>
      </c>
      <c r="EP31" s="103" t="s">
        <v>1154</v>
      </c>
      <c r="ES31">
        <v>7</v>
      </c>
      <c r="ET31" t="s">
        <v>1252</v>
      </c>
      <c r="EW31" s="165" t="s">
        <v>1923</v>
      </c>
      <c r="EX31" s="165" t="s">
        <v>1924</v>
      </c>
      <c r="EY31">
        <v>27</v>
      </c>
      <c r="EZ31" t="s">
        <v>1943</v>
      </c>
      <c r="FE31" s="103" t="s">
        <v>1439</v>
      </c>
      <c r="FF31">
        <v>0</v>
      </c>
    </row>
    <row r="32" spans="2:162" x14ac:dyDescent="0.35">
      <c r="B32" s="174" t="s">
        <v>272</v>
      </c>
      <c r="C32" s="175" t="s">
        <v>1084</v>
      </c>
      <c r="D32" s="176" t="str">
        <f>"Web_"&amp;ListAPILink[[#This Row],[Column header]]</f>
        <v>Web_Activity</v>
      </c>
      <c r="E32" s="177">
        <v>3</v>
      </c>
      <c r="F32" s="176" t="s">
        <v>1108</v>
      </c>
      <c r="G32" t="s">
        <v>1204</v>
      </c>
      <c r="H32" s="166">
        <v>7</v>
      </c>
      <c r="I32" s="166">
        <v>7</v>
      </c>
      <c r="J32" t="s">
        <v>965</v>
      </c>
      <c r="W32" t="s">
        <v>1359</v>
      </c>
      <c r="X32" t="s">
        <v>1415</v>
      </c>
      <c r="Y32" t="s">
        <v>1416</v>
      </c>
      <c r="Z32">
        <v>0</v>
      </c>
      <c r="AA32" s="103" t="s">
        <v>1359</v>
      </c>
      <c r="AK32" s="103"/>
      <c r="AL32" s="103" t="s">
        <v>1553</v>
      </c>
      <c r="AM32">
        <v>50721063</v>
      </c>
      <c r="AN32" s="103" t="s">
        <v>884</v>
      </c>
      <c r="AO32" s="103" t="b">
        <v>1</v>
      </c>
      <c r="AP32" s="103" t="b">
        <v>1</v>
      </c>
      <c r="AQ32" s="103" t="b">
        <v>0</v>
      </c>
      <c r="AR32" t="s">
        <v>1987</v>
      </c>
      <c r="AS32" s="103" t="s">
        <v>2094</v>
      </c>
      <c r="BH32" s="103" t="s">
        <v>1652</v>
      </c>
      <c r="BI32" s="103" t="s">
        <v>1646</v>
      </c>
      <c r="BJ32" s="103" t="s">
        <v>1653</v>
      </c>
      <c r="BK32" s="103" t="s">
        <v>1229</v>
      </c>
      <c r="BL32" t="s">
        <v>1648</v>
      </c>
      <c r="BM32" s="103" t="s">
        <v>1210</v>
      </c>
      <c r="BN32" s="103" t="s">
        <v>1154</v>
      </c>
      <c r="BQ32" t="s">
        <v>1271</v>
      </c>
      <c r="BR32" s="103" t="s">
        <v>1271</v>
      </c>
      <c r="DR32" s="103" t="s">
        <v>1800</v>
      </c>
      <c r="DS32" s="103" t="s">
        <v>142</v>
      </c>
      <c r="DT32" s="103" t="s">
        <v>1239</v>
      </c>
      <c r="DX32" t="s">
        <v>1247</v>
      </c>
      <c r="EM32" s="103" t="s">
        <v>1800</v>
      </c>
      <c r="EN32" s="103" t="s">
        <v>142</v>
      </c>
      <c r="EO32" s="103" t="s">
        <v>1239</v>
      </c>
      <c r="EP32" s="103" t="s">
        <v>1154</v>
      </c>
      <c r="ES32">
        <v>6</v>
      </c>
      <c r="ET32" t="s">
        <v>1247</v>
      </c>
      <c r="EW32" s="165" t="s">
        <v>1921</v>
      </c>
      <c r="EX32" s="165" t="s">
        <v>1922</v>
      </c>
      <c r="EY32">
        <v>26</v>
      </c>
      <c r="EZ32" t="s">
        <v>1944</v>
      </c>
      <c r="FE32" s="103" t="s">
        <v>1438</v>
      </c>
      <c r="FF32">
        <v>0</v>
      </c>
    </row>
    <row r="33" spans="2:162" x14ac:dyDescent="0.35">
      <c r="B33" s="174" t="s">
        <v>1102</v>
      </c>
      <c r="C33" s="175" t="s">
        <v>1085</v>
      </c>
      <c r="D33" s="176" t="str">
        <f>"Web_"&amp;ListAPILink[[#This Row],[Column header]]</f>
        <v>Web_OperatorNIK</v>
      </c>
      <c r="E33" s="177">
        <v>7</v>
      </c>
      <c r="F33" s="176" t="s">
        <v>1109</v>
      </c>
      <c r="G33" t="s">
        <v>1204</v>
      </c>
      <c r="H33" s="166">
        <v>117</v>
      </c>
      <c r="I33" s="166">
        <v>117</v>
      </c>
      <c r="J33" t="s">
        <v>965</v>
      </c>
      <c r="W33" t="s">
        <v>1339</v>
      </c>
      <c r="X33" t="s">
        <v>1424</v>
      </c>
      <c r="Y33" t="s">
        <v>1416</v>
      </c>
      <c r="Z33">
        <v>0</v>
      </c>
      <c r="AA33" s="103" t="s">
        <v>1339</v>
      </c>
      <c r="AK33" s="103"/>
      <c r="AL33" s="103" t="s">
        <v>1554</v>
      </c>
      <c r="AM33">
        <v>50721064</v>
      </c>
      <c r="AN33" s="103" t="s">
        <v>886</v>
      </c>
      <c r="AO33" s="103" t="b">
        <v>1</v>
      </c>
      <c r="AP33" s="103" t="b">
        <v>1</v>
      </c>
      <c r="AQ33" s="103" t="b">
        <v>0</v>
      </c>
      <c r="AR33" t="s">
        <v>1988</v>
      </c>
      <c r="AS33" s="103" t="s">
        <v>2095</v>
      </c>
      <c r="BH33" s="103" t="s">
        <v>1685</v>
      </c>
      <c r="BI33" s="103" t="s">
        <v>1646</v>
      </c>
      <c r="BJ33" s="103" t="s">
        <v>1236</v>
      </c>
      <c r="BK33" s="103" t="s">
        <v>1236</v>
      </c>
      <c r="BL33" t="s">
        <v>1672</v>
      </c>
      <c r="BM33" s="103"/>
      <c r="BN33" s="103" t="s">
        <v>1154</v>
      </c>
      <c r="BQ33" t="s">
        <v>1236</v>
      </c>
      <c r="BR33" s="103" t="s">
        <v>1236</v>
      </c>
      <c r="DR33" s="103" t="s">
        <v>1803</v>
      </c>
      <c r="DS33" s="103" t="s">
        <v>147</v>
      </c>
      <c r="DT33" s="103" t="s">
        <v>1239</v>
      </c>
      <c r="DX33" t="s">
        <v>1243</v>
      </c>
      <c r="EM33" s="103" t="s">
        <v>1803</v>
      </c>
      <c r="EN33" s="103" t="s">
        <v>147</v>
      </c>
      <c r="EO33" s="103" t="s">
        <v>1239</v>
      </c>
      <c r="EP33" s="103" t="s">
        <v>1154</v>
      </c>
      <c r="ES33">
        <v>9</v>
      </c>
      <c r="ET33" t="s">
        <v>1243</v>
      </c>
      <c r="EW33" s="165" t="s">
        <v>1919</v>
      </c>
      <c r="EX33" s="165" t="s">
        <v>1920</v>
      </c>
      <c r="EY33">
        <v>25</v>
      </c>
      <c r="EZ33" t="s">
        <v>1945</v>
      </c>
      <c r="FE33" s="103" t="s">
        <v>1435</v>
      </c>
      <c r="FF33">
        <v>0</v>
      </c>
    </row>
    <row r="34" spans="2:162" x14ac:dyDescent="0.35">
      <c r="B34" s="174" t="s">
        <v>1103</v>
      </c>
      <c r="C34" s="178" t="s">
        <v>1085</v>
      </c>
      <c r="D34" s="176" t="str">
        <f>"Web_"&amp;ListAPILink[[#This Row],[Column header]]</f>
        <v>Web_SupervisorNIK</v>
      </c>
      <c r="E34" s="177">
        <v>7</v>
      </c>
      <c r="F34" s="176" t="s">
        <v>1109</v>
      </c>
      <c r="G34" t="s">
        <v>1204</v>
      </c>
      <c r="H34" s="166">
        <v>117</v>
      </c>
      <c r="I34" s="166">
        <v>117</v>
      </c>
      <c r="J34" t="s">
        <v>965</v>
      </c>
      <c r="W34" t="s">
        <v>1446</v>
      </c>
      <c r="X34" t="s">
        <v>1445</v>
      </c>
      <c r="Y34" t="s">
        <v>1416</v>
      </c>
      <c r="Z34">
        <v>0</v>
      </c>
      <c r="AA34" s="103" t="s">
        <v>1446</v>
      </c>
      <c r="AK34" s="103"/>
      <c r="AL34" s="103" t="s">
        <v>1555</v>
      </c>
      <c r="AM34">
        <v>50721065</v>
      </c>
      <c r="AN34" s="103" t="s">
        <v>869</v>
      </c>
      <c r="AO34" s="103" t="b">
        <v>1</v>
      </c>
      <c r="AP34" s="103" t="b">
        <v>1</v>
      </c>
      <c r="AQ34" s="103" t="b">
        <v>0</v>
      </c>
      <c r="AR34" t="s">
        <v>1989</v>
      </c>
      <c r="AS34" s="103" t="s">
        <v>2096</v>
      </c>
      <c r="BH34" s="103" t="s">
        <v>1661</v>
      </c>
      <c r="BI34" s="103" t="s">
        <v>1646</v>
      </c>
      <c r="BJ34" s="103" t="s">
        <v>1662</v>
      </c>
      <c r="BK34" s="103" t="s">
        <v>1227</v>
      </c>
      <c r="BL34" t="s">
        <v>1663</v>
      </c>
      <c r="BM34" s="103" t="s">
        <v>1211</v>
      </c>
      <c r="BN34" s="103" t="s">
        <v>1154</v>
      </c>
      <c r="BQ34" t="s">
        <v>1272</v>
      </c>
      <c r="BR34" s="103" t="s">
        <v>2139</v>
      </c>
      <c r="DR34" s="103" t="s">
        <v>1802</v>
      </c>
      <c r="DS34" s="103" t="s">
        <v>145</v>
      </c>
      <c r="DT34" s="103" t="s">
        <v>1239</v>
      </c>
      <c r="DX34" t="s">
        <v>1253</v>
      </c>
      <c r="EM34" s="103" t="s">
        <v>1802</v>
      </c>
      <c r="EN34" s="103" t="s">
        <v>145</v>
      </c>
      <c r="EO34" s="103" t="s">
        <v>1239</v>
      </c>
      <c r="EP34" s="103" t="s">
        <v>1154</v>
      </c>
      <c r="ES34">
        <v>8</v>
      </c>
      <c r="ET34" t="s">
        <v>1253</v>
      </c>
      <c r="EW34" s="165" t="s">
        <v>1917</v>
      </c>
      <c r="EX34" s="165" t="s">
        <v>1918</v>
      </c>
      <c r="EY34">
        <v>24</v>
      </c>
      <c r="EZ34" t="s">
        <v>1946</v>
      </c>
      <c r="FE34" s="103" t="s">
        <v>1434</v>
      </c>
      <c r="FF34">
        <v>0</v>
      </c>
    </row>
    <row r="35" spans="2:162" x14ac:dyDescent="0.35">
      <c r="B35" s="174" t="s">
        <v>1104</v>
      </c>
      <c r="C35" s="175" t="s">
        <v>1086</v>
      </c>
      <c r="D35" s="176" t="str">
        <f>"Web_"&amp;ListAPILink[[#This Row],[Column header]]</f>
        <v>Web_PITLocation</v>
      </c>
      <c r="E35" s="177">
        <v>9</v>
      </c>
      <c r="F35" s="176" t="s">
        <v>1110</v>
      </c>
      <c r="G35" t="s">
        <v>1204</v>
      </c>
      <c r="H35" s="166">
        <v>36</v>
      </c>
      <c r="I35" s="166">
        <v>36</v>
      </c>
      <c r="J35" t="s">
        <v>965</v>
      </c>
      <c r="W35" t="s">
        <v>1342</v>
      </c>
      <c r="X35" t="s">
        <v>1422</v>
      </c>
      <c r="Y35" t="s">
        <v>2144</v>
      </c>
      <c r="Z35">
        <v>0</v>
      </c>
      <c r="AA35" s="103" t="s">
        <v>1342</v>
      </c>
      <c r="AK35" s="103"/>
      <c r="AL35" s="103" t="s">
        <v>1556</v>
      </c>
      <c r="AM35">
        <v>50721066</v>
      </c>
      <c r="AN35" s="103" t="s">
        <v>889</v>
      </c>
      <c r="AO35" s="103" t="b">
        <v>1</v>
      </c>
      <c r="AP35" s="103" t="b">
        <v>1</v>
      </c>
      <c r="AQ35" s="103" t="b">
        <v>0</v>
      </c>
      <c r="AR35" t="s">
        <v>1990</v>
      </c>
      <c r="AS35" s="103" t="s">
        <v>2097</v>
      </c>
      <c r="BH35" s="103" t="s">
        <v>1696</v>
      </c>
      <c r="BI35" s="103" t="s">
        <v>1646</v>
      </c>
      <c r="BJ35" s="103" t="s">
        <v>1212</v>
      </c>
      <c r="BK35" s="103" t="s">
        <v>1213</v>
      </c>
      <c r="BL35" t="s">
        <v>1672</v>
      </c>
      <c r="BM35" s="103"/>
      <c r="BN35" s="103" t="s">
        <v>1154</v>
      </c>
      <c r="BQ35" t="s">
        <v>1213</v>
      </c>
      <c r="BR35" s="103" t="s">
        <v>1213</v>
      </c>
      <c r="DR35" s="103" t="s">
        <v>1799</v>
      </c>
      <c r="DS35" s="103" t="s">
        <v>141</v>
      </c>
      <c r="DT35" s="103" t="s">
        <v>1239</v>
      </c>
      <c r="DX35" t="s">
        <v>1246</v>
      </c>
      <c r="EM35" s="103" t="s">
        <v>1799</v>
      </c>
      <c r="EN35" s="103" t="s">
        <v>141</v>
      </c>
      <c r="EO35" s="103" t="s">
        <v>1239</v>
      </c>
      <c r="EP35" s="103" t="s">
        <v>1154</v>
      </c>
      <c r="ES35">
        <v>5</v>
      </c>
      <c r="ET35" t="s">
        <v>1246</v>
      </c>
      <c r="EW35" s="165" t="s">
        <v>1915</v>
      </c>
      <c r="EX35" s="165" t="s">
        <v>1916</v>
      </c>
      <c r="EY35">
        <v>23</v>
      </c>
      <c r="EZ35" t="s">
        <v>1947</v>
      </c>
      <c r="FE35" s="103" t="s">
        <v>1433</v>
      </c>
      <c r="FF35">
        <v>0</v>
      </c>
    </row>
    <row r="36" spans="2:162" x14ac:dyDescent="0.35">
      <c r="B36" s="174" t="s">
        <v>1078</v>
      </c>
      <c r="C36" s="175" t="s">
        <v>1087</v>
      </c>
      <c r="D36" s="176" t="str">
        <f>"Web_"&amp;ListAPILink[[#This Row],[Column header]]</f>
        <v>Web_Loader</v>
      </c>
      <c r="E36" s="177">
        <v>11</v>
      </c>
      <c r="F36" s="176" t="s">
        <v>1111</v>
      </c>
      <c r="G36" t="s">
        <v>1204</v>
      </c>
      <c r="H36" s="166">
        <v>12</v>
      </c>
      <c r="I36" s="166">
        <v>15</v>
      </c>
      <c r="J36" t="s">
        <v>965</v>
      </c>
      <c r="W36" t="s">
        <v>1419</v>
      </c>
      <c r="X36" t="s">
        <v>1418</v>
      </c>
      <c r="Y36" t="s">
        <v>1420</v>
      </c>
      <c r="Z36">
        <v>0</v>
      </c>
      <c r="AA36" s="103" t="s">
        <v>1419</v>
      </c>
      <c r="AK36" s="103"/>
      <c r="AL36" s="103" t="s">
        <v>1557</v>
      </c>
      <c r="AM36">
        <v>50721067</v>
      </c>
      <c r="AN36" s="103" t="s">
        <v>891</v>
      </c>
      <c r="AO36" s="103" t="b">
        <v>1</v>
      </c>
      <c r="AP36" s="103" t="b">
        <v>1</v>
      </c>
      <c r="AQ36" s="103" t="b">
        <v>0</v>
      </c>
      <c r="AR36" t="s">
        <v>1991</v>
      </c>
      <c r="AS36" s="103" t="s">
        <v>2098</v>
      </c>
      <c r="BH36" s="103" t="s">
        <v>1695</v>
      </c>
      <c r="BI36" s="103" t="s">
        <v>1646</v>
      </c>
      <c r="BJ36" s="103" t="s">
        <v>1234</v>
      </c>
      <c r="BK36" s="103" t="s">
        <v>1235</v>
      </c>
      <c r="BL36" t="s">
        <v>1672</v>
      </c>
      <c r="BM36" s="103"/>
      <c r="BN36" s="103" t="s">
        <v>1154</v>
      </c>
      <c r="BQ36" t="s">
        <v>1235</v>
      </c>
      <c r="BR36" s="103" t="s">
        <v>1235</v>
      </c>
      <c r="DR36" s="103" t="s">
        <v>1796</v>
      </c>
      <c r="DS36" s="103" t="s">
        <v>138</v>
      </c>
      <c r="DT36" s="103" t="s">
        <v>1239</v>
      </c>
      <c r="DX36" t="s">
        <v>1254</v>
      </c>
      <c r="EM36" s="103" t="s">
        <v>1796</v>
      </c>
      <c r="EN36" s="103" t="s">
        <v>138</v>
      </c>
      <c r="EO36" s="103" t="s">
        <v>1239</v>
      </c>
      <c r="EP36" s="103" t="s">
        <v>1154</v>
      </c>
      <c r="ES36">
        <v>2</v>
      </c>
      <c r="ET36" t="s">
        <v>1254</v>
      </c>
      <c r="EW36" s="165" t="s">
        <v>1913</v>
      </c>
      <c r="EX36" s="165" t="s">
        <v>1914</v>
      </c>
      <c r="EY36">
        <v>22</v>
      </c>
      <c r="EZ36" t="s">
        <v>1948</v>
      </c>
      <c r="FE36" s="103" t="s">
        <v>1432</v>
      </c>
      <c r="FF36">
        <v>0</v>
      </c>
    </row>
    <row r="37" spans="2:162" x14ac:dyDescent="0.35">
      <c r="B37" s="174" t="s">
        <v>1017</v>
      </c>
      <c r="C37" s="175" t="s">
        <v>1088</v>
      </c>
      <c r="D37" s="176" t="str">
        <f>"Web_"&amp;ListAPILink[[#This Row],[Column header]]</f>
        <v>Web_Source</v>
      </c>
      <c r="E37" s="177">
        <v>5</v>
      </c>
      <c r="F37" s="176" t="s">
        <v>1112</v>
      </c>
      <c r="G37" t="s">
        <v>1204</v>
      </c>
      <c r="H37" s="166">
        <v>16</v>
      </c>
      <c r="I37" s="166">
        <v>16</v>
      </c>
      <c r="J37" t="s">
        <v>965</v>
      </c>
      <c r="W37" t="s">
        <v>1412</v>
      </c>
      <c r="X37" t="s">
        <v>1411</v>
      </c>
      <c r="Y37" t="s">
        <v>1413</v>
      </c>
      <c r="Z37">
        <v>0</v>
      </c>
      <c r="AA37" s="103" t="s">
        <v>1412</v>
      </c>
      <c r="AK37" s="103"/>
      <c r="AL37" s="103" t="s">
        <v>1558</v>
      </c>
      <c r="AM37">
        <v>50721068</v>
      </c>
      <c r="AN37" s="103" t="s">
        <v>893</v>
      </c>
      <c r="AO37" s="103" t="b">
        <v>1</v>
      </c>
      <c r="AP37" s="103" t="b">
        <v>1</v>
      </c>
      <c r="AQ37" s="103" t="b">
        <v>0</v>
      </c>
      <c r="AR37" t="s">
        <v>1992</v>
      </c>
      <c r="AS37" s="103" t="s">
        <v>2099</v>
      </c>
      <c r="BH37" s="103" t="s">
        <v>1686</v>
      </c>
      <c r="BI37" s="103" t="s">
        <v>1646</v>
      </c>
      <c r="BJ37" s="103" t="s">
        <v>1687</v>
      </c>
      <c r="BK37" s="103" t="s">
        <v>1217</v>
      </c>
      <c r="BL37" t="s">
        <v>1672</v>
      </c>
      <c r="BM37" s="103"/>
      <c r="BN37" s="103" t="s">
        <v>1154</v>
      </c>
      <c r="BQ37" t="s">
        <v>1217</v>
      </c>
      <c r="BR37" s="103" t="s">
        <v>1217</v>
      </c>
      <c r="DR37" s="103" t="s">
        <v>1795</v>
      </c>
      <c r="DS37" s="103" t="s">
        <v>19</v>
      </c>
      <c r="DT37" s="103" t="s">
        <v>1238</v>
      </c>
      <c r="DX37" t="s">
        <v>1242</v>
      </c>
      <c r="EM37" s="103" t="s">
        <v>1795</v>
      </c>
      <c r="EN37" s="103" t="s">
        <v>19</v>
      </c>
      <c r="EO37" s="103" t="s">
        <v>1238</v>
      </c>
      <c r="EP37" s="103" t="s">
        <v>1154</v>
      </c>
      <c r="ES37">
        <v>1</v>
      </c>
      <c r="ET37" t="s">
        <v>1242</v>
      </c>
      <c r="EW37" s="165" t="s">
        <v>1911</v>
      </c>
      <c r="EX37" s="165" t="s">
        <v>1912</v>
      </c>
      <c r="EY37">
        <v>21</v>
      </c>
      <c r="EZ37" t="s">
        <v>1949</v>
      </c>
      <c r="FE37" s="103" t="s">
        <v>1431</v>
      </c>
      <c r="FF37">
        <v>0</v>
      </c>
    </row>
    <row r="38" spans="2:162" x14ac:dyDescent="0.35">
      <c r="B38" s="174" t="s">
        <v>1079</v>
      </c>
      <c r="C38" s="175" t="s">
        <v>1089</v>
      </c>
      <c r="D38" s="176" t="str">
        <f>"Web_"&amp;ListAPILink[[#This Row],[Column header]]</f>
        <v>Web_destination</v>
      </c>
      <c r="E38" s="177">
        <v>2</v>
      </c>
      <c r="F38" s="176" t="s">
        <v>1113</v>
      </c>
      <c r="G38" t="s">
        <v>1204</v>
      </c>
      <c r="H38" s="166">
        <v>10</v>
      </c>
      <c r="I38" s="166">
        <v>10</v>
      </c>
      <c r="J38" t="s">
        <v>965</v>
      </c>
      <c r="W38" t="s">
        <v>1444</v>
      </c>
      <c r="X38" t="s">
        <v>1443</v>
      </c>
      <c r="Y38" t="s">
        <v>1413</v>
      </c>
      <c r="Z38">
        <v>0</v>
      </c>
      <c r="AA38" s="103" t="s">
        <v>1444</v>
      </c>
      <c r="AK38" s="103"/>
      <c r="AL38" s="103" t="s">
        <v>1559</v>
      </c>
      <c r="AM38">
        <v>50721069</v>
      </c>
      <c r="AN38" s="103" t="s">
        <v>894</v>
      </c>
      <c r="AO38" s="103" t="b">
        <v>1</v>
      </c>
      <c r="AP38" s="103" t="b">
        <v>1</v>
      </c>
      <c r="AQ38" s="103" t="b">
        <v>0</v>
      </c>
      <c r="AR38" t="s">
        <v>1993</v>
      </c>
      <c r="AS38" s="103" t="s">
        <v>2100</v>
      </c>
      <c r="BH38" s="103" t="s">
        <v>1678</v>
      </c>
      <c r="BI38" s="103" t="s">
        <v>1646</v>
      </c>
      <c r="BJ38" s="103" t="s">
        <v>1679</v>
      </c>
      <c r="BK38" s="103" t="s">
        <v>1680</v>
      </c>
      <c r="BL38" t="s">
        <v>1672</v>
      </c>
      <c r="BM38" s="103"/>
      <c r="BN38" s="103" t="s">
        <v>1154</v>
      </c>
      <c r="BQ38" t="s">
        <v>1680</v>
      </c>
      <c r="BR38" s="103" t="s">
        <v>2140</v>
      </c>
      <c r="DR38" s="103" t="s">
        <v>1798</v>
      </c>
      <c r="DS38" s="103" t="s">
        <v>140</v>
      </c>
      <c r="DT38" s="103" t="s">
        <v>1239</v>
      </c>
      <c r="DX38" t="s">
        <v>1249</v>
      </c>
      <c r="EM38" s="103" t="s">
        <v>1798</v>
      </c>
      <c r="EN38" s="103" t="s">
        <v>140</v>
      </c>
      <c r="EO38" s="103" t="s">
        <v>1239</v>
      </c>
      <c r="EP38" s="103" t="s">
        <v>1154</v>
      </c>
      <c r="ES38">
        <v>4</v>
      </c>
      <c r="ET38" t="s">
        <v>1249</v>
      </c>
      <c r="EW38" s="165" t="s">
        <v>1925</v>
      </c>
      <c r="EX38" s="165" t="s">
        <v>1926</v>
      </c>
      <c r="EY38">
        <v>28</v>
      </c>
      <c r="EZ38" t="s">
        <v>1950</v>
      </c>
      <c r="FE38" s="103" t="s">
        <v>1429</v>
      </c>
      <c r="FF38">
        <v>50</v>
      </c>
    </row>
    <row r="39" spans="2:162" x14ac:dyDescent="0.35">
      <c r="B39" s="174" t="s">
        <v>34</v>
      </c>
      <c r="C39" s="175" t="s">
        <v>1090</v>
      </c>
      <c r="D39" s="176" t="str">
        <f>"Web_"&amp;ListAPILink[[#This Row],[Column header]]</f>
        <v>Web_Material</v>
      </c>
      <c r="E39" s="177">
        <v>2</v>
      </c>
      <c r="F39" s="176" t="s">
        <v>1113</v>
      </c>
      <c r="G39" t="s">
        <v>1204</v>
      </c>
      <c r="H39" s="166">
        <v>16</v>
      </c>
      <c r="I39" s="166">
        <v>16</v>
      </c>
      <c r="J39" t="s">
        <v>965</v>
      </c>
      <c r="W39" t="s">
        <v>1186</v>
      </c>
      <c r="X39" t="s">
        <v>1185</v>
      </c>
      <c r="Y39" t="s">
        <v>1421</v>
      </c>
      <c r="Z39">
        <v>0</v>
      </c>
      <c r="AA39" s="103" t="s">
        <v>1186</v>
      </c>
      <c r="AK39" s="103"/>
      <c r="AL39" s="103" t="s">
        <v>1560</v>
      </c>
      <c r="AM39">
        <v>50721070</v>
      </c>
      <c r="AN39" s="103" t="s">
        <v>896</v>
      </c>
      <c r="AO39" s="103" t="b">
        <v>1</v>
      </c>
      <c r="AP39" s="103" t="b">
        <v>1</v>
      </c>
      <c r="AQ39" s="103" t="b">
        <v>0</v>
      </c>
      <c r="AR39" t="s">
        <v>1994</v>
      </c>
      <c r="AS39" s="103" t="s">
        <v>2101</v>
      </c>
      <c r="BH39" s="103" t="s">
        <v>1674</v>
      </c>
      <c r="BI39" s="103" t="s">
        <v>1646</v>
      </c>
      <c r="BJ39" s="103" t="s">
        <v>1218</v>
      </c>
      <c r="BK39" s="103" t="s">
        <v>1219</v>
      </c>
      <c r="BL39" t="s">
        <v>1672</v>
      </c>
      <c r="BM39" s="103"/>
      <c r="BN39" s="103" t="s">
        <v>1154</v>
      </c>
      <c r="BQ39" t="s">
        <v>1219</v>
      </c>
      <c r="BR39" s="103" t="s">
        <v>1219</v>
      </c>
      <c r="DR39" s="103" t="s">
        <v>1797</v>
      </c>
      <c r="DS39" s="103" t="s">
        <v>139</v>
      </c>
      <c r="DT39" s="103" t="s">
        <v>1239</v>
      </c>
      <c r="DX39" t="s">
        <v>1248</v>
      </c>
      <c r="EM39" s="103" t="s">
        <v>1797</v>
      </c>
      <c r="EN39" s="103" t="s">
        <v>139</v>
      </c>
      <c r="EO39" s="103" t="s">
        <v>1239</v>
      </c>
      <c r="EP39" s="103" t="s">
        <v>1154</v>
      </c>
      <c r="ES39">
        <v>3</v>
      </c>
      <c r="ET39" t="s">
        <v>1248</v>
      </c>
      <c r="FE39" s="103" t="s">
        <v>1426</v>
      </c>
      <c r="FF39">
        <v>0</v>
      </c>
    </row>
    <row r="40" spans="2:162" x14ac:dyDescent="0.35">
      <c r="B40" s="174" t="s">
        <v>1105</v>
      </c>
      <c r="C40" s="175" t="s">
        <v>1091</v>
      </c>
      <c r="D40" s="176" t="str">
        <f>"Web_"&amp;ListAPILink[[#This Row],[Column header]]</f>
        <v>Web_Event_Category</v>
      </c>
      <c r="E40" s="177">
        <v>10</v>
      </c>
      <c r="F40" s="176" t="s">
        <v>1117</v>
      </c>
      <c r="G40" t="s">
        <v>1204</v>
      </c>
      <c r="H40" s="166">
        <v>9</v>
      </c>
      <c r="I40" s="166">
        <v>9</v>
      </c>
      <c r="J40" t="s">
        <v>965</v>
      </c>
      <c r="W40" t="s">
        <v>1188</v>
      </c>
      <c r="X40" t="s">
        <v>1187</v>
      </c>
      <c r="Y40" t="s">
        <v>1441</v>
      </c>
      <c r="Z40">
        <v>0</v>
      </c>
      <c r="AA40" s="103" t="s">
        <v>1188</v>
      </c>
      <c r="AK40" s="103"/>
      <c r="AL40" s="103" t="s">
        <v>1561</v>
      </c>
      <c r="AM40">
        <v>50721071</v>
      </c>
      <c r="AN40" s="103" t="s">
        <v>898</v>
      </c>
      <c r="AO40" s="103" t="b">
        <v>1</v>
      </c>
      <c r="AP40" s="103" t="b">
        <v>1</v>
      </c>
      <c r="AQ40" s="103" t="b">
        <v>0</v>
      </c>
      <c r="AR40" t="s">
        <v>1995</v>
      </c>
      <c r="AS40" s="103" t="s">
        <v>2102</v>
      </c>
      <c r="BH40" s="103" t="s">
        <v>1673</v>
      </c>
      <c r="BI40" s="103" t="s">
        <v>1646</v>
      </c>
      <c r="BJ40" s="103" t="s">
        <v>1220</v>
      </c>
      <c r="BK40" s="103" t="s">
        <v>1221</v>
      </c>
      <c r="BL40" t="s">
        <v>1672</v>
      </c>
      <c r="BM40" s="103"/>
      <c r="BN40" s="103" t="s">
        <v>1154</v>
      </c>
      <c r="BQ40" t="s">
        <v>1221</v>
      </c>
      <c r="BR40" s="103" t="s">
        <v>1221</v>
      </c>
      <c r="DR40" s="103" t="s">
        <v>1804</v>
      </c>
      <c r="DS40" s="103" t="s">
        <v>557</v>
      </c>
      <c r="DT40" s="103" t="s">
        <v>1239</v>
      </c>
      <c r="DX40" t="s">
        <v>1245</v>
      </c>
      <c r="EM40" s="103" t="s">
        <v>1804</v>
      </c>
      <c r="EN40" s="103" t="s">
        <v>557</v>
      </c>
      <c r="EO40" s="103" t="s">
        <v>1239</v>
      </c>
      <c r="EP40" s="103" t="s">
        <v>1154</v>
      </c>
      <c r="ES40">
        <v>10</v>
      </c>
      <c r="ET40" t="s">
        <v>1245</v>
      </c>
      <c r="FE40" s="103" t="s">
        <v>1425</v>
      </c>
      <c r="FF40">
        <v>0</v>
      </c>
    </row>
    <row r="41" spans="2:162" x14ac:dyDescent="0.35">
      <c r="B41" s="174" t="s">
        <v>1098</v>
      </c>
      <c r="C41" s="175" t="s">
        <v>1092</v>
      </c>
      <c r="D41" s="176" t="str">
        <f>"Web_"&amp;ListAPILink[[#This Row],[Column header]]</f>
        <v>Web_Event_Activity</v>
      </c>
      <c r="E41" s="177">
        <v>5</v>
      </c>
      <c r="F41" s="176" t="s">
        <v>1114</v>
      </c>
      <c r="G41" t="s">
        <v>1204</v>
      </c>
      <c r="H41" s="166">
        <v>79</v>
      </c>
      <c r="I41" s="166">
        <v>79</v>
      </c>
      <c r="J41" t="s">
        <v>965</v>
      </c>
      <c r="W41" t="s">
        <v>1340</v>
      </c>
      <c r="X41" t="s">
        <v>1442</v>
      </c>
      <c r="Y41" t="s">
        <v>1345</v>
      </c>
      <c r="Z41">
        <v>0</v>
      </c>
      <c r="AA41" s="103" t="s">
        <v>1340</v>
      </c>
      <c r="AK41" s="103"/>
      <c r="AL41" s="103" t="s">
        <v>1562</v>
      </c>
      <c r="AM41">
        <v>50721072</v>
      </c>
      <c r="AN41" s="103" t="s">
        <v>900</v>
      </c>
      <c r="AO41" s="103" t="b">
        <v>1</v>
      </c>
      <c r="AP41" s="103" t="b">
        <v>1</v>
      </c>
      <c r="AQ41" s="103" t="b">
        <v>0</v>
      </c>
      <c r="AR41" t="s">
        <v>1996</v>
      </c>
      <c r="AS41" s="103" t="s">
        <v>2103</v>
      </c>
      <c r="BH41" s="103" t="s">
        <v>1671</v>
      </c>
      <c r="BI41" s="103" t="s">
        <v>1646</v>
      </c>
      <c r="BJ41" s="103" t="s">
        <v>1228</v>
      </c>
      <c r="BK41" s="103" t="s">
        <v>1229</v>
      </c>
      <c r="BL41" t="s">
        <v>1672</v>
      </c>
      <c r="BM41" s="103"/>
      <c r="BN41" s="103" t="s">
        <v>1154</v>
      </c>
      <c r="BQ41" t="s">
        <v>1229</v>
      </c>
      <c r="BR41" s="103" t="s">
        <v>1229</v>
      </c>
      <c r="DR41" s="103" t="s">
        <v>1811</v>
      </c>
      <c r="DS41" s="103" t="s">
        <v>136</v>
      </c>
      <c r="DT41" s="103" t="s">
        <v>1239</v>
      </c>
      <c r="DX41" t="s">
        <v>1256</v>
      </c>
      <c r="EM41" s="103" t="s">
        <v>1811</v>
      </c>
      <c r="EN41" s="103" t="s">
        <v>136</v>
      </c>
      <c r="EO41" s="103" t="s">
        <v>1239</v>
      </c>
      <c r="EP41" s="103" t="s">
        <v>1154</v>
      </c>
      <c r="ES41">
        <v>17</v>
      </c>
      <c r="ET41" t="s">
        <v>1256</v>
      </c>
      <c r="FE41" s="103" t="s">
        <v>1424</v>
      </c>
      <c r="FF41">
        <v>0</v>
      </c>
    </row>
    <row r="42" spans="2:162" x14ac:dyDescent="0.35">
      <c r="B42" s="174" t="s">
        <v>1099</v>
      </c>
      <c r="C42" s="175" t="s">
        <v>1091</v>
      </c>
      <c r="D42" s="176" t="str">
        <f>"Web_"&amp;ListAPILink[[#This Row],[Column header]]</f>
        <v>Web_Problem_Category</v>
      </c>
      <c r="E42" s="177">
        <v>7</v>
      </c>
      <c r="F42" s="176" t="s">
        <v>1115</v>
      </c>
      <c r="G42" t="s">
        <v>1204</v>
      </c>
      <c r="H42" s="166">
        <v>9</v>
      </c>
      <c r="I42" s="166">
        <v>9</v>
      </c>
      <c r="J42" t="s">
        <v>965</v>
      </c>
      <c r="W42" t="s">
        <v>1341</v>
      </c>
      <c r="X42" t="s">
        <v>1426</v>
      </c>
      <c r="Y42" t="s">
        <v>1345</v>
      </c>
      <c r="Z42">
        <v>0</v>
      </c>
      <c r="AA42" s="103" t="s">
        <v>1341</v>
      </c>
      <c r="AK42" s="103"/>
      <c r="AL42" s="103" t="s">
        <v>1563</v>
      </c>
      <c r="AM42">
        <v>50721073</v>
      </c>
      <c r="AN42" s="103" t="s">
        <v>902</v>
      </c>
      <c r="AO42" s="103" t="b">
        <v>1</v>
      </c>
      <c r="AP42" s="103" t="b">
        <v>1</v>
      </c>
      <c r="AQ42" s="103" t="b">
        <v>0</v>
      </c>
      <c r="AR42" t="s">
        <v>1997</v>
      </c>
      <c r="AS42" s="103" t="s">
        <v>2104</v>
      </c>
      <c r="BH42" s="103" t="s">
        <v>1703</v>
      </c>
      <c r="BI42" s="103" t="s">
        <v>1646</v>
      </c>
      <c r="BJ42" s="103" t="s">
        <v>1704</v>
      </c>
      <c r="BK42" s="103" t="s">
        <v>1705</v>
      </c>
      <c r="BL42" t="s">
        <v>1706</v>
      </c>
      <c r="BM42" s="103"/>
      <c r="BN42" s="103" t="s">
        <v>1154</v>
      </c>
      <c r="BQ42" t="s">
        <v>1705</v>
      </c>
      <c r="BR42" s="103" t="s">
        <v>1705</v>
      </c>
      <c r="DR42" s="103" t="s">
        <v>1810</v>
      </c>
      <c r="DS42" s="103" t="s">
        <v>143</v>
      </c>
      <c r="DT42" s="103" t="s">
        <v>1239</v>
      </c>
      <c r="DX42" t="s">
        <v>1259</v>
      </c>
      <c r="EM42" s="103" t="s">
        <v>1810</v>
      </c>
      <c r="EN42" s="103" t="s">
        <v>143</v>
      </c>
      <c r="EO42" s="103" t="s">
        <v>1239</v>
      </c>
      <c r="EP42" s="103" t="s">
        <v>1154</v>
      </c>
      <c r="ES42">
        <v>16</v>
      </c>
      <c r="ET42" t="s">
        <v>1259</v>
      </c>
      <c r="FE42" s="103" t="s">
        <v>1185</v>
      </c>
      <c r="FF42">
        <v>0</v>
      </c>
    </row>
    <row r="43" spans="2:162" x14ac:dyDescent="0.35">
      <c r="B43" s="174" t="s">
        <v>1100</v>
      </c>
      <c r="C43" s="175" t="s">
        <v>1092</v>
      </c>
      <c r="D43" s="176" t="str">
        <f>"Web_"&amp;ListAPILink[[#This Row],[Column header]]</f>
        <v>Web_Problem_Activity</v>
      </c>
      <c r="E43" s="177">
        <v>6</v>
      </c>
      <c r="F43" s="176" t="s">
        <v>1116</v>
      </c>
      <c r="G43" t="s">
        <v>1204</v>
      </c>
      <c r="H43" s="166">
        <v>79</v>
      </c>
      <c r="I43" s="166">
        <v>79</v>
      </c>
      <c r="J43" t="s">
        <v>965</v>
      </c>
      <c r="W43" t="s">
        <v>1343</v>
      </c>
      <c r="X43" t="s">
        <v>1414</v>
      </c>
      <c r="Y43" t="s">
        <v>1345</v>
      </c>
      <c r="Z43">
        <v>0</v>
      </c>
      <c r="AA43" s="103" t="s">
        <v>1343</v>
      </c>
      <c r="AK43" s="103"/>
      <c r="AL43" s="103" t="s">
        <v>1564</v>
      </c>
      <c r="AM43">
        <v>50721074</v>
      </c>
      <c r="AN43" s="103" t="s">
        <v>904</v>
      </c>
      <c r="AO43" s="103" t="b">
        <v>1</v>
      </c>
      <c r="AP43" s="103" t="b">
        <v>1</v>
      </c>
      <c r="AQ43" s="103" t="b">
        <v>0</v>
      </c>
      <c r="AR43" t="s">
        <v>1998</v>
      </c>
      <c r="AS43" s="103" t="s">
        <v>2105</v>
      </c>
      <c r="BH43" s="103" t="s">
        <v>1707</v>
      </c>
      <c r="BI43" s="103" t="s">
        <v>1646</v>
      </c>
      <c r="BJ43" s="103" t="s">
        <v>1708</v>
      </c>
      <c r="BK43" s="103" t="s">
        <v>1233</v>
      </c>
      <c r="BL43" t="s">
        <v>1706</v>
      </c>
      <c r="BM43" s="103"/>
      <c r="BN43" s="103" t="s">
        <v>1154</v>
      </c>
      <c r="BQ43" t="s">
        <v>1233</v>
      </c>
      <c r="BR43" s="103" t="s">
        <v>1233</v>
      </c>
      <c r="DR43" s="103" t="s">
        <v>1813</v>
      </c>
      <c r="DS43" s="103" t="s">
        <v>152</v>
      </c>
      <c r="DT43" s="103" t="s">
        <v>23</v>
      </c>
      <c r="DX43" t="s">
        <v>152</v>
      </c>
      <c r="EM43" s="103" t="s">
        <v>1813</v>
      </c>
      <c r="EN43" s="103" t="s">
        <v>152</v>
      </c>
      <c r="EO43" s="103" t="s">
        <v>23</v>
      </c>
      <c r="EP43" s="103" t="s">
        <v>1154</v>
      </c>
      <c r="ES43">
        <v>19</v>
      </c>
      <c r="ET43" t="s">
        <v>152</v>
      </c>
      <c r="FE43" s="103" t="s">
        <v>1418</v>
      </c>
      <c r="FF43">
        <v>0</v>
      </c>
    </row>
    <row r="44" spans="2:162" x14ac:dyDescent="0.35">
      <c r="B44" s="174" t="s">
        <v>1129</v>
      </c>
      <c r="C44" s="175" t="s">
        <v>1130</v>
      </c>
      <c r="D44" s="176" t="str">
        <f>"Web_"&amp;ListAPILink[[#This Row],[Column header]]</f>
        <v>Web_AccountingPeriod</v>
      </c>
      <c r="E44" s="179">
        <v>2</v>
      </c>
      <c r="F44" s="176" t="s">
        <v>1113</v>
      </c>
      <c r="G44" t="s">
        <v>1204</v>
      </c>
      <c r="H44" s="166">
        <v>28</v>
      </c>
      <c r="I44" s="166">
        <v>28</v>
      </c>
      <c r="J44" t="s">
        <v>965</v>
      </c>
      <c r="W44" t="s">
        <v>1350</v>
      </c>
      <c r="X44" t="s">
        <v>1453</v>
      </c>
      <c r="Y44" t="s">
        <v>1345</v>
      </c>
      <c r="Z44">
        <v>0</v>
      </c>
      <c r="AA44" s="103" t="s">
        <v>1350</v>
      </c>
      <c r="AK44" s="103"/>
      <c r="AL44" s="103" t="s">
        <v>1565</v>
      </c>
      <c r="AM44">
        <v>50721075</v>
      </c>
      <c r="AN44" s="103" t="s">
        <v>935</v>
      </c>
      <c r="AO44" s="103" t="b">
        <v>1</v>
      </c>
      <c r="AP44" s="103" t="b">
        <v>1</v>
      </c>
      <c r="AQ44" s="103" t="b">
        <v>0</v>
      </c>
      <c r="AR44" t="s">
        <v>1999</v>
      </c>
      <c r="AS44" s="103" t="s">
        <v>2106</v>
      </c>
      <c r="DR44" s="103" t="s">
        <v>1812</v>
      </c>
      <c r="DS44" s="103" t="s">
        <v>137</v>
      </c>
      <c r="DT44" s="103" t="s">
        <v>1239</v>
      </c>
      <c r="DX44" t="s">
        <v>1257</v>
      </c>
      <c r="EM44" s="103" t="s">
        <v>1812</v>
      </c>
      <c r="EN44" s="103" t="s">
        <v>137</v>
      </c>
      <c r="EO44" s="103" t="s">
        <v>1239</v>
      </c>
      <c r="EP44" s="103" t="s">
        <v>1154</v>
      </c>
      <c r="ES44">
        <v>18</v>
      </c>
      <c r="ET44" t="s">
        <v>1257</v>
      </c>
      <c r="FE44" s="103" t="s">
        <v>1417</v>
      </c>
      <c r="FF44">
        <v>0</v>
      </c>
    </row>
    <row r="45" spans="2:162" x14ac:dyDescent="0.35">
      <c r="B45" s="174" t="s">
        <v>1144</v>
      </c>
      <c r="C45" s="175" t="s">
        <v>1145</v>
      </c>
      <c r="D45" s="176" t="str">
        <f>"Web_"&amp;ListAPILink[[#This Row],[Column header]]</f>
        <v>Web_ApplicationUser</v>
      </c>
      <c r="E45" s="179">
        <v>13</v>
      </c>
      <c r="F45" s="176" t="s">
        <v>1146</v>
      </c>
      <c r="H45" s="166">
        <v>15</v>
      </c>
      <c r="I45" s="166">
        <v>15</v>
      </c>
      <c r="J45" t="s">
        <v>231</v>
      </c>
      <c r="W45" t="s">
        <v>1362</v>
      </c>
      <c r="X45" t="s">
        <v>1451</v>
      </c>
      <c r="Y45" t="s">
        <v>1345</v>
      </c>
      <c r="Z45">
        <v>0</v>
      </c>
      <c r="AA45" s="103" t="s">
        <v>1362</v>
      </c>
      <c r="AK45" s="103"/>
      <c r="AL45" s="103" t="s">
        <v>1566</v>
      </c>
      <c r="AM45">
        <v>50721076</v>
      </c>
      <c r="AN45" s="103" t="s">
        <v>937</v>
      </c>
      <c r="AO45" s="103" t="b">
        <v>1</v>
      </c>
      <c r="AP45" s="103" t="b">
        <v>1</v>
      </c>
      <c r="AQ45" s="103" t="b">
        <v>0</v>
      </c>
      <c r="AR45" t="s">
        <v>2000</v>
      </c>
      <c r="AS45" s="103" t="s">
        <v>2107</v>
      </c>
      <c r="DR45" s="103" t="s">
        <v>1809</v>
      </c>
      <c r="DS45" s="103" t="s">
        <v>134</v>
      </c>
      <c r="DT45" s="103" t="s">
        <v>1239</v>
      </c>
      <c r="DX45" t="s">
        <v>1258</v>
      </c>
      <c r="EM45" s="103" t="s">
        <v>1809</v>
      </c>
      <c r="EN45" s="103" t="s">
        <v>134</v>
      </c>
      <c r="EO45" s="103" t="s">
        <v>1239</v>
      </c>
      <c r="EP45" s="103" t="s">
        <v>1154</v>
      </c>
      <c r="ES45">
        <v>15</v>
      </c>
      <c r="ET45" t="s">
        <v>1258</v>
      </c>
      <c r="FE45" s="103" t="s">
        <v>1415</v>
      </c>
      <c r="FF45">
        <v>0</v>
      </c>
    </row>
    <row r="46" spans="2:162" x14ac:dyDescent="0.35">
      <c r="W46" t="s">
        <v>1428</v>
      </c>
      <c r="X46" t="s">
        <v>1427</v>
      </c>
      <c r="Y46" t="s">
        <v>2145</v>
      </c>
      <c r="Z46">
        <v>30</v>
      </c>
      <c r="AA46" s="103" t="s">
        <v>1428</v>
      </c>
      <c r="AK46" s="103"/>
      <c r="AL46" s="103" t="s">
        <v>1567</v>
      </c>
      <c r="AM46">
        <v>50721077</v>
      </c>
      <c r="AN46" s="103" t="s">
        <v>939</v>
      </c>
      <c r="AO46" s="103" t="b">
        <v>1</v>
      </c>
      <c r="AP46" s="103" t="b">
        <v>1</v>
      </c>
      <c r="AQ46" s="103" t="b">
        <v>0</v>
      </c>
      <c r="AR46" t="s">
        <v>2001</v>
      </c>
      <c r="AS46" s="103" t="s">
        <v>2108</v>
      </c>
      <c r="DR46" s="103" t="s">
        <v>1806</v>
      </c>
      <c r="DS46" s="103" t="s">
        <v>15</v>
      </c>
      <c r="DT46" s="103" t="s">
        <v>1239</v>
      </c>
      <c r="DX46" t="s">
        <v>1251</v>
      </c>
      <c r="EM46" s="103" t="s">
        <v>1806</v>
      </c>
      <c r="EN46" s="103" t="s">
        <v>15</v>
      </c>
      <c r="EO46" s="103" t="s">
        <v>1239</v>
      </c>
      <c r="EP46" s="103" t="s">
        <v>1154</v>
      </c>
      <c r="ES46">
        <v>12</v>
      </c>
      <c r="ET46" t="s">
        <v>1251</v>
      </c>
      <c r="FE46" s="103" t="s">
        <v>1414</v>
      </c>
      <c r="FF46">
        <v>0</v>
      </c>
    </row>
    <row r="47" spans="2:162" x14ac:dyDescent="0.35">
      <c r="W47" t="s">
        <v>1430</v>
      </c>
      <c r="X47" t="s">
        <v>1429</v>
      </c>
      <c r="Y47" t="s">
        <v>2142</v>
      </c>
      <c r="Z47">
        <v>50</v>
      </c>
      <c r="AA47" s="103" t="s">
        <v>1430</v>
      </c>
      <c r="AK47" s="103"/>
      <c r="AL47" s="103" t="s">
        <v>1568</v>
      </c>
      <c r="AM47">
        <v>50721078</v>
      </c>
      <c r="AN47" s="103" t="s">
        <v>941</v>
      </c>
      <c r="AO47" s="103" t="b">
        <v>1</v>
      </c>
      <c r="AP47" s="103" t="b">
        <v>1</v>
      </c>
      <c r="AQ47" s="103" t="b">
        <v>0</v>
      </c>
      <c r="AR47" t="s">
        <v>2002</v>
      </c>
      <c r="AS47" s="103" t="s">
        <v>2109</v>
      </c>
      <c r="DR47" s="103" t="s">
        <v>1805</v>
      </c>
      <c r="DS47" s="103" t="s">
        <v>30</v>
      </c>
      <c r="DT47" s="103" t="s">
        <v>1238</v>
      </c>
      <c r="DX47" t="s">
        <v>1250</v>
      </c>
      <c r="EM47" s="103" t="s">
        <v>1805</v>
      </c>
      <c r="EN47" s="103" t="s">
        <v>30</v>
      </c>
      <c r="EO47" s="103" t="s">
        <v>1238</v>
      </c>
      <c r="EP47" s="103" t="s">
        <v>1154</v>
      </c>
      <c r="ES47">
        <v>11</v>
      </c>
      <c r="ET47" t="s">
        <v>1250</v>
      </c>
      <c r="FE47" s="103" t="s">
        <v>1411</v>
      </c>
      <c r="FF47">
        <v>0</v>
      </c>
    </row>
    <row r="48" spans="2:162" x14ac:dyDescent="0.35">
      <c r="W48" t="s">
        <v>1455</v>
      </c>
      <c r="X48" t="s">
        <v>1454</v>
      </c>
      <c r="Y48" t="s">
        <v>1337</v>
      </c>
      <c r="Z48">
        <v>0</v>
      </c>
      <c r="AA48" s="103" t="s">
        <v>1455</v>
      </c>
      <c r="AK48" s="103"/>
      <c r="AL48" s="103" t="s">
        <v>1569</v>
      </c>
      <c r="AM48">
        <v>50721079</v>
      </c>
      <c r="AN48" s="103" t="s">
        <v>943</v>
      </c>
      <c r="AO48" s="103" t="b">
        <v>1</v>
      </c>
      <c r="AP48" s="103" t="b">
        <v>1</v>
      </c>
      <c r="AQ48" s="103" t="b">
        <v>0</v>
      </c>
      <c r="AR48" t="s">
        <v>2003</v>
      </c>
      <c r="AS48" s="103" t="s">
        <v>2110</v>
      </c>
      <c r="DR48" s="103" t="s">
        <v>1808</v>
      </c>
      <c r="DS48" s="103" t="s">
        <v>133</v>
      </c>
      <c r="DT48" s="103" t="s">
        <v>1239</v>
      </c>
      <c r="DX48" t="s">
        <v>1255</v>
      </c>
      <c r="EM48" s="103" t="s">
        <v>1808</v>
      </c>
      <c r="EN48" s="103" t="s">
        <v>133</v>
      </c>
      <c r="EO48" s="103" t="s">
        <v>1239</v>
      </c>
      <c r="EP48" s="103" t="s">
        <v>1154</v>
      </c>
      <c r="ES48">
        <v>14</v>
      </c>
      <c r="ET48" t="s">
        <v>1255</v>
      </c>
      <c r="FE48" s="103" t="s">
        <v>1409</v>
      </c>
      <c r="FF48">
        <v>0</v>
      </c>
    </row>
    <row r="49" spans="2:150" x14ac:dyDescent="0.35">
      <c r="AK49" s="103"/>
      <c r="AL49" s="103" t="s">
        <v>1570</v>
      </c>
      <c r="AM49">
        <v>50721080</v>
      </c>
      <c r="AN49" s="103" t="s">
        <v>945</v>
      </c>
      <c r="AO49" s="103" t="b">
        <v>1</v>
      </c>
      <c r="AP49" s="103" t="b">
        <v>1</v>
      </c>
      <c r="AQ49" s="103" t="b">
        <v>0</v>
      </c>
      <c r="AR49" t="s">
        <v>2004</v>
      </c>
      <c r="AS49" s="103" t="s">
        <v>2111</v>
      </c>
      <c r="DR49" s="103" t="s">
        <v>1807</v>
      </c>
      <c r="DS49" s="103" t="s">
        <v>16</v>
      </c>
      <c r="DT49" s="103" t="s">
        <v>1239</v>
      </c>
      <c r="DX49" t="s">
        <v>1244</v>
      </c>
      <c r="EM49" s="103" t="s">
        <v>1807</v>
      </c>
      <c r="EN49" s="103" t="s">
        <v>16</v>
      </c>
      <c r="EO49" s="103" t="s">
        <v>1239</v>
      </c>
      <c r="EP49" s="103" t="s">
        <v>1154</v>
      </c>
      <c r="ES49">
        <v>13</v>
      </c>
      <c r="ET49" t="s">
        <v>1244</v>
      </c>
    </row>
    <row r="50" spans="2:150" x14ac:dyDescent="0.35">
      <c r="AK50" s="103"/>
      <c r="AL50" s="103" t="s">
        <v>1571</v>
      </c>
      <c r="AM50">
        <v>50721081</v>
      </c>
      <c r="AN50" s="103" t="s">
        <v>947</v>
      </c>
      <c r="AO50" s="103" t="b">
        <v>1</v>
      </c>
      <c r="AP50" s="103" t="b">
        <v>1</v>
      </c>
      <c r="AQ50" s="103" t="b">
        <v>0</v>
      </c>
      <c r="AR50" t="s">
        <v>2005</v>
      </c>
      <c r="AS50" s="103" t="s">
        <v>2112</v>
      </c>
      <c r="DR50" s="103" t="s">
        <v>1834</v>
      </c>
      <c r="DS50" s="103" t="s">
        <v>154</v>
      </c>
      <c r="DT50" s="103" t="s">
        <v>23</v>
      </c>
      <c r="DX50" t="s">
        <v>154</v>
      </c>
      <c r="EM50" s="103" t="s">
        <v>1834</v>
      </c>
      <c r="EN50" s="103" t="s">
        <v>154</v>
      </c>
      <c r="EO50" s="103" t="s">
        <v>23</v>
      </c>
      <c r="EP50" s="103" t="s">
        <v>1154</v>
      </c>
      <c r="ES50">
        <v>40</v>
      </c>
      <c r="ET50" t="s">
        <v>154</v>
      </c>
    </row>
    <row r="51" spans="2:150" x14ac:dyDescent="0.35">
      <c r="AK51" s="103"/>
      <c r="AL51" s="103" t="s">
        <v>1572</v>
      </c>
      <c r="AM51">
        <v>50721082</v>
      </c>
      <c r="AN51" s="103" t="s">
        <v>911</v>
      </c>
      <c r="AO51" s="103" t="b">
        <v>1</v>
      </c>
      <c r="AP51" s="103" t="b">
        <v>1</v>
      </c>
      <c r="AQ51" s="103" t="b">
        <v>0</v>
      </c>
      <c r="AR51" t="s">
        <v>2006</v>
      </c>
      <c r="AS51" s="103" t="s">
        <v>2113</v>
      </c>
      <c r="DR51" s="103" t="s">
        <v>1862</v>
      </c>
      <c r="DS51" s="103" t="s">
        <v>124</v>
      </c>
      <c r="DT51" s="103" t="s">
        <v>1779</v>
      </c>
      <c r="DX51" t="s">
        <v>1951</v>
      </c>
      <c r="EM51" s="103" t="s">
        <v>1862</v>
      </c>
      <c r="EN51" s="103" t="s">
        <v>124</v>
      </c>
      <c r="EO51" s="103" t="s">
        <v>1779</v>
      </c>
      <c r="EP51" s="103" t="s">
        <v>1154</v>
      </c>
      <c r="ES51">
        <v>67</v>
      </c>
      <c r="ET51" t="s">
        <v>1951</v>
      </c>
    </row>
    <row r="52" spans="2:150" x14ac:dyDescent="0.35">
      <c r="AK52" s="103"/>
      <c r="AL52" s="103" t="s">
        <v>1573</v>
      </c>
      <c r="AM52">
        <v>50721083</v>
      </c>
      <c r="AN52" s="103" t="s">
        <v>913</v>
      </c>
      <c r="AO52" s="103" t="b">
        <v>1</v>
      </c>
      <c r="AP52" s="103" t="b">
        <v>1</v>
      </c>
      <c r="AQ52" s="103" t="b">
        <v>0</v>
      </c>
      <c r="AR52" t="s">
        <v>2007</v>
      </c>
      <c r="AS52" s="103" t="s">
        <v>2114</v>
      </c>
      <c r="DR52" s="103" t="s">
        <v>1861</v>
      </c>
      <c r="DS52" s="103" t="s">
        <v>123</v>
      </c>
      <c r="DT52" s="103" t="s">
        <v>1790</v>
      </c>
      <c r="DX52" t="s">
        <v>1952</v>
      </c>
      <c r="EM52" s="103" t="s">
        <v>1861</v>
      </c>
      <c r="EN52" s="103" t="s">
        <v>123</v>
      </c>
      <c r="EO52" s="103" t="s">
        <v>1790</v>
      </c>
      <c r="EP52" s="103" t="s">
        <v>1154</v>
      </c>
      <c r="ES52">
        <v>66</v>
      </c>
      <c r="ET52" t="s">
        <v>1952</v>
      </c>
    </row>
    <row r="53" spans="2:150" x14ac:dyDescent="0.35">
      <c r="AK53" s="103"/>
      <c r="AL53" s="103" t="s">
        <v>1574</v>
      </c>
      <c r="AM53">
        <v>50721084</v>
      </c>
      <c r="AN53" s="103" t="s">
        <v>915</v>
      </c>
      <c r="AO53" s="103" t="b">
        <v>1</v>
      </c>
      <c r="AP53" s="103" t="b">
        <v>1</v>
      </c>
      <c r="AQ53" s="103" t="b">
        <v>0</v>
      </c>
      <c r="AR53" t="s">
        <v>2008</v>
      </c>
      <c r="AS53" s="103" t="s">
        <v>2115</v>
      </c>
      <c r="DR53" s="103" t="s">
        <v>1864</v>
      </c>
      <c r="DS53" s="103" t="s">
        <v>126</v>
      </c>
      <c r="DT53" s="103" t="s">
        <v>1779</v>
      </c>
      <c r="DX53" t="s">
        <v>1953</v>
      </c>
      <c r="EM53" s="103" t="s">
        <v>1864</v>
      </c>
      <c r="EN53" s="103" t="s">
        <v>126</v>
      </c>
      <c r="EO53" s="103" t="s">
        <v>1779</v>
      </c>
      <c r="EP53" s="103" t="s">
        <v>1154</v>
      </c>
      <c r="ES53">
        <v>69</v>
      </c>
      <c r="ET53" t="s">
        <v>1953</v>
      </c>
    </row>
    <row r="54" spans="2:150" x14ac:dyDescent="0.35">
      <c r="AK54" s="103"/>
      <c r="AL54" s="103" t="s">
        <v>1575</v>
      </c>
      <c r="AM54">
        <v>50721085</v>
      </c>
      <c r="AN54" s="103" t="s">
        <v>917</v>
      </c>
      <c r="AO54" s="103" t="b">
        <v>1</v>
      </c>
      <c r="AP54" s="103" t="b">
        <v>1</v>
      </c>
      <c r="AQ54" s="103" t="b">
        <v>0</v>
      </c>
      <c r="AR54" t="s">
        <v>2009</v>
      </c>
      <c r="AS54" s="103" t="s">
        <v>2116</v>
      </c>
      <c r="DR54" s="103" t="s">
        <v>1863</v>
      </c>
      <c r="DS54" s="103" t="s">
        <v>125</v>
      </c>
      <c r="DT54" s="103" t="s">
        <v>1779</v>
      </c>
      <c r="DX54" t="s">
        <v>125</v>
      </c>
      <c r="EM54" s="103" t="s">
        <v>1863</v>
      </c>
      <c r="EN54" s="103" t="s">
        <v>125</v>
      </c>
      <c r="EO54" s="103" t="s">
        <v>1779</v>
      </c>
      <c r="EP54" s="103" t="s">
        <v>1154</v>
      </c>
      <c r="ES54">
        <v>68</v>
      </c>
      <c r="ET54" t="s">
        <v>125</v>
      </c>
    </row>
    <row r="55" spans="2:150" x14ac:dyDescent="0.35">
      <c r="AK55" s="103"/>
      <c r="AL55" s="103" t="s">
        <v>1576</v>
      </c>
      <c r="AM55">
        <v>50721086</v>
      </c>
      <c r="AN55" s="103" t="s">
        <v>919</v>
      </c>
      <c r="AO55" s="103" t="b">
        <v>1</v>
      </c>
      <c r="AP55" s="103" t="b">
        <v>1</v>
      </c>
      <c r="AQ55" s="103" t="b">
        <v>0</v>
      </c>
      <c r="AR55" t="s">
        <v>2010</v>
      </c>
      <c r="AS55" s="103" t="s">
        <v>2117</v>
      </c>
      <c r="DR55" s="103" t="s">
        <v>1860</v>
      </c>
      <c r="DS55" s="103" t="s">
        <v>122</v>
      </c>
      <c r="DT55" s="103" t="s">
        <v>1790</v>
      </c>
      <c r="DX55" t="s">
        <v>122</v>
      </c>
      <c r="EM55" s="103" t="s">
        <v>1860</v>
      </c>
      <c r="EN55" s="103" t="s">
        <v>122</v>
      </c>
      <c r="EO55" s="103" t="s">
        <v>1790</v>
      </c>
      <c r="EP55" s="103" t="s">
        <v>1154</v>
      </c>
      <c r="ES55">
        <v>65</v>
      </c>
      <c r="ET55" t="s">
        <v>122</v>
      </c>
    </row>
    <row r="56" spans="2:150" x14ac:dyDescent="0.35">
      <c r="AK56" s="103"/>
      <c r="AL56" s="103" t="s">
        <v>1577</v>
      </c>
      <c r="AM56">
        <v>50721087</v>
      </c>
      <c r="AN56" s="103" t="s">
        <v>921</v>
      </c>
      <c r="AO56" s="103" t="b">
        <v>1</v>
      </c>
      <c r="AP56" s="103" t="b">
        <v>1</v>
      </c>
      <c r="AQ56" s="103" t="b">
        <v>0</v>
      </c>
      <c r="AR56" t="s">
        <v>2011</v>
      </c>
      <c r="AS56" s="103" t="s">
        <v>2118</v>
      </c>
      <c r="DR56" s="103" t="s">
        <v>1857</v>
      </c>
      <c r="DS56" s="103" t="s">
        <v>119</v>
      </c>
      <c r="DT56" s="103" t="s">
        <v>1790</v>
      </c>
      <c r="DX56" t="s">
        <v>1954</v>
      </c>
      <c r="EM56" s="103" t="s">
        <v>1857</v>
      </c>
      <c r="EN56" s="103" t="s">
        <v>119</v>
      </c>
      <c r="EO56" s="103" t="s">
        <v>1790</v>
      </c>
      <c r="EP56" s="103" t="s">
        <v>1154</v>
      </c>
      <c r="ES56">
        <v>62</v>
      </c>
      <c r="ET56" t="s">
        <v>1954</v>
      </c>
    </row>
    <row r="57" spans="2:150" x14ac:dyDescent="0.35">
      <c r="AK57" s="103"/>
      <c r="AL57" s="103" t="s">
        <v>1579</v>
      </c>
      <c r="AM57">
        <v>50721089</v>
      </c>
      <c r="AN57" s="103" t="s">
        <v>925</v>
      </c>
      <c r="AO57" s="103" t="b">
        <v>1</v>
      </c>
      <c r="AP57" s="103" t="b">
        <v>1</v>
      </c>
      <c r="AQ57" s="103" t="b">
        <v>0</v>
      </c>
      <c r="AR57" t="s">
        <v>2012</v>
      </c>
      <c r="AS57" s="103" t="s">
        <v>2119</v>
      </c>
      <c r="DR57" s="103" t="s">
        <v>1856</v>
      </c>
      <c r="DS57" s="103" t="s">
        <v>1241</v>
      </c>
      <c r="DT57" s="103" t="s">
        <v>1240</v>
      </c>
      <c r="DX57" t="s">
        <v>1241</v>
      </c>
      <c r="EM57" s="103" t="s">
        <v>1856</v>
      </c>
      <c r="EN57" s="103" t="s">
        <v>1241</v>
      </c>
      <c r="EO57" s="103" t="s">
        <v>1240</v>
      </c>
      <c r="EP57" s="103" t="s">
        <v>1154</v>
      </c>
      <c r="ES57">
        <v>61</v>
      </c>
      <c r="ET57" t="s">
        <v>1241</v>
      </c>
    </row>
    <row r="58" spans="2:150" x14ac:dyDescent="0.35">
      <c r="AK58" s="103"/>
      <c r="AL58" s="103" t="s">
        <v>1580</v>
      </c>
      <c r="AM58">
        <v>50721090</v>
      </c>
      <c r="AN58" s="103" t="s">
        <v>927</v>
      </c>
      <c r="AO58" s="103" t="b">
        <v>1</v>
      </c>
      <c r="AP58" s="103" t="b">
        <v>1</v>
      </c>
      <c r="AQ58" s="103" t="b">
        <v>0</v>
      </c>
      <c r="AR58" t="s">
        <v>2013</v>
      </c>
      <c r="AS58" s="103" t="s">
        <v>2120</v>
      </c>
      <c r="DR58" s="103" t="s">
        <v>1859</v>
      </c>
      <c r="DS58" s="103" t="s">
        <v>121</v>
      </c>
      <c r="DT58" s="103" t="s">
        <v>1790</v>
      </c>
      <c r="DX58" t="s">
        <v>1955</v>
      </c>
      <c r="EM58" s="103" t="s">
        <v>1859</v>
      </c>
      <c r="EN58" s="103" t="s">
        <v>121</v>
      </c>
      <c r="EO58" s="103" t="s">
        <v>1790</v>
      </c>
      <c r="EP58" s="103" t="s">
        <v>1154</v>
      </c>
      <c r="ES58">
        <v>64</v>
      </c>
      <c r="ET58" t="s">
        <v>1955</v>
      </c>
    </row>
    <row r="59" spans="2:150" x14ac:dyDescent="0.35">
      <c r="AK59" s="103"/>
      <c r="AL59" s="103" t="s">
        <v>1581</v>
      </c>
      <c r="AM59">
        <v>50721091</v>
      </c>
      <c r="AN59" s="103" t="s">
        <v>929</v>
      </c>
      <c r="AO59" s="103" t="b">
        <v>1</v>
      </c>
      <c r="AP59" s="103" t="b">
        <v>1</v>
      </c>
      <c r="AQ59" s="103" t="b">
        <v>0</v>
      </c>
      <c r="AR59" t="s">
        <v>2014</v>
      </c>
      <c r="AS59" s="103" t="s">
        <v>2121</v>
      </c>
      <c r="DR59" s="103" t="s">
        <v>1858</v>
      </c>
      <c r="DS59" s="103" t="s">
        <v>120</v>
      </c>
      <c r="DT59" s="103" t="s">
        <v>1790</v>
      </c>
      <c r="DX59" t="s">
        <v>120</v>
      </c>
      <c r="EM59" s="103" t="s">
        <v>1858</v>
      </c>
      <c r="EN59" s="103" t="s">
        <v>120</v>
      </c>
      <c r="EO59" s="103" t="s">
        <v>1790</v>
      </c>
      <c r="EP59" s="103" t="s">
        <v>1154</v>
      </c>
      <c r="ES59">
        <v>63</v>
      </c>
      <c r="ET59" t="s">
        <v>120</v>
      </c>
    </row>
    <row r="60" spans="2:150" x14ac:dyDescent="0.35">
      <c r="AK60" s="103"/>
      <c r="AL60" s="103" t="s">
        <v>1582</v>
      </c>
      <c r="AM60">
        <v>50721093</v>
      </c>
      <c r="AN60" s="103" t="s">
        <v>933</v>
      </c>
      <c r="AO60" s="103" t="b">
        <v>1</v>
      </c>
      <c r="AP60" s="103" t="b">
        <v>1</v>
      </c>
      <c r="AQ60" s="103" t="b">
        <v>0</v>
      </c>
      <c r="AR60" t="s">
        <v>2015</v>
      </c>
      <c r="AS60" s="103" t="s">
        <v>2122</v>
      </c>
      <c r="DR60" s="103" t="s">
        <v>1865</v>
      </c>
      <c r="DS60" s="103" t="s">
        <v>1866</v>
      </c>
      <c r="DT60" s="103" t="s">
        <v>1779</v>
      </c>
      <c r="DX60" t="s">
        <v>1866</v>
      </c>
      <c r="EM60" s="103" t="s">
        <v>1865</v>
      </c>
      <c r="EN60" s="103" t="s">
        <v>1866</v>
      </c>
      <c r="EO60" s="103" t="s">
        <v>1779</v>
      </c>
      <c r="EP60" s="103" t="s">
        <v>1154</v>
      </c>
      <c r="ES60">
        <v>70</v>
      </c>
      <c r="ET60" t="s">
        <v>1866</v>
      </c>
    </row>
    <row r="61" spans="2:150" x14ac:dyDescent="0.35">
      <c r="AK61" s="103"/>
      <c r="AL61" s="103" t="s">
        <v>1585</v>
      </c>
      <c r="AM61">
        <v>50721095</v>
      </c>
      <c r="AN61" s="103" t="s">
        <v>1586</v>
      </c>
      <c r="AO61" s="103" t="b">
        <v>1</v>
      </c>
      <c r="AP61" s="103" t="b">
        <v>1</v>
      </c>
      <c r="AQ61" s="103" t="b">
        <v>0</v>
      </c>
      <c r="AR61" t="s">
        <v>2016</v>
      </c>
      <c r="AS61" s="103" t="s">
        <v>2123</v>
      </c>
      <c r="DR61" s="103" t="s">
        <v>1873</v>
      </c>
      <c r="DS61" s="103" t="s">
        <v>189</v>
      </c>
      <c r="DT61" s="103" t="s">
        <v>20</v>
      </c>
      <c r="DX61" t="s">
        <v>189</v>
      </c>
      <c r="EM61" s="103" t="s">
        <v>1873</v>
      </c>
      <c r="EN61" s="103" t="s">
        <v>189</v>
      </c>
      <c r="EO61" s="103" t="s">
        <v>20</v>
      </c>
      <c r="EP61" s="103" t="s">
        <v>1154</v>
      </c>
      <c r="ES61">
        <v>77</v>
      </c>
      <c r="ET61" t="s">
        <v>189</v>
      </c>
    </row>
    <row r="62" spans="2:150" x14ac:dyDescent="0.35">
      <c r="DR62" s="103" t="s">
        <v>1872</v>
      </c>
      <c r="DS62" s="103" t="s">
        <v>188</v>
      </c>
      <c r="DT62" s="103" t="s">
        <v>20</v>
      </c>
      <c r="DX62" t="s">
        <v>188</v>
      </c>
      <c r="EM62" s="103" t="s">
        <v>1872</v>
      </c>
      <c r="EN62" s="103" t="s">
        <v>188</v>
      </c>
      <c r="EO62" s="103" t="s">
        <v>20</v>
      </c>
      <c r="EP62" s="103" t="s">
        <v>1154</v>
      </c>
      <c r="ES62">
        <v>76</v>
      </c>
      <c r="ET62" t="s">
        <v>188</v>
      </c>
    </row>
    <row r="63" spans="2:150" x14ac:dyDescent="0.35">
      <c r="B63" t="s">
        <v>1071</v>
      </c>
      <c r="C63" t="s">
        <v>1072</v>
      </c>
      <c r="DR63" s="103" t="s">
        <v>1875</v>
      </c>
      <c r="DS63" s="103" t="s">
        <v>191</v>
      </c>
      <c r="DT63" s="103" t="s">
        <v>20</v>
      </c>
      <c r="DX63" t="s">
        <v>191</v>
      </c>
      <c r="EM63" s="103" t="s">
        <v>1875</v>
      </c>
      <c r="EN63" s="103" t="s">
        <v>191</v>
      </c>
      <c r="EO63" s="103" t="s">
        <v>20</v>
      </c>
      <c r="EP63" s="103" t="s">
        <v>1154</v>
      </c>
      <c r="ES63">
        <v>79</v>
      </c>
      <c r="ET63" t="s">
        <v>191</v>
      </c>
    </row>
    <row r="64" spans="2:150" x14ac:dyDescent="0.35">
      <c r="B64" s="151" t="s">
        <v>1075</v>
      </c>
      <c r="C64" t="s">
        <v>1070</v>
      </c>
      <c r="DR64" s="103" t="s">
        <v>1874</v>
      </c>
      <c r="DS64" s="103" t="s">
        <v>190</v>
      </c>
      <c r="DT64" s="103" t="s">
        <v>20</v>
      </c>
      <c r="DX64" t="s">
        <v>190</v>
      </c>
      <c r="EM64" s="103" t="s">
        <v>1874</v>
      </c>
      <c r="EN64" s="103" t="s">
        <v>190</v>
      </c>
      <c r="EO64" s="103" t="s">
        <v>20</v>
      </c>
      <c r="EP64" s="103" t="s">
        <v>1154</v>
      </c>
      <c r="ES64">
        <v>78</v>
      </c>
      <c r="ET64" t="s">
        <v>190</v>
      </c>
    </row>
    <row r="65" spans="2:150" x14ac:dyDescent="0.35">
      <c r="B65" s="181" t="s">
        <v>1158</v>
      </c>
      <c r="C65" s="180" t="s">
        <v>1158</v>
      </c>
      <c r="DR65" s="103" t="s">
        <v>1871</v>
      </c>
      <c r="DS65" s="103" t="s">
        <v>187</v>
      </c>
      <c r="DT65" s="103" t="s">
        <v>20</v>
      </c>
      <c r="DX65" t="s">
        <v>187</v>
      </c>
      <c r="EM65" s="103" t="s">
        <v>1871</v>
      </c>
      <c r="EN65" s="103" t="s">
        <v>187</v>
      </c>
      <c r="EO65" s="103" t="s">
        <v>20</v>
      </c>
      <c r="EP65" s="103" t="s">
        <v>1154</v>
      </c>
      <c r="ES65">
        <v>75</v>
      </c>
      <c r="ET65" t="s">
        <v>187</v>
      </c>
    </row>
    <row r="66" spans="2:150" x14ac:dyDescent="0.35">
      <c r="B66" s="151" t="s">
        <v>1076</v>
      </c>
      <c r="C66" t="s">
        <v>1013</v>
      </c>
      <c r="DR66" s="103" t="s">
        <v>1868</v>
      </c>
      <c r="DS66" s="103" t="s">
        <v>129</v>
      </c>
      <c r="DT66" s="103" t="s">
        <v>1779</v>
      </c>
      <c r="DX66" t="s">
        <v>1956</v>
      </c>
      <c r="EM66" s="103" t="s">
        <v>1868</v>
      </c>
      <c r="EN66" s="103" t="s">
        <v>129</v>
      </c>
      <c r="EO66" s="103" t="s">
        <v>1779</v>
      </c>
      <c r="EP66" s="103" t="s">
        <v>1154</v>
      </c>
      <c r="ES66">
        <v>72</v>
      </c>
      <c r="ET66" t="s">
        <v>1956</v>
      </c>
    </row>
    <row r="67" spans="2:150" x14ac:dyDescent="0.35">
      <c r="B67" s="151" t="s">
        <v>1068</v>
      </c>
      <c r="C67" t="s">
        <v>1069</v>
      </c>
      <c r="DR67" s="103" t="s">
        <v>1867</v>
      </c>
      <c r="DS67" s="103" t="s">
        <v>128</v>
      </c>
      <c r="DT67" s="103" t="s">
        <v>1779</v>
      </c>
      <c r="DX67" t="s">
        <v>1957</v>
      </c>
      <c r="EM67" s="103" t="s">
        <v>1867</v>
      </c>
      <c r="EN67" s="103" t="s">
        <v>128</v>
      </c>
      <c r="EO67" s="103" t="s">
        <v>1779</v>
      </c>
      <c r="EP67" s="103" t="s">
        <v>1154</v>
      </c>
      <c r="ES67">
        <v>71</v>
      </c>
      <c r="ET67" t="s">
        <v>1957</v>
      </c>
    </row>
    <row r="68" spans="2:150" x14ac:dyDescent="0.35">
      <c r="B68" s="151" t="s">
        <v>1074</v>
      </c>
      <c r="C68" t="s">
        <v>1073</v>
      </c>
      <c r="DR68" s="103" t="s">
        <v>1870</v>
      </c>
      <c r="DS68" s="103" t="s">
        <v>971</v>
      </c>
      <c r="DT68" s="103" t="s">
        <v>1793</v>
      </c>
      <c r="DX68" t="s">
        <v>971</v>
      </c>
      <c r="EM68" s="103" t="s">
        <v>1870</v>
      </c>
      <c r="EN68" s="103" t="s">
        <v>971</v>
      </c>
      <c r="EO68" s="103" t="s">
        <v>1793</v>
      </c>
      <c r="EP68" s="103" t="s">
        <v>1154</v>
      </c>
      <c r="ES68">
        <v>74</v>
      </c>
      <c r="ET68" t="s">
        <v>971</v>
      </c>
    </row>
    <row r="69" spans="2:150" x14ac:dyDescent="0.35">
      <c r="B69" s="151" t="s">
        <v>1159</v>
      </c>
      <c r="C69" t="s">
        <v>1159</v>
      </c>
      <c r="DR69" s="103" t="s">
        <v>1869</v>
      </c>
      <c r="DS69" s="103" t="s">
        <v>970</v>
      </c>
      <c r="DT69" s="103" t="s">
        <v>1793</v>
      </c>
      <c r="DX69" t="s">
        <v>970</v>
      </c>
      <c r="EM69" s="103" t="s">
        <v>1869</v>
      </c>
      <c r="EN69" s="103" t="s">
        <v>970</v>
      </c>
      <c r="EO69" s="103" t="s">
        <v>1793</v>
      </c>
      <c r="EP69" s="103" t="s">
        <v>1154</v>
      </c>
      <c r="ES69">
        <v>73</v>
      </c>
      <c r="ET69" t="s">
        <v>970</v>
      </c>
    </row>
    <row r="70" spans="2:150" x14ac:dyDescent="0.35">
      <c r="B70" s="151" t="s">
        <v>1160</v>
      </c>
      <c r="C70" t="s">
        <v>1160</v>
      </c>
      <c r="DR70" s="103" t="s">
        <v>1855</v>
      </c>
      <c r="DS70" s="103" t="s">
        <v>117</v>
      </c>
      <c r="DT70" s="103" t="s">
        <v>1240</v>
      </c>
      <c r="DX70" t="s">
        <v>117</v>
      </c>
      <c r="EM70" s="103" t="s">
        <v>1855</v>
      </c>
      <c r="EN70" s="103" t="s">
        <v>117</v>
      </c>
      <c r="EO70" s="103" t="s">
        <v>1240</v>
      </c>
      <c r="EP70" s="103" t="s">
        <v>1154</v>
      </c>
      <c r="ES70">
        <v>60</v>
      </c>
      <c r="ET70" t="s">
        <v>117</v>
      </c>
    </row>
    <row r="71" spans="2:150" x14ac:dyDescent="0.35">
      <c r="B71" s="151"/>
      <c r="DR71" s="103" t="s">
        <v>1842</v>
      </c>
      <c r="DS71" s="103" t="s">
        <v>197</v>
      </c>
      <c r="DT71" s="103" t="s">
        <v>24</v>
      </c>
      <c r="DX71" t="s">
        <v>197</v>
      </c>
      <c r="EM71" s="103" t="s">
        <v>1842</v>
      </c>
      <c r="EN71" s="103" t="s">
        <v>197</v>
      </c>
      <c r="EO71" s="103" t="s">
        <v>24</v>
      </c>
      <c r="EP71" s="103" t="s">
        <v>1154</v>
      </c>
      <c r="ES71">
        <v>47</v>
      </c>
      <c r="ET71" t="s">
        <v>197</v>
      </c>
    </row>
    <row r="72" spans="2:150" x14ac:dyDescent="0.35">
      <c r="DR72" s="103" t="s">
        <v>1840</v>
      </c>
      <c r="DS72" s="103" t="s">
        <v>1841</v>
      </c>
      <c r="DT72" s="103" t="s">
        <v>23</v>
      </c>
      <c r="DX72" t="s">
        <v>1841</v>
      </c>
      <c r="EM72" s="103" t="s">
        <v>1840</v>
      </c>
      <c r="EN72" s="103" t="s">
        <v>1841</v>
      </c>
      <c r="EO72" s="103" t="s">
        <v>23</v>
      </c>
      <c r="EP72" s="103" t="s">
        <v>1154</v>
      </c>
      <c r="ES72">
        <v>46</v>
      </c>
      <c r="ET72" t="s">
        <v>1841</v>
      </c>
    </row>
    <row r="73" spans="2:150" x14ac:dyDescent="0.35">
      <c r="DR73" s="103" t="s">
        <v>1844</v>
      </c>
      <c r="DS73" s="103" t="s">
        <v>199</v>
      </c>
      <c r="DT73" s="103" t="s">
        <v>24</v>
      </c>
      <c r="DX73" t="s">
        <v>199</v>
      </c>
      <c r="EM73" s="103" t="s">
        <v>1844</v>
      </c>
      <c r="EN73" s="103" t="s">
        <v>199</v>
      </c>
      <c r="EO73" s="103" t="s">
        <v>24</v>
      </c>
      <c r="EP73" s="103" t="s">
        <v>1154</v>
      </c>
      <c r="ES73">
        <v>49</v>
      </c>
      <c r="ET73" t="s">
        <v>199</v>
      </c>
    </row>
    <row r="74" spans="2:150" x14ac:dyDescent="0.35">
      <c r="DR74" s="103" t="s">
        <v>1843</v>
      </c>
      <c r="DS74" s="103" t="s">
        <v>198</v>
      </c>
      <c r="DT74" s="103" t="s">
        <v>24</v>
      </c>
      <c r="DX74" t="s">
        <v>198</v>
      </c>
      <c r="EM74" s="103" t="s">
        <v>1843</v>
      </c>
      <c r="EN74" s="103" t="s">
        <v>198</v>
      </c>
      <c r="EO74" s="103" t="s">
        <v>24</v>
      </c>
      <c r="EP74" s="103" t="s">
        <v>1154</v>
      </c>
      <c r="ES74">
        <v>48</v>
      </c>
      <c r="ET74" t="s">
        <v>198</v>
      </c>
    </row>
    <row r="75" spans="2:150" x14ac:dyDescent="0.35">
      <c r="DR75" s="103" t="s">
        <v>1839</v>
      </c>
      <c r="DS75" s="103" t="s">
        <v>1174</v>
      </c>
      <c r="DT75" s="103" t="s">
        <v>23</v>
      </c>
      <c r="DX75" t="s">
        <v>1174</v>
      </c>
      <c r="EM75" s="103" t="s">
        <v>1839</v>
      </c>
      <c r="EN75" s="103" t="s">
        <v>1174</v>
      </c>
      <c r="EO75" s="103" t="s">
        <v>23</v>
      </c>
      <c r="EP75" s="103" t="s">
        <v>1154</v>
      </c>
      <c r="ES75">
        <v>45</v>
      </c>
      <c r="ET75" t="s">
        <v>1174</v>
      </c>
    </row>
    <row r="76" spans="2:150" x14ac:dyDescent="0.35">
      <c r="DR76" s="103" t="s">
        <v>1836</v>
      </c>
      <c r="DS76" s="103" t="s">
        <v>967</v>
      </c>
      <c r="DT76" s="103" t="s">
        <v>23</v>
      </c>
      <c r="DX76" t="s">
        <v>967</v>
      </c>
      <c r="EM76" s="103" t="s">
        <v>1836</v>
      </c>
      <c r="EN76" s="103" t="s">
        <v>967</v>
      </c>
      <c r="EO76" s="103" t="s">
        <v>23</v>
      </c>
      <c r="EP76" s="103" t="s">
        <v>1154</v>
      </c>
      <c r="ES76">
        <v>42</v>
      </c>
      <c r="ET76" t="s">
        <v>967</v>
      </c>
    </row>
    <row r="77" spans="2:150" x14ac:dyDescent="0.35">
      <c r="DR77" s="103" t="s">
        <v>1835</v>
      </c>
      <c r="DS77" s="103" t="s">
        <v>155</v>
      </c>
      <c r="DT77" s="103" t="s">
        <v>23</v>
      </c>
      <c r="DX77" t="s">
        <v>155</v>
      </c>
      <c r="EM77" s="103" t="s">
        <v>1835</v>
      </c>
      <c r="EN77" s="103" t="s">
        <v>155</v>
      </c>
      <c r="EO77" s="103" t="s">
        <v>23</v>
      </c>
      <c r="EP77" s="103" t="s">
        <v>1154</v>
      </c>
      <c r="ES77">
        <v>41</v>
      </c>
      <c r="ET77" t="s">
        <v>155</v>
      </c>
    </row>
    <row r="78" spans="2:150" x14ac:dyDescent="0.35">
      <c r="DR78" s="103" t="s">
        <v>1838</v>
      </c>
      <c r="DS78" s="103" t="s">
        <v>1175</v>
      </c>
      <c r="DT78" s="103" t="s">
        <v>23</v>
      </c>
      <c r="DX78" t="s">
        <v>1175</v>
      </c>
      <c r="EM78" s="103" t="s">
        <v>1838</v>
      </c>
      <c r="EN78" s="103" t="s">
        <v>1175</v>
      </c>
      <c r="EO78" s="103" t="s">
        <v>23</v>
      </c>
      <c r="EP78" s="103" t="s">
        <v>1154</v>
      </c>
      <c r="ES78">
        <v>44</v>
      </c>
      <c r="ET78" t="s">
        <v>1175</v>
      </c>
    </row>
    <row r="79" spans="2:150" x14ac:dyDescent="0.35">
      <c r="DR79" s="103" t="s">
        <v>1837</v>
      </c>
      <c r="DS79" s="103" t="s">
        <v>968</v>
      </c>
      <c r="DT79" s="103" t="s">
        <v>23</v>
      </c>
      <c r="DX79" t="s">
        <v>968</v>
      </c>
      <c r="EM79" s="103" t="s">
        <v>1837</v>
      </c>
      <c r="EN79" s="103" t="s">
        <v>968</v>
      </c>
      <c r="EO79" s="103" t="s">
        <v>23</v>
      </c>
      <c r="EP79" s="103" t="s">
        <v>1154</v>
      </c>
      <c r="ES79">
        <v>43</v>
      </c>
      <c r="ET79" t="s">
        <v>968</v>
      </c>
    </row>
    <row r="80" spans="2:150" x14ac:dyDescent="0.35">
      <c r="DR80" s="103" t="s">
        <v>1845</v>
      </c>
      <c r="DS80" s="103" t="s">
        <v>200</v>
      </c>
      <c r="DT80" s="103" t="s">
        <v>24</v>
      </c>
      <c r="DX80" t="s">
        <v>200</v>
      </c>
      <c r="EM80" s="103" t="s">
        <v>1845</v>
      </c>
      <c r="EN80" s="103" t="s">
        <v>200</v>
      </c>
      <c r="EO80" s="103" t="s">
        <v>24</v>
      </c>
      <c r="EP80" s="103" t="s">
        <v>1154</v>
      </c>
      <c r="ES80">
        <v>50</v>
      </c>
      <c r="ET80" t="s">
        <v>200</v>
      </c>
    </row>
    <row r="81" spans="122:150" x14ac:dyDescent="0.35">
      <c r="DR81" s="103" t="s">
        <v>1852</v>
      </c>
      <c r="DS81" s="103" t="s">
        <v>114</v>
      </c>
      <c r="DT81" s="103" t="s">
        <v>1240</v>
      </c>
      <c r="DX81" t="s">
        <v>1958</v>
      </c>
      <c r="EM81" s="103" t="s">
        <v>1852</v>
      </c>
      <c r="EN81" s="103" t="s">
        <v>114</v>
      </c>
      <c r="EO81" s="103" t="s">
        <v>1240</v>
      </c>
      <c r="EP81" s="103" t="s">
        <v>1154</v>
      </c>
      <c r="ES81">
        <v>57</v>
      </c>
      <c r="ET81" t="s">
        <v>1958</v>
      </c>
    </row>
    <row r="82" spans="122:150" x14ac:dyDescent="0.35">
      <c r="DR82" s="103" t="s">
        <v>1851</v>
      </c>
      <c r="DS82" s="103" t="s">
        <v>113</v>
      </c>
      <c r="DT82" s="103" t="s">
        <v>1240</v>
      </c>
      <c r="DX82" t="s">
        <v>1959</v>
      </c>
      <c r="EM82" s="103" t="s">
        <v>1851</v>
      </c>
      <c r="EN82" s="103" t="s">
        <v>113</v>
      </c>
      <c r="EO82" s="103" t="s">
        <v>1240</v>
      </c>
      <c r="EP82" s="103" t="s">
        <v>1154</v>
      </c>
      <c r="ES82">
        <v>56</v>
      </c>
      <c r="ET82" t="s">
        <v>1959</v>
      </c>
    </row>
    <row r="83" spans="122:150" x14ac:dyDescent="0.35">
      <c r="DR83" s="103" t="s">
        <v>1854</v>
      </c>
      <c r="DS83" s="103" t="s">
        <v>116</v>
      </c>
      <c r="DT83" s="103" t="s">
        <v>1240</v>
      </c>
      <c r="DX83" t="s">
        <v>1960</v>
      </c>
      <c r="EM83" s="103" t="s">
        <v>1854</v>
      </c>
      <c r="EN83" s="103" t="s">
        <v>116</v>
      </c>
      <c r="EO83" s="103" t="s">
        <v>1240</v>
      </c>
      <c r="EP83" s="103" t="s">
        <v>1154</v>
      </c>
      <c r="ES83">
        <v>59</v>
      </c>
      <c r="ET83" t="s">
        <v>1960</v>
      </c>
    </row>
    <row r="84" spans="122:150" x14ac:dyDescent="0.35">
      <c r="DR84" s="103" t="s">
        <v>1853</v>
      </c>
      <c r="DS84" s="103" t="s">
        <v>115</v>
      </c>
      <c r="DT84" s="103" t="s">
        <v>1240</v>
      </c>
      <c r="DX84" t="s">
        <v>1961</v>
      </c>
      <c r="EM84" s="103" t="s">
        <v>1853</v>
      </c>
      <c r="EN84" s="103" t="s">
        <v>115</v>
      </c>
      <c r="EO84" s="103" t="s">
        <v>1240</v>
      </c>
      <c r="EP84" s="103" t="s">
        <v>1154</v>
      </c>
      <c r="ES84">
        <v>58</v>
      </c>
      <c r="ET84" t="s">
        <v>1961</v>
      </c>
    </row>
    <row r="85" spans="122:150" x14ac:dyDescent="0.35">
      <c r="DR85" s="103" t="s">
        <v>1850</v>
      </c>
      <c r="DS85" s="103" t="s">
        <v>112</v>
      </c>
      <c r="DT85" s="103" t="s">
        <v>1240</v>
      </c>
      <c r="DX85" t="s">
        <v>1962</v>
      </c>
      <c r="EM85" s="103" t="s">
        <v>1850</v>
      </c>
      <c r="EN85" s="103" t="s">
        <v>112</v>
      </c>
      <c r="EO85" s="103" t="s">
        <v>1240</v>
      </c>
      <c r="EP85" s="103" t="s">
        <v>1154</v>
      </c>
      <c r="ES85">
        <v>55</v>
      </c>
      <c r="ET85" t="s">
        <v>1962</v>
      </c>
    </row>
    <row r="86" spans="122:150" x14ac:dyDescent="0.35">
      <c r="DR86" s="103" t="s">
        <v>1847</v>
      </c>
      <c r="DS86" s="103" t="s">
        <v>109</v>
      </c>
      <c r="DT86" s="103" t="s">
        <v>1240</v>
      </c>
      <c r="DX86" t="s">
        <v>1963</v>
      </c>
      <c r="EM86" s="103" t="s">
        <v>1847</v>
      </c>
      <c r="EN86" s="103" t="s">
        <v>109</v>
      </c>
      <c r="EO86" s="103" t="s">
        <v>1240</v>
      </c>
      <c r="EP86" s="103" t="s">
        <v>1154</v>
      </c>
      <c r="ES86">
        <v>52</v>
      </c>
      <c r="ET86" t="s">
        <v>1963</v>
      </c>
    </row>
    <row r="87" spans="122:150" x14ac:dyDescent="0.35">
      <c r="DR87" s="103" t="s">
        <v>1846</v>
      </c>
      <c r="DS87" s="103" t="s">
        <v>201</v>
      </c>
      <c r="DT87" s="103" t="s">
        <v>24</v>
      </c>
      <c r="DX87" t="s">
        <v>201</v>
      </c>
      <c r="EM87" s="103" t="s">
        <v>1846</v>
      </c>
      <c r="EN87" s="103" t="s">
        <v>201</v>
      </c>
      <c r="EO87" s="103" t="s">
        <v>24</v>
      </c>
      <c r="EP87" s="103" t="s">
        <v>1154</v>
      </c>
      <c r="ES87">
        <v>51</v>
      </c>
      <c r="ET87" t="s">
        <v>201</v>
      </c>
    </row>
    <row r="88" spans="122:150" x14ac:dyDescent="0.35">
      <c r="DR88" s="103" t="s">
        <v>1849</v>
      </c>
      <c r="DS88" s="103" t="s">
        <v>111</v>
      </c>
      <c r="DT88" s="103" t="s">
        <v>1240</v>
      </c>
      <c r="DX88" t="s">
        <v>1964</v>
      </c>
      <c r="EM88" s="103" t="s">
        <v>1849</v>
      </c>
      <c r="EN88" s="103" t="s">
        <v>111</v>
      </c>
      <c r="EO88" s="103" t="s">
        <v>1240</v>
      </c>
      <c r="EP88" s="103" t="s">
        <v>1154</v>
      </c>
      <c r="ES88">
        <v>54</v>
      </c>
      <c r="ET88" t="s">
        <v>1964</v>
      </c>
    </row>
    <row r="89" spans="122:150" x14ac:dyDescent="0.35">
      <c r="DR89" s="103" t="s">
        <v>1848</v>
      </c>
      <c r="DS89" s="103" t="s">
        <v>110</v>
      </c>
      <c r="DT89" s="103" t="s">
        <v>1240</v>
      </c>
      <c r="DX89" t="s">
        <v>1965</v>
      </c>
      <c r="EM89" s="103" t="s">
        <v>1848</v>
      </c>
      <c r="EN89" s="103" t="s">
        <v>110</v>
      </c>
      <c r="EO89" s="103" t="s">
        <v>1240</v>
      </c>
      <c r="EP89" s="103" t="s">
        <v>1154</v>
      </c>
      <c r="ES89">
        <v>53</v>
      </c>
      <c r="ET89" t="s">
        <v>1965</v>
      </c>
    </row>
  </sheetData>
  <pageMargins left="0.7" right="0.7" top="0.75" bottom="0.75" header="0.3" footer="0.3"/>
  <pageSetup orientation="portrait" r:id="rId1"/>
  <ignoredErrors>
    <ignoredError sqref="J30 J31:J45" calculatedColumn="1"/>
  </ignoredErrors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9B2B3-6E70-4120-A004-5EC525CB414A}">
  <sheetPr codeName="Sheet4"/>
  <dimension ref="B1:ES119"/>
  <sheetViews>
    <sheetView showGridLines="0" zoomScaleNormal="100" workbookViewId="0">
      <selection activeCell="G6" sqref="G6"/>
    </sheetView>
  </sheetViews>
  <sheetFormatPr defaultRowHeight="14.5" x14ac:dyDescent="0.35"/>
  <cols>
    <col min="2" max="2" width="35.1796875" bestFit="1" customWidth="1"/>
    <col min="3" max="3" width="26.7265625" bestFit="1" customWidth="1"/>
    <col min="4" max="4" width="20" bestFit="1" customWidth="1"/>
    <col min="5" max="5" width="12.7265625" bestFit="1" customWidth="1"/>
    <col min="6" max="6" width="11.26953125" bestFit="1" customWidth="1"/>
    <col min="7" max="7" width="12" bestFit="1" customWidth="1"/>
    <col min="8" max="8" width="21" bestFit="1" customWidth="1"/>
    <col min="11" max="11" width="13.26953125" bestFit="1" customWidth="1"/>
    <col min="12" max="12" width="36.81640625" bestFit="1" customWidth="1"/>
    <col min="13" max="13" width="25.7265625" bestFit="1" customWidth="1"/>
    <col min="16" max="16" width="32.1796875" bestFit="1" customWidth="1"/>
    <col min="17" max="17" width="35.1796875" bestFit="1" customWidth="1"/>
    <col min="18" max="18" width="20.26953125" bestFit="1" customWidth="1"/>
    <col min="21" max="21" width="8.7265625" bestFit="1" customWidth="1"/>
    <col min="22" max="22" width="34.81640625" bestFit="1" customWidth="1"/>
    <col min="23" max="23" width="20.7265625" bestFit="1" customWidth="1"/>
    <col min="24" max="24" width="18.453125" bestFit="1" customWidth="1"/>
    <col min="25" max="25" width="9.7265625" bestFit="1" customWidth="1"/>
    <col min="26" max="26" width="13.81640625" bestFit="1" customWidth="1"/>
    <col min="27" max="27" width="15.1796875" bestFit="1" customWidth="1"/>
    <col min="32" max="32" width="34.81640625" bestFit="1" customWidth="1"/>
    <col min="33" max="33" width="18" bestFit="1" customWidth="1"/>
    <col min="34" max="34" width="17.26953125" bestFit="1" customWidth="1"/>
    <col min="35" max="35" width="7.26953125" bestFit="1" customWidth="1"/>
    <col min="36" max="36" width="11.26953125" bestFit="1" customWidth="1"/>
    <col min="37" max="37" width="12.54296875" bestFit="1" customWidth="1"/>
    <col min="64" max="64" width="36.7265625" bestFit="1" customWidth="1"/>
    <col min="65" max="65" width="8.26953125" bestFit="1" customWidth="1"/>
    <col min="66" max="66" width="19.453125" bestFit="1" customWidth="1"/>
    <col min="67" max="67" width="4.7265625" bestFit="1" customWidth="1"/>
    <col min="68" max="68" width="5.7265625" bestFit="1" customWidth="1"/>
    <col min="71" max="71" width="34.7265625" bestFit="1" customWidth="1"/>
    <col min="72" max="72" width="25.26953125" bestFit="1" customWidth="1"/>
    <col min="75" max="75" width="35.1796875" bestFit="1" customWidth="1"/>
    <col min="76" max="76" width="28.1796875" bestFit="1" customWidth="1"/>
    <col min="84" max="84" width="35.1796875" bestFit="1" customWidth="1"/>
    <col min="85" max="85" width="11.26953125" bestFit="1" customWidth="1"/>
    <col min="86" max="86" width="34" bestFit="1" customWidth="1"/>
    <col min="87" max="87" width="33.26953125" bestFit="1" customWidth="1"/>
    <col min="88" max="88" width="26" bestFit="1" customWidth="1"/>
    <col min="89" max="89" width="15.7265625" bestFit="1" customWidth="1"/>
    <col min="90" max="90" width="25.1796875" bestFit="1" customWidth="1"/>
    <col min="91" max="91" width="40.1796875" bestFit="1" customWidth="1"/>
    <col min="92" max="92" width="8.26953125" bestFit="1" customWidth="1"/>
    <col min="93" max="93" width="7" bestFit="1" customWidth="1"/>
    <col min="96" max="96" width="35.1796875" bestFit="1" customWidth="1"/>
    <col min="97" max="97" width="31" bestFit="1" customWidth="1"/>
    <col min="98" max="98" width="31.26953125" bestFit="1" customWidth="1"/>
    <col min="99" max="99" width="5.7265625" bestFit="1" customWidth="1"/>
    <col min="100" max="100" width="4.453125" bestFit="1" customWidth="1"/>
    <col min="104" max="104" width="35.1796875" bestFit="1" customWidth="1"/>
    <col min="105" max="105" width="31.26953125" bestFit="1" customWidth="1"/>
    <col min="106" max="106" width="23.26953125" bestFit="1" customWidth="1"/>
    <col min="107" max="107" width="22.453125" bestFit="1" customWidth="1"/>
    <col min="108" max="108" width="37.453125" bestFit="1" customWidth="1"/>
    <col min="109" max="109" width="5.7265625" bestFit="1" customWidth="1"/>
    <col min="110" max="110" width="4.453125" bestFit="1" customWidth="1"/>
    <col min="114" max="114" width="35.1796875" bestFit="1" customWidth="1"/>
    <col min="115" max="115" width="31" bestFit="1" customWidth="1"/>
    <col min="116" max="116" width="31.26953125" bestFit="1" customWidth="1"/>
    <col min="117" max="117" width="20.81640625" bestFit="1" customWidth="1"/>
    <col min="118" max="118" width="8.81640625" bestFit="1" customWidth="1"/>
    <col min="119" max="119" width="7.81640625" bestFit="1" customWidth="1"/>
    <col min="124" max="124" width="37.1796875" bestFit="1" customWidth="1"/>
    <col min="125" max="125" width="20.81640625" customWidth="1"/>
    <col min="129" max="129" width="36.81640625" bestFit="1" customWidth="1"/>
    <col min="130" max="130" width="8.26953125" bestFit="1" customWidth="1"/>
    <col min="133" max="133" width="36.26953125" bestFit="1" customWidth="1"/>
    <col min="134" max="135" width="8.7265625" customWidth="1"/>
    <col min="136" max="136" width="26.7265625" bestFit="1" customWidth="1"/>
    <col min="137" max="137" width="21.1796875" bestFit="1" customWidth="1"/>
    <col min="138" max="138" width="25.7265625" bestFit="1" customWidth="1"/>
    <col min="139" max="139" width="17.54296875" bestFit="1" customWidth="1"/>
    <col min="140" max="140" width="39.1796875" bestFit="1" customWidth="1"/>
    <col min="141" max="141" width="27.453125" bestFit="1" customWidth="1"/>
    <col min="142" max="144" width="8.7265625" customWidth="1"/>
    <col min="145" max="145" width="21.7265625" bestFit="1" customWidth="1"/>
    <col min="146" max="146" width="17.81640625" customWidth="1"/>
    <col min="147" max="147" width="13.26953125" customWidth="1"/>
    <col min="148" max="148" width="34.81640625" bestFit="1" customWidth="1"/>
    <col min="149" max="149" width="14.54296875" customWidth="1"/>
    <col min="150" max="150" width="19.54296875" customWidth="1"/>
    <col min="151" max="151" width="21.26953125" customWidth="1"/>
    <col min="152" max="152" width="17.26953125" customWidth="1"/>
    <col min="153" max="153" width="20.7265625" customWidth="1"/>
    <col min="154" max="154" width="13.26953125" customWidth="1"/>
    <col min="155" max="155" width="19.26953125" customWidth="1"/>
    <col min="156" max="156" width="20.453125" customWidth="1"/>
    <col min="157" max="157" width="20.7265625" customWidth="1"/>
    <col min="158" max="158" width="21.54296875" customWidth="1"/>
  </cols>
  <sheetData>
    <row r="1" spans="2:149" x14ac:dyDescent="0.35">
      <c r="DY1" s="113" t="s">
        <v>1131</v>
      </c>
      <c r="EC1" s="113" t="s">
        <v>1150</v>
      </c>
    </row>
    <row r="2" spans="2:149" ht="15" thickBot="1" x14ac:dyDescent="0.4">
      <c r="B2" t="s">
        <v>981</v>
      </c>
      <c r="C2" t="s">
        <v>982</v>
      </c>
      <c r="D2" t="s">
        <v>983</v>
      </c>
      <c r="E2" t="s">
        <v>984</v>
      </c>
      <c r="F2" t="s">
        <v>985</v>
      </c>
      <c r="G2" t="s">
        <v>986</v>
      </c>
      <c r="H2" t="s">
        <v>987</v>
      </c>
      <c r="K2" t="s">
        <v>989</v>
      </c>
      <c r="L2" t="s">
        <v>990</v>
      </c>
      <c r="M2" t="s">
        <v>1015</v>
      </c>
      <c r="P2" t="s">
        <v>989</v>
      </c>
      <c r="Q2" t="s">
        <v>990</v>
      </c>
      <c r="R2" t="s">
        <v>991</v>
      </c>
      <c r="U2" t="s">
        <v>992</v>
      </c>
      <c r="V2" t="s">
        <v>981</v>
      </c>
      <c r="W2" t="s">
        <v>993</v>
      </c>
      <c r="X2" t="s">
        <v>994</v>
      </c>
      <c r="Y2" t="s">
        <v>995</v>
      </c>
      <c r="Z2" t="s">
        <v>996</v>
      </c>
      <c r="AA2" t="s">
        <v>997</v>
      </c>
      <c r="AE2" t="s">
        <v>992</v>
      </c>
      <c r="AF2" t="s">
        <v>981</v>
      </c>
      <c r="AG2" t="s">
        <v>993</v>
      </c>
      <c r="AH2" t="s">
        <v>994</v>
      </c>
      <c r="AI2" t="s">
        <v>995</v>
      </c>
      <c r="AJ2" t="s">
        <v>996</v>
      </c>
      <c r="AK2" t="s">
        <v>997</v>
      </c>
      <c r="AN2" t="s">
        <v>981</v>
      </c>
      <c r="AO2" t="s">
        <v>999</v>
      </c>
      <c r="AP2" t="s">
        <v>1000</v>
      </c>
      <c r="AQ2" t="s">
        <v>1001</v>
      </c>
      <c r="AR2" t="s">
        <v>1002</v>
      </c>
      <c r="AS2" t="s">
        <v>1003</v>
      </c>
      <c r="AT2" t="s">
        <v>987</v>
      </c>
      <c r="AU2" t="s">
        <v>989</v>
      </c>
      <c r="AV2" t="s">
        <v>990</v>
      </c>
      <c r="AY2" t="s">
        <v>981</v>
      </c>
      <c r="AZ2" t="s">
        <v>1006</v>
      </c>
      <c r="BA2" t="s">
        <v>1007</v>
      </c>
      <c r="BB2" t="s">
        <v>1008</v>
      </c>
      <c r="BC2" t="s">
        <v>999</v>
      </c>
      <c r="BD2" t="s">
        <v>1009</v>
      </c>
      <c r="BE2" t="s">
        <v>1010</v>
      </c>
      <c r="BF2" t="s">
        <v>1011</v>
      </c>
      <c r="BG2" t="s">
        <v>1012</v>
      </c>
      <c r="BH2" t="s">
        <v>989</v>
      </c>
      <c r="BI2" t="s">
        <v>990</v>
      </c>
      <c r="BL2" t="s">
        <v>981</v>
      </c>
      <c r="BM2" t="s">
        <v>1006</v>
      </c>
      <c r="BN2" t="s">
        <v>1014</v>
      </c>
      <c r="BO2" t="s">
        <v>989</v>
      </c>
      <c r="BP2" t="s">
        <v>990</v>
      </c>
      <c r="BS2" t="s">
        <v>990</v>
      </c>
      <c r="BT2" t="s">
        <v>989</v>
      </c>
      <c r="BW2" t="s">
        <v>990</v>
      </c>
      <c r="BX2" t="s">
        <v>989</v>
      </c>
      <c r="CF2" t="s">
        <v>981</v>
      </c>
      <c r="CG2" t="s">
        <v>1006</v>
      </c>
      <c r="CH2" t="s">
        <v>1037</v>
      </c>
      <c r="CI2" t="s">
        <v>1038</v>
      </c>
      <c r="CJ2" t="s">
        <v>1039</v>
      </c>
      <c r="CK2" t="s">
        <v>1040</v>
      </c>
      <c r="CL2" t="s">
        <v>1041</v>
      </c>
      <c r="CM2" t="s">
        <v>1042</v>
      </c>
      <c r="CN2" t="s">
        <v>990</v>
      </c>
      <c r="CO2" t="s">
        <v>989</v>
      </c>
      <c r="CR2" t="s">
        <v>981</v>
      </c>
      <c r="CS2" t="s">
        <v>1043</v>
      </c>
      <c r="CT2" t="s">
        <v>1037</v>
      </c>
      <c r="CU2" t="s">
        <v>990</v>
      </c>
      <c r="CV2" t="s">
        <v>989</v>
      </c>
      <c r="CW2" t="s">
        <v>12</v>
      </c>
      <c r="CZ2" t="s">
        <v>981</v>
      </c>
      <c r="DA2" t="s">
        <v>1037</v>
      </c>
      <c r="DB2" t="s">
        <v>1039</v>
      </c>
      <c r="DC2" t="s">
        <v>1041</v>
      </c>
      <c r="DD2" t="s">
        <v>1042</v>
      </c>
      <c r="DE2" t="s">
        <v>990</v>
      </c>
      <c r="DF2" t="s">
        <v>989</v>
      </c>
      <c r="DJ2" t="s">
        <v>981</v>
      </c>
      <c r="DK2" t="s">
        <v>1043</v>
      </c>
      <c r="DL2" t="s">
        <v>1037</v>
      </c>
      <c r="DM2" t="s">
        <v>987</v>
      </c>
      <c r="DN2" t="s">
        <v>990</v>
      </c>
      <c r="DO2" t="s">
        <v>989</v>
      </c>
      <c r="DT2" s="156" t="s">
        <v>981</v>
      </c>
      <c r="DU2" s="157" t="s">
        <v>1119</v>
      </c>
      <c r="DY2" t="s">
        <v>990</v>
      </c>
      <c r="DZ2" t="s">
        <v>989</v>
      </c>
      <c r="EC2" s="166" t="s">
        <v>981</v>
      </c>
      <c r="ED2" s="166" t="s">
        <v>1006</v>
      </c>
      <c r="EE2" s="166" t="s">
        <v>1007</v>
      </c>
      <c r="EF2" s="166" t="s">
        <v>1135</v>
      </c>
      <c r="EG2" s="166" t="s">
        <v>1136</v>
      </c>
      <c r="EH2" s="166" t="s">
        <v>1137</v>
      </c>
      <c r="EI2" s="166" t="s">
        <v>1138</v>
      </c>
      <c r="EJ2" s="166" t="s">
        <v>1139</v>
      </c>
      <c r="EK2" s="166" t="s">
        <v>1140</v>
      </c>
      <c r="EL2" s="166" t="s">
        <v>987</v>
      </c>
      <c r="EM2" s="166" t="s">
        <v>1141</v>
      </c>
      <c r="EN2" s="166" t="s">
        <v>1142</v>
      </c>
      <c r="EO2" s="166" t="s">
        <v>1143</v>
      </c>
      <c r="ER2" s="171" t="s">
        <v>981</v>
      </c>
      <c r="ES2" s="171" t="s">
        <v>1153</v>
      </c>
    </row>
    <row r="3" spans="2:149" ht="15" thickTop="1" x14ac:dyDescent="0.35">
      <c r="B3" t="s">
        <v>1184</v>
      </c>
      <c r="C3" t="s">
        <v>1408</v>
      </c>
      <c r="D3" t="s">
        <v>209</v>
      </c>
      <c r="E3" s="198">
        <v>0.25</v>
      </c>
      <c r="F3" s="198">
        <v>0.5</v>
      </c>
      <c r="G3" s="198">
        <v>0.75</v>
      </c>
      <c r="H3" t="s">
        <v>1154</v>
      </c>
      <c r="K3" t="s">
        <v>1356</v>
      </c>
      <c r="L3" t="s">
        <v>1409</v>
      </c>
      <c r="M3" t="s">
        <v>1410</v>
      </c>
      <c r="P3" t="s">
        <v>1176</v>
      </c>
      <c r="Q3" t="s">
        <v>1364</v>
      </c>
      <c r="R3" t="s">
        <v>1177</v>
      </c>
      <c r="U3" s="103"/>
      <c r="V3" t="s">
        <v>1467</v>
      </c>
      <c r="W3">
        <v>800008</v>
      </c>
      <c r="X3" t="s">
        <v>1321</v>
      </c>
      <c r="Y3" t="b">
        <v>0</v>
      </c>
      <c r="Z3" t="b">
        <v>0</v>
      </c>
      <c r="AA3" t="b">
        <v>0</v>
      </c>
      <c r="AE3" s="103"/>
      <c r="AF3" t="s">
        <v>1467</v>
      </c>
      <c r="AG3">
        <v>800008</v>
      </c>
      <c r="AH3" t="s">
        <v>1321</v>
      </c>
      <c r="AI3" t="b">
        <v>0</v>
      </c>
      <c r="AJ3" t="b">
        <v>0</v>
      </c>
      <c r="AK3" t="b">
        <v>0</v>
      </c>
      <c r="AN3" t="s">
        <v>1695</v>
      </c>
      <c r="AO3" t="s">
        <v>1646</v>
      </c>
      <c r="AP3" t="s">
        <v>1234</v>
      </c>
      <c r="AQ3" t="s">
        <v>1235</v>
      </c>
      <c r="AR3" t="s">
        <v>1672</v>
      </c>
      <c r="AT3" t="s">
        <v>1154</v>
      </c>
      <c r="AY3" t="s">
        <v>1459</v>
      </c>
      <c r="AZ3" t="b">
        <v>1</v>
      </c>
      <c r="BC3" t="s">
        <v>1372</v>
      </c>
      <c r="BD3" t="s">
        <v>1716</v>
      </c>
      <c r="BE3" t="s">
        <v>1460</v>
      </c>
      <c r="BF3">
        <v>0</v>
      </c>
      <c r="BG3" t="s">
        <v>1373</v>
      </c>
      <c r="BL3" t="s">
        <v>1720</v>
      </c>
      <c r="BM3" t="b">
        <v>1</v>
      </c>
      <c r="BN3" t="s">
        <v>1721</v>
      </c>
      <c r="BS3" t="s">
        <v>1387</v>
      </c>
      <c r="BT3" t="s">
        <v>1388</v>
      </c>
      <c r="BW3" t="s">
        <v>1751</v>
      </c>
      <c r="BX3" t="s">
        <v>1752</v>
      </c>
      <c r="CF3" t="s">
        <v>1774</v>
      </c>
      <c r="CG3" t="b">
        <v>1</v>
      </c>
      <c r="CH3" t="s">
        <v>20</v>
      </c>
      <c r="CI3" t="s">
        <v>1775</v>
      </c>
      <c r="CJ3" t="b">
        <v>0</v>
      </c>
      <c r="CM3" s="103"/>
      <c r="CR3" t="s">
        <v>1795</v>
      </c>
      <c r="CS3" t="s">
        <v>19</v>
      </c>
      <c r="CT3" t="s">
        <v>1238</v>
      </c>
      <c r="CW3" s="103"/>
      <c r="CZ3" t="s">
        <v>1774</v>
      </c>
      <c r="DA3" t="s">
        <v>20</v>
      </c>
      <c r="DB3" t="b">
        <v>0</v>
      </c>
      <c r="DJ3" t="s">
        <v>1795</v>
      </c>
      <c r="DK3" t="s">
        <v>19</v>
      </c>
      <c r="DL3" t="s">
        <v>1238</v>
      </c>
      <c r="DM3" t="s">
        <v>1154</v>
      </c>
      <c r="DT3" s="159" t="s">
        <v>1409</v>
      </c>
      <c r="DU3" s="160">
        <v>0</v>
      </c>
      <c r="DY3" s="103" t="s">
        <v>1876</v>
      </c>
      <c r="DZ3" s="103" t="s">
        <v>1877</v>
      </c>
      <c r="EC3" s="167" t="s">
        <v>1273</v>
      </c>
      <c r="ED3" s="166" t="b">
        <v>1</v>
      </c>
      <c r="EE3" s="166"/>
      <c r="EF3" s="167">
        <v>51020007</v>
      </c>
      <c r="EG3" s="167" t="s">
        <v>1274</v>
      </c>
      <c r="EH3" s="166" t="s">
        <v>1275</v>
      </c>
      <c r="EI3" s="166"/>
      <c r="EJ3" s="166" t="s">
        <v>1276</v>
      </c>
      <c r="EK3" s="166" t="s">
        <v>1277</v>
      </c>
      <c r="EL3" s="166" t="s">
        <v>1154</v>
      </c>
      <c r="EM3" s="166" t="s">
        <v>1154</v>
      </c>
      <c r="EN3" s="166" t="s">
        <v>1189</v>
      </c>
      <c r="EO3" s="166" t="s">
        <v>1154</v>
      </c>
      <c r="ER3" s="186" t="s">
        <v>1273</v>
      </c>
      <c r="ES3" s="171">
        <v>1</v>
      </c>
    </row>
    <row r="4" spans="2:149" x14ac:dyDescent="0.35">
      <c r="B4" t="s">
        <v>1183</v>
      </c>
      <c r="C4" t="s">
        <v>1408</v>
      </c>
      <c r="D4" t="s">
        <v>212</v>
      </c>
      <c r="E4" s="198">
        <v>0.75</v>
      </c>
      <c r="F4" s="198">
        <v>0.5</v>
      </c>
      <c r="G4" s="198">
        <v>0.25</v>
      </c>
      <c r="H4" t="s">
        <v>1154</v>
      </c>
      <c r="K4" t="s">
        <v>1412</v>
      </c>
      <c r="L4" t="s">
        <v>1411</v>
      </c>
      <c r="M4" t="s">
        <v>1413</v>
      </c>
      <c r="P4" t="s">
        <v>1178</v>
      </c>
      <c r="Q4" t="s">
        <v>1464</v>
      </c>
      <c r="R4" t="s">
        <v>1177</v>
      </c>
      <c r="U4" s="103"/>
      <c r="V4" t="s">
        <v>1468</v>
      </c>
      <c r="W4">
        <v>901862</v>
      </c>
      <c r="X4" t="s">
        <v>1469</v>
      </c>
      <c r="Y4" t="b">
        <v>0</v>
      </c>
      <c r="Z4" t="b">
        <v>0</v>
      </c>
      <c r="AA4" t="b">
        <v>0</v>
      </c>
      <c r="AE4" s="103"/>
      <c r="AF4" t="s">
        <v>1468</v>
      </c>
      <c r="AG4">
        <v>901862</v>
      </c>
      <c r="AH4" t="s">
        <v>1469</v>
      </c>
      <c r="AI4" t="b">
        <v>0</v>
      </c>
      <c r="AJ4" t="b">
        <v>0</v>
      </c>
      <c r="AK4" t="b">
        <v>0</v>
      </c>
      <c r="AN4" t="s">
        <v>1696</v>
      </c>
      <c r="AO4" t="s">
        <v>1646</v>
      </c>
      <c r="AP4" t="s">
        <v>1212</v>
      </c>
      <c r="AQ4" t="s">
        <v>1213</v>
      </c>
      <c r="AR4" t="s">
        <v>1672</v>
      </c>
      <c r="AT4" t="s">
        <v>1154</v>
      </c>
      <c r="AY4" t="s">
        <v>1435</v>
      </c>
      <c r="AZ4" t="b">
        <v>1</v>
      </c>
      <c r="BC4" t="s">
        <v>1372</v>
      </c>
      <c r="BD4" t="s">
        <v>1717</v>
      </c>
      <c r="BE4" t="s">
        <v>1437</v>
      </c>
      <c r="BF4">
        <v>0</v>
      </c>
      <c r="BL4" t="s">
        <v>1722</v>
      </c>
      <c r="BM4" t="b">
        <v>1</v>
      </c>
      <c r="BN4" t="s">
        <v>1723</v>
      </c>
      <c r="BS4" t="s">
        <v>1389</v>
      </c>
      <c r="BT4" t="s">
        <v>1390</v>
      </c>
      <c r="BW4" t="s">
        <v>1753</v>
      </c>
      <c r="BX4" t="s">
        <v>345</v>
      </c>
      <c r="CF4" t="s">
        <v>1776</v>
      </c>
      <c r="CG4" t="b">
        <v>1</v>
      </c>
      <c r="CH4" t="s">
        <v>23</v>
      </c>
      <c r="CI4" t="s">
        <v>1777</v>
      </c>
      <c r="CJ4" t="b">
        <v>0</v>
      </c>
      <c r="CM4" s="103"/>
      <c r="CR4" t="s">
        <v>1796</v>
      </c>
      <c r="CS4" t="s">
        <v>138</v>
      </c>
      <c r="CT4" t="s">
        <v>1239</v>
      </c>
      <c r="CW4" s="103"/>
      <c r="CZ4" t="s">
        <v>1776</v>
      </c>
      <c r="DA4" t="s">
        <v>23</v>
      </c>
      <c r="DB4" t="b">
        <v>0</v>
      </c>
      <c r="DJ4" t="s">
        <v>1796</v>
      </c>
      <c r="DK4" t="s">
        <v>138</v>
      </c>
      <c r="DL4" t="s">
        <v>1239</v>
      </c>
      <c r="DM4" t="s">
        <v>1154</v>
      </c>
      <c r="DT4" t="s">
        <v>1411</v>
      </c>
      <c r="DU4">
        <v>0</v>
      </c>
      <c r="DY4" s="103" t="s">
        <v>1878</v>
      </c>
      <c r="DZ4" s="103" t="s">
        <v>1879</v>
      </c>
      <c r="EC4" s="187" t="s">
        <v>1278</v>
      </c>
      <c r="ED4" t="b">
        <v>1</v>
      </c>
      <c r="EF4" s="167">
        <v>50421030</v>
      </c>
      <c r="EG4" s="187" t="s">
        <v>300</v>
      </c>
      <c r="EH4" t="s">
        <v>1279</v>
      </c>
      <c r="EJ4" t="s">
        <v>1280</v>
      </c>
      <c r="EK4" t="s">
        <v>1281</v>
      </c>
      <c r="EL4" t="s">
        <v>1154</v>
      </c>
      <c r="EM4" t="s">
        <v>1154</v>
      </c>
      <c r="EN4" t="s">
        <v>1189</v>
      </c>
      <c r="EO4" t="s">
        <v>1154</v>
      </c>
      <c r="ER4" t="s">
        <v>1278</v>
      </c>
      <c r="ES4">
        <v>1</v>
      </c>
    </row>
    <row r="5" spans="2:149" x14ac:dyDescent="0.35">
      <c r="K5" t="s">
        <v>1343</v>
      </c>
      <c r="L5" t="s">
        <v>1414</v>
      </c>
      <c r="M5" t="s">
        <v>1345</v>
      </c>
      <c r="P5" t="s">
        <v>1179</v>
      </c>
      <c r="Q5" t="s">
        <v>1465</v>
      </c>
      <c r="R5" t="s">
        <v>1177</v>
      </c>
      <c r="U5" s="103"/>
      <c r="V5" t="s">
        <v>1470</v>
      </c>
      <c r="W5">
        <v>50120001</v>
      </c>
      <c r="X5" t="s">
        <v>1311</v>
      </c>
      <c r="Y5" t="b">
        <v>1</v>
      </c>
      <c r="Z5" t="b">
        <v>0</v>
      </c>
      <c r="AA5" t="b">
        <v>0</v>
      </c>
      <c r="AE5" s="103"/>
      <c r="AF5" t="s">
        <v>1470</v>
      </c>
      <c r="AG5">
        <v>50120001</v>
      </c>
      <c r="AH5" t="s">
        <v>1311</v>
      </c>
      <c r="AI5" t="b">
        <v>1</v>
      </c>
      <c r="AJ5" t="b">
        <v>0</v>
      </c>
      <c r="AK5" t="b">
        <v>0</v>
      </c>
      <c r="AN5" t="s">
        <v>1648</v>
      </c>
      <c r="AO5" t="s">
        <v>1646</v>
      </c>
      <c r="AP5" t="s">
        <v>1222</v>
      </c>
      <c r="AQ5" t="s">
        <v>1210</v>
      </c>
      <c r="AR5" t="s">
        <v>1684</v>
      </c>
      <c r="AS5" t="s">
        <v>1216</v>
      </c>
      <c r="AT5" t="s">
        <v>1154</v>
      </c>
      <c r="AY5" t="s">
        <v>1461</v>
      </c>
      <c r="AZ5" t="b">
        <v>1</v>
      </c>
      <c r="BC5" t="s">
        <v>1372</v>
      </c>
      <c r="BD5" t="s">
        <v>1716</v>
      </c>
      <c r="BE5" t="s">
        <v>2046</v>
      </c>
      <c r="BF5">
        <v>0</v>
      </c>
      <c r="BG5" t="s">
        <v>1373</v>
      </c>
      <c r="BL5" t="s">
        <v>1724</v>
      </c>
      <c r="BM5" t="b">
        <v>1</v>
      </c>
      <c r="BN5" t="s">
        <v>1725</v>
      </c>
      <c r="BS5" t="s">
        <v>1391</v>
      </c>
      <c r="BT5" t="s">
        <v>1392</v>
      </c>
      <c r="BW5" t="s">
        <v>1754</v>
      </c>
      <c r="BX5" t="s">
        <v>1399</v>
      </c>
      <c r="CF5" t="s">
        <v>1778</v>
      </c>
      <c r="CG5" t="b">
        <v>1</v>
      </c>
      <c r="CH5" t="s">
        <v>1779</v>
      </c>
      <c r="CI5" t="s">
        <v>1780</v>
      </c>
      <c r="CJ5" t="b">
        <v>1</v>
      </c>
      <c r="CM5" s="103"/>
      <c r="CR5" t="s">
        <v>1797</v>
      </c>
      <c r="CS5" t="s">
        <v>139</v>
      </c>
      <c r="CT5" t="s">
        <v>1239</v>
      </c>
      <c r="CW5" s="103"/>
      <c r="CZ5" t="s">
        <v>1778</v>
      </c>
      <c r="DA5" t="s">
        <v>1779</v>
      </c>
      <c r="DB5" t="b">
        <v>1</v>
      </c>
      <c r="DJ5" t="s">
        <v>1797</v>
      </c>
      <c r="DK5" t="s">
        <v>139</v>
      </c>
      <c r="DL5" t="s">
        <v>1239</v>
      </c>
      <c r="DM5" t="s">
        <v>1154</v>
      </c>
      <c r="DT5" t="s">
        <v>1414</v>
      </c>
      <c r="DU5">
        <v>0</v>
      </c>
      <c r="DY5" s="103" t="s">
        <v>1880</v>
      </c>
      <c r="DZ5" s="103" t="s">
        <v>1881</v>
      </c>
      <c r="EC5" s="187" t="s">
        <v>1282</v>
      </c>
      <c r="ED5" t="b">
        <v>1</v>
      </c>
      <c r="EF5" s="167">
        <v>19749</v>
      </c>
      <c r="EG5" s="187" t="s">
        <v>1283</v>
      </c>
      <c r="EH5" t="s">
        <v>1284</v>
      </c>
      <c r="EJ5" t="s">
        <v>1285</v>
      </c>
      <c r="EK5" t="s">
        <v>1286</v>
      </c>
      <c r="EL5" t="s">
        <v>1154</v>
      </c>
      <c r="EM5" t="s">
        <v>1154</v>
      </c>
      <c r="EN5" t="s">
        <v>1189</v>
      </c>
      <c r="EO5" t="s">
        <v>1154</v>
      </c>
      <c r="ER5" t="s">
        <v>1282</v>
      </c>
      <c r="ES5">
        <v>1</v>
      </c>
    </row>
    <row r="6" spans="2:149" x14ac:dyDescent="0.35">
      <c r="K6" t="s">
        <v>1359</v>
      </c>
      <c r="L6" t="s">
        <v>1415</v>
      </c>
      <c r="M6" t="s">
        <v>1416</v>
      </c>
      <c r="P6" t="s">
        <v>1180</v>
      </c>
      <c r="Q6" t="s">
        <v>1466</v>
      </c>
      <c r="R6" t="s">
        <v>1177</v>
      </c>
      <c r="U6" s="103"/>
      <c r="V6" t="s">
        <v>1471</v>
      </c>
      <c r="W6">
        <v>50120003</v>
      </c>
      <c r="X6" t="s">
        <v>1472</v>
      </c>
      <c r="Y6" t="b">
        <v>1</v>
      </c>
      <c r="Z6" t="b">
        <v>0</v>
      </c>
      <c r="AA6" t="b">
        <v>0</v>
      </c>
      <c r="AE6" s="103"/>
      <c r="AF6" t="s">
        <v>1471</v>
      </c>
      <c r="AG6">
        <v>50120003</v>
      </c>
      <c r="AH6" t="s">
        <v>1472</v>
      </c>
      <c r="AI6" t="b">
        <v>1</v>
      </c>
      <c r="AJ6" t="b">
        <v>0</v>
      </c>
      <c r="AK6" t="b">
        <v>0</v>
      </c>
      <c r="AN6" t="s">
        <v>1697</v>
      </c>
      <c r="AO6" t="s">
        <v>1646</v>
      </c>
      <c r="AP6" t="s">
        <v>1214</v>
      </c>
      <c r="AQ6" t="s">
        <v>1215</v>
      </c>
      <c r="AR6" t="s">
        <v>1684</v>
      </c>
      <c r="AS6" t="s">
        <v>1216</v>
      </c>
      <c r="AT6" t="s">
        <v>1154</v>
      </c>
      <c r="AY6" t="s">
        <v>1422</v>
      </c>
      <c r="AZ6" t="b">
        <v>1</v>
      </c>
      <c r="BC6" t="s">
        <v>1372</v>
      </c>
      <c r="BD6" t="s">
        <v>1718</v>
      </c>
      <c r="BE6" t="s">
        <v>1423</v>
      </c>
      <c r="BF6">
        <v>0</v>
      </c>
      <c r="BL6" t="s">
        <v>1726</v>
      </c>
      <c r="BM6" t="b">
        <v>1</v>
      </c>
      <c r="BN6" t="s">
        <v>1727</v>
      </c>
      <c r="BS6" t="s">
        <v>1393</v>
      </c>
      <c r="BT6" t="s">
        <v>1394</v>
      </c>
      <c r="BW6" t="s">
        <v>1755</v>
      </c>
      <c r="BX6" t="s">
        <v>1756</v>
      </c>
      <c r="CF6" t="s">
        <v>1781</v>
      </c>
      <c r="CG6" t="b">
        <v>1</v>
      </c>
      <c r="CH6" t="s">
        <v>1240</v>
      </c>
      <c r="CI6" t="s">
        <v>1782</v>
      </c>
      <c r="CJ6" t="b">
        <v>1</v>
      </c>
      <c r="CM6" s="103"/>
      <c r="CR6" t="s">
        <v>1798</v>
      </c>
      <c r="CS6" t="s">
        <v>140</v>
      </c>
      <c r="CT6" t="s">
        <v>1239</v>
      </c>
      <c r="CW6" s="103"/>
      <c r="CZ6" t="s">
        <v>1781</v>
      </c>
      <c r="DA6" t="s">
        <v>1240</v>
      </c>
      <c r="DB6" t="b">
        <v>1</v>
      </c>
      <c r="DJ6" t="s">
        <v>1798</v>
      </c>
      <c r="DK6" t="s">
        <v>140</v>
      </c>
      <c r="DL6" t="s">
        <v>1239</v>
      </c>
      <c r="DM6" t="s">
        <v>1154</v>
      </c>
      <c r="DT6" t="s">
        <v>1415</v>
      </c>
      <c r="DU6">
        <v>0</v>
      </c>
      <c r="DY6" s="103" t="s">
        <v>1882</v>
      </c>
      <c r="DZ6" s="103" t="s">
        <v>1883</v>
      </c>
      <c r="EC6" s="187" t="s">
        <v>1287</v>
      </c>
      <c r="ED6" t="b">
        <v>1</v>
      </c>
      <c r="EF6" s="167">
        <v>800003</v>
      </c>
      <c r="EG6" s="187" t="s">
        <v>1208</v>
      </c>
      <c r="EH6" t="s">
        <v>1288</v>
      </c>
      <c r="EJ6" t="s">
        <v>1289</v>
      </c>
      <c r="EK6" t="s">
        <v>1290</v>
      </c>
      <c r="EL6" t="s">
        <v>1154</v>
      </c>
      <c r="EM6" t="s">
        <v>1154</v>
      </c>
      <c r="EN6" t="s">
        <v>1189</v>
      </c>
      <c r="EO6" t="s">
        <v>1154</v>
      </c>
      <c r="ER6" t="s">
        <v>1287</v>
      </c>
      <c r="ES6" t="s">
        <v>1335</v>
      </c>
    </row>
    <row r="7" spans="2:149" x14ac:dyDescent="0.35">
      <c r="K7" t="s">
        <v>1358</v>
      </c>
      <c r="L7" t="s">
        <v>1417</v>
      </c>
      <c r="M7" t="s">
        <v>1416</v>
      </c>
      <c r="P7" t="s">
        <v>1366</v>
      </c>
      <c r="Q7" t="s">
        <v>1365</v>
      </c>
      <c r="R7" t="s">
        <v>1367</v>
      </c>
      <c r="U7" s="103"/>
      <c r="V7" t="s">
        <v>1473</v>
      </c>
      <c r="W7">
        <v>50121012</v>
      </c>
      <c r="X7" t="s">
        <v>1474</v>
      </c>
      <c r="Y7" t="b">
        <v>1</v>
      </c>
      <c r="Z7" t="b">
        <v>0</v>
      </c>
      <c r="AA7" t="b">
        <v>0</v>
      </c>
      <c r="AE7" s="103"/>
      <c r="AF7" t="s">
        <v>1473</v>
      </c>
      <c r="AG7">
        <v>50121012</v>
      </c>
      <c r="AH7" t="s">
        <v>1474</v>
      </c>
      <c r="AI7" t="b">
        <v>1</v>
      </c>
      <c r="AJ7" t="b">
        <v>0</v>
      </c>
      <c r="AK7" t="b">
        <v>0</v>
      </c>
      <c r="AN7" t="s">
        <v>1698</v>
      </c>
      <c r="AO7" t="s">
        <v>1646</v>
      </c>
      <c r="AP7" t="s">
        <v>1225</v>
      </c>
      <c r="AQ7" t="s">
        <v>1226</v>
      </c>
      <c r="AR7" t="s">
        <v>1699</v>
      </c>
      <c r="AT7" t="s">
        <v>1154</v>
      </c>
      <c r="AY7" t="s">
        <v>1418</v>
      </c>
      <c r="AZ7" t="b">
        <v>1</v>
      </c>
      <c r="BC7" t="s">
        <v>1372</v>
      </c>
      <c r="BD7" t="s">
        <v>1716</v>
      </c>
      <c r="BE7" t="s">
        <v>1420</v>
      </c>
      <c r="BF7">
        <v>0</v>
      </c>
      <c r="BL7" t="s">
        <v>1728</v>
      </c>
      <c r="BM7" t="b">
        <v>1</v>
      </c>
      <c r="BN7" t="s">
        <v>1237</v>
      </c>
      <c r="BS7" t="s">
        <v>1375</v>
      </c>
      <c r="BT7" t="s">
        <v>1376</v>
      </c>
      <c r="BW7" t="s">
        <v>1757</v>
      </c>
      <c r="BX7" t="s">
        <v>296</v>
      </c>
      <c r="CF7" t="s">
        <v>1783</v>
      </c>
      <c r="CG7" t="b">
        <v>1</v>
      </c>
      <c r="CH7" t="s">
        <v>24</v>
      </c>
      <c r="CI7" t="s">
        <v>1784</v>
      </c>
      <c r="CJ7" t="b">
        <v>0</v>
      </c>
      <c r="CM7" s="103"/>
      <c r="CR7" t="s">
        <v>1799</v>
      </c>
      <c r="CS7" t="s">
        <v>141</v>
      </c>
      <c r="CT7" t="s">
        <v>1239</v>
      </c>
      <c r="CW7" s="103"/>
      <c r="CZ7" t="s">
        <v>1783</v>
      </c>
      <c r="DA7" t="s">
        <v>24</v>
      </c>
      <c r="DB7" t="b">
        <v>0</v>
      </c>
      <c r="DJ7" t="s">
        <v>1799</v>
      </c>
      <c r="DK7" t="s">
        <v>141</v>
      </c>
      <c r="DL7" t="s">
        <v>1239</v>
      </c>
      <c r="DM7" t="s">
        <v>1154</v>
      </c>
      <c r="DT7" t="s">
        <v>1417</v>
      </c>
      <c r="DU7">
        <v>0</v>
      </c>
      <c r="DY7" s="103" t="s">
        <v>1884</v>
      </c>
      <c r="DZ7" s="103" t="s">
        <v>1885</v>
      </c>
      <c r="EC7" s="187" t="s">
        <v>1291</v>
      </c>
      <c r="ED7" t="b">
        <v>1</v>
      </c>
      <c r="EF7" s="167">
        <v>50620004</v>
      </c>
      <c r="EG7" s="187" t="s">
        <v>1292</v>
      </c>
      <c r="EH7" t="s">
        <v>1293</v>
      </c>
      <c r="EJ7" t="s">
        <v>1294</v>
      </c>
      <c r="EK7" t="s">
        <v>1295</v>
      </c>
      <c r="EL7" t="s">
        <v>1154</v>
      </c>
      <c r="EM7" t="s">
        <v>1154</v>
      </c>
      <c r="EN7" t="s">
        <v>1189</v>
      </c>
      <c r="EO7" t="s">
        <v>1154</v>
      </c>
      <c r="ER7" t="s">
        <v>1291</v>
      </c>
      <c r="ES7">
        <v>1</v>
      </c>
    </row>
    <row r="8" spans="2:149" x14ac:dyDescent="0.35">
      <c r="K8" t="s">
        <v>1419</v>
      </c>
      <c r="L8" t="s">
        <v>1418</v>
      </c>
      <c r="M8" t="s">
        <v>1420</v>
      </c>
      <c r="P8" t="s">
        <v>1369</v>
      </c>
      <c r="Q8" t="s">
        <v>1368</v>
      </c>
      <c r="R8" t="s">
        <v>1367</v>
      </c>
      <c r="U8" s="103"/>
      <c r="V8" t="s">
        <v>1475</v>
      </c>
      <c r="W8">
        <v>50121013</v>
      </c>
      <c r="X8" t="s">
        <v>1476</v>
      </c>
      <c r="Y8" t="b">
        <v>1</v>
      </c>
      <c r="Z8" t="b">
        <v>0</v>
      </c>
      <c r="AA8" t="b">
        <v>0</v>
      </c>
      <c r="AE8" s="103"/>
      <c r="AF8" t="s">
        <v>1475</v>
      </c>
      <c r="AG8">
        <v>50121013</v>
      </c>
      <c r="AH8" t="s">
        <v>1476</v>
      </c>
      <c r="AI8" t="b">
        <v>1</v>
      </c>
      <c r="AJ8" t="b">
        <v>0</v>
      </c>
      <c r="AK8" t="b">
        <v>0</v>
      </c>
      <c r="AN8" t="s">
        <v>1658</v>
      </c>
      <c r="AO8" t="s">
        <v>1646</v>
      </c>
      <c r="AP8" t="s">
        <v>1230</v>
      </c>
      <c r="AQ8" t="s">
        <v>1223</v>
      </c>
      <c r="AR8" t="s">
        <v>1684</v>
      </c>
      <c r="AS8" t="s">
        <v>1216</v>
      </c>
      <c r="AT8" t="s">
        <v>1154</v>
      </c>
      <c r="AY8" t="s">
        <v>1411</v>
      </c>
      <c r="AZ8" t="b">
        <v>1</v>
      </c>
      <c r="BC8" t="s">
        <v>1372</v>
      </c>
      <c r="BD8" t="s">
        <v>1717</v>
      </c>
      <c r="BE8" t="s">
        <v>1413</v>
      </c>
      <c r="BF8">
        <v>0</v>
      </c>
      <c r="BL8" t="s">
        <v>1729</v>
      </c>
      <c r="BM8" t="b">
        <v>1</v>
      </c>
      <c r="BN8" t="s">
        <v>1730</v>
      </c>
      <c r="BS8" t="s">
        <v>1377</v>
      </c>
      <c r="BT8" t="s">
        <v>1378</v>
      </c>
      <c r="BW8" t="s">
        <v>1758</v>
      </c>
      <c r="BX8" t="s">
        <v>1396</v>
      </c>
      <c r="CF8" t="s">
        <v>1785</v>
      </c>
      <c r="CG8" t="b">
        <v>1</v>
      </c>
      <c r="CH8" t="s">
        <v>1239</v>
      </c>
      <c r="CI8" t="s">
        <v>1786</v>
      </c>
      <c r="CJ8" t="b">
        <v>0</v>
      </c>
      <c r="CM8" s="103"/>
      <c r="CR8" t="s">
        <v>1800</v>
      </c>
      <c r="CS8" t="s">
        <v>142</v>
      </c>
      <c r="CT8" t="s">
        <v>1239</v>
      </c>
      <c r="CW8" s="103"/>
      <c r="CZ8" t="s">
        <v>1785</v>
      </c>
      <c r="DA8" t="s">
        <v>1239</v>
      </c>
      <c r="DB8" t="b">
        <v>0</v>
      </c>
      <c r="DJ8" t="s">
        <v>1800</v>
      </c>
      <c r="DK8" t="s">
        <v>142</v>
      </c>
      <c r="DL8" t="s">
        <v>1239</v>
      </c>
      <c r="DM8" t="s">
        <v>1154</v>
      </c>
      <c r="DT8" t="s">
        <v>1418</v>
      </c>
      <c r="DU8">
        <v>0</v>
      </c>
      <c r="DY8" s="103" t="s">
        <v>1886</v>
      </c>
      <c r="DZ8" s="103" t="s">
        <v>1402</v>
      </c>
      <c r="EC8" s="187" t="s">
        <v>1296</v>
      </c>
      <c r="ED8" t="b">
        <v>1</v>
      </c>
      <c r="EF8" s="167">
        <v>50821115</v>
      </c>
      <c r="EG8" s="187" t="s">
        <v>1297</v>
      </c>
      <c r="EH8" t="s">
        <v>1298</v>
      </c>
      <c r="EJ8" t="s">
        <v>1299</v>
      </c>
      <c r="EK8" t="s">
        <v>1300</v>
      </c>
      <c r="EL8" t="s">
        <v>1154</v>
      </c>
      <c r="EM8" t="s">
        <v>1154</v>
      </c>
      <c r="EN8" t="s">
        <v>1189</v>
      </c>
      <c r="EO8" t="s">
        <v>1154</v>
      </c>
      <c r="ER8" t="s">
        <v>1296</v>
      </c>
      <c r="ES8">
        <v>1</v>
      </c>
    </row>
    <row r="9" spans="2:149" x14ac:dyDescent="0.35">
      <c r="K9" t="s">
        <v>1186</v>
      </c>
      <c r="L9" t="s">
        <v>1185</v>
      </c>
      <c r="M9" t="s">
        <v>1421</v>
      </c>
      <c r="P9" t="s">
        <v>1371</v>
      </c>
      <c r="Q9" t="s">
        <v>1370</v>
      </c>
      <c r="R9" t="s">
        <v>1367</v>
      </c>
      <c r="U9" s="103"/>
      <c r="V9" t="s">
        <v>1477</v>
      </c>
      <c r="W9">
        <v>50121015</v>
      </c>
      <c r="X9" t="s">
        <v>907</v>
      </c>
      <c r="Y9" t="b">
        <v>1</v>
      </c>
      <c r="Z9" t="b">
        <v>1</v>
      </c>
      <c r="AA9" t="b">
        <v>0</v>
      </c>
      <c r="AE9" s="103"/>
      <c r="AF9" t="s">
        <v>1477</v>
      </c>
      <c r="AG9">
        <v>50121015</v>
      </c>
      <c r="AH9" t="s">
        <v>907</v>
      </c>
      <c r="AI9" t="b">
        <v>1</v>
      </c>
      <c r="AJ9" t="b">
        <v>1</v>
      </c>
      <c r="AK9" t="b">
        <v>0</v>
      </c>
      <c r="AN9" t="s">
        <v>1700</v>
      </c>
      <c r="AO9" t="s">
        <v>1646</v>
      </c>
      <c r="AP9" t="s">
        <v>1701</v>
      </c>
      <c r="AQ9" t="s">
        <v>1223</v>
      </c>
      <c r="AR9" t="s">
        <v>1702</v>
      </c>
      <c r="AT9" t="s">
        <v>1154</v>
      </c>
      <c r="AY9" t="s">
        <v>1443</v>
      </c>
      <c r="AZ9" t="b">
        <v>1</v>
      </c>
      <c r="BC9" t="s">
        <v>1372</v>
      </c>
      <c r="BD9" t="s">
        <v>1717</v>
      </c>
      <c r="BE9" t="s">
        <v>1413</v>
      </c>
      <c r="BF9">
        <v>0</v>
      </c>
      <c r="BL9" t="s">
        <v>1731</v>
      </c>
      <c r="BM9" t="b">
        <v>1</v>
      </c>
      <c r="BN9" t="s">
        <v>1732</v>
      </c>
      <c r="BS9" t="s">
        <v>1379</v>
      </c>
      <c r="BT9" t="s">
        <v>1380</v>
      </c>
      <c r="BW9" t="s">
        <v>1759</v>
      </c>
      <c r="BX9" t="s">
        <v>1760</v>
      </c>
      <c r="CF9" t="s">
        <v>1787</v>
      </c>
      <c r="CG9" t="b">
        <v>1</v>
      </c>
      <c r="CH9" t="s">
        <v>1238</v>
      </c>
      <c r="CI9" t="s">
        <v>1788</v>
      </c>
      <c r="CJ9" t="b">
        <v>0</v>
      </c>
      <c r="CM9" s="103"/>
      <c r="CR9" t="s">
        <v>1801</v>
      </c>
      <c r="CS9" t="s">
        <v>144</v>
      </c>
      <c r="CT9" t="s">
        <v>1239</v>
      </c>
      <c r="CW9" s="103"/>
      <c r="CZ9" t="s">
        <v>1787</v>
      </c>
      <c r="DA9" t="s">
        <v>1238</v>
      </c>
      <c r="DB9" t="b">
        <v>0</v>
      </c>
      <c r="DJ9" t="s">
        <v>1801</v>
      </c>
      <c r="DK9" t="s">
        <v>144</v>
      </c>
      <c r="DL9" t="s">
        <v>1239</v>
      </c>
      <c r="DM9" t="s">
        <v>1154</v>
      </c>
      <c r="DT9" t="s">
        <v>1185</v>
      </c>
      <c r="DU9">
        <v>0</v>
      </c>
      <c r="DY9" s="103" t="s">
        <v>1887</v>
      </c>
      <c r="DZ9" s="103" t="s">
        <v>1403</v>
      </c>
      <c r="EC9" s="187" t="s">
        <v>1301</v>
      </c>
      <c r="ED9" t="b">
        <v>1</v>
      </c>
      <c r="EF9" s="167">
        <v>800434</v>
      </c>
      <c r="EG9" s="187" t="s">
        <v>1209</v>
      </c>
      <c r="EH9" t="s">
        <v>1302</v>
      </c>
      <c r="EJ9" t="s">
        <v>1303</v>
      </c>
      <c r="EK9" t="s">
        <v>1304</v>
      </c>
      <c r="EL9" t="s">
        <v>1154</v>
      </c>
      <c r="EM9" t="s">
        <v>1154</v>
      </c>
      <c r="EN9" t="s">
        <v>1189</v>
      </c>
      <c r="EO9" t="s">
        <v>1154</v>
      </c>
      <c r="ER9" t="s">
        <v>1301</v>
      </c>
      <c r="ES9">
        <v>1</v>
      </c>
    </row>
    <row r="10" spans="2:149" x14ac:dyDescent="0.35">
      <c r="K10" t="s">
        <v>1342</v>
      </c>
      <c r="L10" t="s">
        <v>1422</v>
      </c>
      <c r="M10" t="s">
        <v>1423</v>
      </c>
      <c r="U10" s="103"/>
      <c r="V10" t="s">
        <v>1478</v>
      </c>
      <c r="W10">
        <v>50121016</v>
      </c>
      <c r="X10" t="s">
        <v>948</v>
      </c>
      <c r="Y10" t="b">
        <v>1</v>
      </c>
      <c r="Z10" t="b">
        <v>1</v>
      </c>
      <c r="AA10" t="b">
        <v>0</v>
      </c>
      <c r="AE10" s="103"/>
      <c r="AF10" t="s">
        <v>1478</v>
      </c>
      <c r="AG10">
        <v>50121016</v>
      </c>
      <c r="AH10" t="s">
        <v>948</v>
      </c>
      <c r="AI10" t="b">
        <v>1</v>
      </c>
      <c r="AJ10" t="b">
        <v>1</v>
      </c>
      <c r="AK10" t="b">
        <v>0</v>
      </c>
      <c r="AN10" t="s">
        <v>1703</v>
      </c>
      <c r="AO10" t="s">
        <v>1646</v>
      </c>
      <c r="AP10" t="s">
        <v>1704</v>
      </c>
      <c r="AQ10" t="s">
        <v>1705</v>
      </c>
      <c r="AR10" t="s">
        <v>1706</v>
      </c>
      <c r="AT10" t="s">
        <v>1154</v>
      </c>
      <c r="AY10" t="s">
        <v>1185</v>
      </c>
      <c r="AZ10" t="b">
        <v>1</v>
      </c>
      <c r="BC10" t="s">
        <v>1372</v>
      </c>
      <c r="BD10" t="s">
        <v>1717</v>
      </c>
      <c r="BE10" t="s">
        <v>1421</v>
      </c>
      <c r="BF10">
        <v>0</v>
      </c>
      <c r="BL10" t="s">
        <v>1733</v>
      </c>
      <c r="BM10" t="b">
        <v>1</v>
      </c>
      <c r="BN10" t="s">
        <v>1734</v>
      </c>
      <c r="BS10" t="s">
        <v>1381</v>
      </c>
      <c r="BT10" t="s">
        <v>1382</v>
      </c>
      <c r="BW10" t="s">
        <v>1761</v>
      </c>
      <c r="BX10" t="s">
        <v>331</v>
      </c>
      <c r="CF10" t="s">
        <v>1789</v>
      </c>
      <c r="CG10" t="b">
        <v>1</v>
      </c>
      <c r="CH10" t="s">
        <v>1790</v>
      </c>
      <c r="CI10" t="s">
        <v>1791</v>
      </c>
      <c r="CJ10" t="b">
        <v>1</v>
      </c>
      <c r="CM10" s="103"/>
      <c r="CR10" s="152" t="s">
        <v>1802</v>
      </c>
      <c r="CS10" t="s">
        <v>145</v>
      </c>
      <c r="CT10" t="s">
        <v>1239</v>
      </c>
      <c r="CW10" s="103"/>
      <c r="CZ10" t="s">
        <v>1789</v>
      </c>
      <c r="DA10" t="s">
        <v>1790</v>
      </c>
      <c r="DB10" t="b">
        <v>1</v>
      </c>
      <c r="DJ10" s="152" t="s">
        <v>1802</v>
      </c>
      <c r="DK10" t="s">
        <v>145</v>
      </c>
      <c r="DL10" t="s">
        <v>1239</v>
      </c>
      <c r="DM10" t="s">
        <v>1154</v>
      </c>
      <c r="DT10" t="s">
        <v>1422</v>
      </c>
      <c r="DU10">
        <v>0</v>
      </c>
      <c r="DY10" s="103" t="s">
        <v>1888</v>
      </c>
      <c r="DZ10" s="103" t="s">
        <v>1889</v>
      </c>
      <c r="EC10" s="187" t="s">
        <v>1305</v>
      </c>
      <c r="ED10" t="b">
        <v>1</v>
      </c>
      <c r="EF10" s="167">
        <v>50421033</v>
      </c>
      <c r="EG10" s="187" t="s">
        <v>1306</v>
      </c>
      <c r="EH10" t="s">
        <v>1307</v>
      </c>
      <c r="EJ10" t="s">
        <v>1308</v>
      </c>
      <c r="EK10" t="s">
        <v>1309</v>
      </c>
      <c r="EL10" t="s">
        <v>1154</v>
      </c>
      <c r="EM10" t="s">
        <v>1154</v>
      </c>
      <c r="EN10" t="s">
        <v>1189</v>
      </c>
      <c r="EO10" t="s">
        <v>1154</v>
      </c>
      <c r="ER10" t="s">
        <v>1305</v>
      </c>
      <c r="ES10" t="s">
        <v>1336</v>
      </c>
    </row>
    <row r="11" spans="2:149" x14ac:dyDescent="0.35">
      <c r="K11" t="s">
        <v>1339</v>
      </c>
      <c r="L11" t="s">
        <v>1424</v>
      </c>
      <c r="M11" t="s">
        <v>1416</v>
      </c>
      <c r="U11" s="103"/>
      <c r="V11" t="s">
        <v>1479</v>
      </c>
      <c r="W11">
        <v>50121017</v>
      </c>
      <c r="X11" t="s">
        <v>1480</v>
      </c>
      <c r="Y11" t="b">
        <v>1</v>
      </c>
      <c r="Z11" t="b">
        <v>1</v>
      </c>
      <c r="AA11" t="b">
        <v>0</v>
      </c>
      <c r="AE11" s="103"/>
      <c r="AF11" t="s">
        <v>1479</v>
      </c>
      <c r="AG11">
        <v>50121017</v>
      </c>
      <c r="AH11" t="s">
        <v>1480</v>
      </c>
      <c r="AI11" t="b">
        <v>1</v>
      </c>
      <c r="AJ11" t="b">
        <v>1</v>
      </c>
      <c r="AK11" t="b">
        <v>0</v>
      </c>
      <c r="AN11" t="s">
        <v>1707</v>
      </c>
      <c r="AO11" t="s">
        <v>1646</v>
      </c>
      <c r="AP11" t="s">
        <v>1708</v>
      </c>
      <c r="AQ11" t="s">
        <v>1233</v>
      </c>
      <c r="AR11" t="s">
        <v>1706</v>
      </c>
      <c r="AT11" t="s">
        <v>1154</v>
      </c>
      <c r="AY11" t="s">
        <v>1187</v>
      </c>
      <c r="AZ11" t="b">
        <v>1</v>
      </c>
      <c r="BC11" t="s">
        <v>1372</v>
      </c>
      <c r="BD11" t="s">
        <v>1717</v>
      </c>
      <c r="BE11" t="s">
        <v>1441</v>
      </c>
      <c r="BF11">
        <v>0</v>
      </c>
      <c r="BL11" t="s">
        <v>1735</v>
      </c>
      <c r="BM11" t="b">
        <v>1</v>
      </c>
      <c r="BN11" t="s">
        <v>1736</v>
      </c>
      <c r="BS11" t="s">
        <v>1383</v>
      </c>
      <c r="BT11" t="s">
        <v>1384</v>
      </c>
      <c r="BW11" t="s">
        <v>1762</v>
      </c>
      <c r="BX11" t="s">
        <v>1763</v>
      </c>
      <c r="CF11" t="s">
        <v>1792</v>
      </c>
      <c r="CG11" t="b">
        <v>1</v>
      </c>
      <c r="CH11" t="s">
        <v>1793</v>
      </c>
      <c r="CI11" t="s">
        <v>1794</v>
      </c>
      <c r="CJ11" t="b">
        <v>1</v>
      </c>
      <c r="CM11" s="103"/>
      <c r="CR11" t="s">
        <v>1803</v>
      </c>
      <c r="CS11" t="s">
        <v>147</v>
      </c>
      <c r="CT11" t="s">
        <v>1239</v>
      </c>
      <c r="CW11" s="103"/>
      <c r="CZ11" t="s">
        <v>1792</v>
      </c>
      <c r="DA11" t="s">
        <v>1793</v>
      </c>
      <c r="DB11" t="b">
        <v>1</v>
      </c>
      <c r="DJ11" t="s">
        <v>1803</v>
      </c>
      <c r="DK11" t="s">
        <v>147</v>
      </c>
      <c r="DL11" t="s">
        <v>1239</v>
      </c>
      <c r="DM11" t="s">
        <v>1154</v>
      </c>
      <c r="DT11" t="s">
        <v>1424</v>
      </c>
      <c r="DU11">
        <v>0</v>
      </c>
      <c r="DY11" s="103" t="s">
        <v>1890</v>
      </c>
      <c r="DZ11" s="103" t="s">
        <v>1891</v>
      </c>
      <c r="EC11" s="187" t="s">
        <v>1310</v>
      </c>
      <c r="ED11" t="b">
        <v>1</v>
      </c>
      <c r="EF11" s="167">
        <v>50120001</v>
      </c>
      <c r="EG11" s="187" t="s">
        <v>1311</v>
      </c>
      <c r="EH11" t="s">
        <v>1312</v>
      </c>
      <c r="EJ11" t="s">
        <v>1313</v>
      </c>
      <c r="EK11" t="s">
        <v>1314</v>
      </c>
      <c r="EL11" t="s">
        <v>1154</v>
      </c>
      <c r="EM11" t="s">
        <v>1154</v>
      </c>
      <c r="EN11" t="s">
        <v>1189</v>
      </c>
      <c r="EO11" t="s">
        <v>1154</v>
      </c>
      <c r="ER11" t="s">
        <v>1310</v>
      </c>
      <c r="ES11">
        <v>1</v>
      </c>
    </row>
    <row r="12" spans="2:149" x14ac:dyDescent="0.35">
      <c r="K12" t="s">
        <v>1346</v>
      </c>
      <c r="L12" t="s">
        <v>1425</v>
      </c>
      <c r="M12" t="s">
        <v>1416</v>
      </c>
      <c r="U12" s="103"/>
      <c r="V12" t="s">
        <v>1481</v>
      </c>
      <c r="W12">
        <v>50121018</v>
      </c>
      <c r="X12" t="s">
        <v>950</v>
      </c>
      <c r="Y12" t="b">
        <v>1</v>
      </c>
      <c r="Z12" t="b">
        <v>1</v>
      </c>
      <c r="AA12" t="b">
        <v>0</v>
      </c>
      <c r="AE12" s="103"/>
      <c r="AF12" t="s">
        <v>1481</v>
      </c>
      <c r="AG12">
        <v>50121018</v>
      </c>
      <c r="AH12" t="s">
        <v>950</v>
      </c>
      <c r="AI12" t="b">
        <v>1</v>
      </c>
      <c r="AJ12" t="b">
        <v>1</v>
      </c>
      <c r="AK12" t="b">
        <v>0</v>
      </c>
      <c r="AN12" t="s">
        <v>1709</v>
      </c>
      <c r="AO12" t="s">
        <v>1646</v>
      </c>
      <c r="AP12" t="s">
        <v>1710</v>
      </c>
      <c r="AQ12" t="s">
        <v>1711</v>
      </c>
      <c r="AR12" t="s">
        <v>1712</v>
      </c>
      <c r="AS12" t="s">
        <v>1215</v>
      </c>
      <c r="AT12" t="s">
        <v>1154</v>
      </c>
      <c r="AY12" t="s">
        <v>1427</v>
      </c>
      <c r="AZ12" t="b">
        <v>1</v>
      </c>
      <c r="BC12" t="s">
        <v>1372</v>
      </c>
      <c r="BD12" t="s">
        <v>1719</v>
      </c>
      <c r="BE12" t="s">
        <v>2141</v>
      </c>
      <c r="BF12">
        <v>30</v>
      </c>
      <c r="BG12" t="s">
        <v>1373</v>
      </c>
      <c r="BL12" t="s">
        <v>1737</v>
      </c>
      <c r="BM12" t="b">
        <v>1</v>
      </c>
      <c r="BN12" t="s">
        <v>1738</v>
      </c>
      <c r="BS12" t="s">
        <v>1385</v>
      </c>
      <c r="BT12" t="s">
        <v>1386</v>
      </c>
      <c r="BW12" t="s">
        <v>1764</v>
      </c>
      <c r="BX12" t="s">
        <v>315</v>
      </c>
      <c r="CR12" t="s">
        <v>1804</v>
      </c>
      <c r="CS12" t="s">
        <v>557</v>
      </c>
      <c r="CT12" t="s">
        <v>1239</v>
      </c>
      <c r="CW12" s="103"/>
      <c r="DJ12" t="s">
        <v>1804</v>
      </c>
      <c r="DK12" t="s">
        <v>557</v>
      </c>
      <c r="DL12" t="s">
        <v>1239</v>
      </c>
      <c r="DM12" t="s">
        <v>1154</v>
      </c>
      <c r="DT12" t="s">
        <v>1425</v>
      </c>
      <c r="DU12">
        <v>0</v>
      </c>
      <c r="DY12" s="103" t="s">
        <v>1892</v>
      </c>
      <c r="DZ12" s="103" t="s">
        <v>1400</v>
      </c>
      <c r="EC12" s="187" t="s">
        <v>1315</v>
      </c>
      <c r="ED12" t="b">
        <v>1</v>
      </c>
      <c r="EF12" s="167">
        <v>50921121</v>
      </c>
      <c r="EG12" s="187" t="s">
        <v>1316</v>
      </c>
      <c r="EH12" t="s">
        <v>1317</v>
      </c>
      <c r="EJ12" t="s">
        <v>1318</v>
      </c>
      <c r="EK12" t="s">
        <v>1319</v>
      </c>
      <c r="EL12" t="s">
        <v>1154</v>
      </c>
      <c r="EM12" t="s">
        <v>1154</v>
      </c>
      <c r="EN12" t="s">
        <v>1189</v>
      </c>
      <c r="EO12" t="s">
        <v>1154</v>
      </c>
      <c r="ER12" t="s">
        <v>1315</v>
      </c>
      <c r="ES12">
        <v>1</v>
      </c>
    </row>
    <row r="13" spans="2:149" x14ac:dyDescent="0.35">
      <c r="K13" t="s">
        <v>1341</v>
      </c>
      <c r="L13" t="s">
        <v>1426</v>
      </c>
      <c r="M13" t="s">
        <v>1345</v>
      </c>
      <c r="U13" s="103"/>
      <c r="V13" t="s">
        <v>1482</v>
      </c>
      <c r="W13">
        <v>50121019</v>
      </c>
      <c r="X13" t="s">
        <v>951</v>
      </c>
      <c r="Y13" t="b">
        <v>1</v>
      </c>
      <c r="Z13" t="b">
        <v>1</v>
      </c>
      <c r="AA13" t="b">
        <v>0</v>
      </c>
      <c r="AE13" s="103"/>
      <c r="AF13" t="s">
        <v>1482</v>
      </c>
      <c r="AG13">
        <v>50121019</v>
      </c>
      <c r="AH13" t="s">
        <v>951</v>
      </c>
      <c r="AI13" t="b">
        <v>1</v>
      </c>
      <c r="AJ13" t="b">
        <v>1</v>
      </c>
      <c r="AK13" t="b">
        <v>0</v>
      </c>
      <c r="AN13" t="s">
        <v>1712</v>
      </c>
      <c r="AO13" t="s">
        <v>1646</v>
      </c>
      <c r="AP13" t="s">
        <v>1713</v>
      </c>
      <c r="AQ13" t="s">
        <v>1215</v>
      </c>
      <c r="AR13" t="s">
        <v>1714</v>
      </c>
      <c r="AT13" t="s">
        <v>1154</v>
      </c>
      <c r="AY13" t="s">
        <v>1429</v>
      </c>
      <c r="AZ13" t="b">
        <v>1</v>
      </c>
      <c r="BC13" t="s">
        <v>1372</v>
      </c>
      <c r="BD13" t="s">
        <v>1719</v>
      </c>
      <c r="BE13" t="s">
        <v>2142</v>
      </c>
      <c r="BF13">
        <v>50</v>
      </c>
      <c r="BG13" t="s">
        <v>1373</v>
      </c>
      <c r="BL13" t="s">
        <v>1739</v>
      </c>
      <c r="BM13" t="b">
        <v>1</v>
      </c>
      <c r="BN13" t="s">
        <v>1740</v>
      </c>
      <c r="BW13" t="s">
        <v>1765</v>
      </c>
      <c r="BX13" t="s">
        <v>1766</v>
      </c>
      <c r="CR13" t="s">
        <v>1805</v>
      </c>
      <c r="CS13" t="s">
        <v>30</v>
      </c>
      <c r="CT13" t="s">
        <v>1238</v>
      </c>
      <c r="CW13" s="103"/>
      <c r="DJ13" t="s">
        <v>1805</v>
      </c>
      <c r="DK13" t="s">
        <v>30</v>
      </c>
      <c r="DL13" t="s">
        <v>1238</v>
      </c>
      <c r="DM13" t="s">
        <v>1154</v>
      </c>
      <c r="DT13" t="s">
        <v>1426</v>
      </c>
      <c r="DU13">
        <v>0</v>
      </c>
      <c r="DY13" s="103" t="s">
        <v>1893</v>
      </c>
      <c r="DZ13" s="103" t="s">
        <v>1894</v>
      </c>
      <c r="EC13" s="188" t="s">
        <v>1190</v>
      </c>
      <c r="ED13" t="b">
        <v>1</v>
      </c>
      <c r="EF13" s="167" t="s">
        <v>1191</v>
      </c>
      <c r="EG13" s="187"/>
      <c r="EH13" t="s">
        <v>1192</v>
      </c>
      <c r="EI13" t="b">
        <v>0</v>
      </c>
      <c r="EJ13" t="s">
        <v>1191</v>
      </c>
      <c r="EL13" t="s">
        <v>1154</v>
      </c>
      <c r="EM13" t="s">
        <v>1154</v>
      </c>
      <c r="EN13" t="s">
        <v>1189</v>
      </c>
      <c r="EO13" t="s">
        <v>1154</v>
      </c>
      <c r="ER13" s="152" t="s">
        <v>1190</v>
      </c>
      <c r="ES13" t="s">
        <v>1132</v>
      </c>
    </row>
    <row r="14" spans="2:149" x14ac:dyDescent="0.35">
      <c r="K14" t="s">
        <v>1428</v>
      </c>
      <c r="L14" t="s">
        <v>1427</v>
      </c>
      <c r="M14" t="s">
        <v>2141</v>
      </c>
      <c r="U14" s="103"/>
      <c r="V14" t="s">
        <v>1483</v>
      </c>
      <c r="W14">
        <v>50121020</v>
      </c>
      <c r="X14" t="s">
        <v>952</v>
      </c>
      <c r="Y14" t="b">
        <v>1</v>
      </c>
      <c r="Z14" t="b">
        <v>1</v>
      </c>
      <c r="AA14" t="b">
        <v>0</v>
      </c>
      <c r="AE14" s="103"/>
      <c r="AF14" t="s">
        <v>1483</v>
      </c>
      <c r="AG14">
        <v>50121020</v>
      </c>
      <c r="AH14" t="s">
        <v>952</v>
      </c>
      <c r="AI14" t="b">
        <v>1</v>
      </c>
      <c r="AJ14" t="b">
        <v>1</v>
      </c>
      <c r="AK14" t="b">
        <v>0</v>
      </c>
      <c r="AN14" t="s">
        <v>1715</v>
      </c>
      <c r="AO14" t="s">
        <v>1646</v>
      </c>
      <c r="AP14" t="s">
        <v>1231</v>
      </c>
      <c r="AQ14" t="s">
        <v>1232</v>
      </c>
      <c r="AR14" t="s">
        <v>1670</v>
      </c>
      <c r="AT14" t="s">
        <v>1154</v>
      </c>
      <c r="AY14" t="s">
        <v>1454</v>
      </c>
      <c r="AZ14" t="b">
        <v>1</v>
      </c>
      <c r="BC14" t="s">
        <v>1372</v>
      </c>
      <c r="BD14" t="s">
        <v>1374</v>
      </c>
      <c r="BE14" t="s">
        <v>1337</v>
      </c>
      <c r="BF14">
        <v>0</v>
      </c>
      <c r="BL14" t="s">
        <v>1741</v>
      </c>
      <c r="BM14" t="b">
        <v>1</v>
      </c>
      <c r="BN14" t="s">
        <v>1742</v>
      </c>
      <c r="BW14" t="s">
        <v>1767</v>
      </c>
      <c r="BX14" t="s">
        <v>1398</v>
      </c>
      <c r="CR14" t="s">
        <v>1806</v>
      </c>
      <c r="CS14" t="s">
        <v>15</v>
      </c>
      <c r="CT14" t="s">
        <v>1239</v>
      </c>
      <c r="CW14" s="103"/>
      <c r="DJ14" t="s">
        <v>1806</v>
      </c>
      <c r="DK14" t="s">
        <v>15</v>
      </c>
      <c r="DL14" t="s">
        <v>1239</v>
      </c>
      <c r="DM14" t="s">
        <v>1154</v>
      </c>
      <c r="DT14" t="s">
        <v>1427</v>
      </c>
      <c r="DU14">
        <v>30</v>
      </c>
      <c r="DY14" s="103" t="s">
        <v>1895</v>
      </c>
      <c r="DZ14" s="103" t="s">
        <v>1896</v>
      </c>
      <c r="EC14" s="187" t="s">
        <v>1320</v>
      </c>
      <c r="ED14" t="b">
        <v>1</v>
      </c>
      <c r="EF14" s="167">
        <v>800008</v>
      </c>
      <c r="EG14" s="187" t="s">
        <v>1321</v>
      </c>
      <c r="EH14" t="s">
        <v>1322</v>
      </c>
      <c r="EJ14" s="152" t="s">
        <v>1323</v>
      </c>
      <c r="EK14" t="s">
        <v>1324</v>
      </c>
      <c r="EL14" t="s">
        <v>1154</v>
      </c>
      <c r="EM14" t="s">
        <v>1154</v>
      </c>
      <c r="EN14" t="s">
        <v>1189</v>
      </c>
      <c r="EO14" t="s">
        <v>1154</v>
      </c>
      <c r="ER14" t="s">
        <v>1320</v>
      </c>
      <c r="ES14">
        <v>1</v>
      </c>
    </row>
    <row r="15" spans="2:149" x14ac:dyDescent="0.35">
      <c r="K15" t="s">
        <v>1430</v>
      </c>
      <c r="L15" t="s">
        <v>1429</v>
      </c>
      <c r="M15" t="s">
        <v>2142</v>
      </c>
      <c r="U15" s="103"/>
      <c r="V15" t="s">
        <v>1484</v>
      </c>
      <c r="W15">
        <v>50121021</v>
      </c>
      <c r="X15" t="s">
        <v>945</v>
      </c>
      <c r="Y15" t="b">
        <v>1</v>
      </c>
      <c r="Z15" t="b">
        <v>1</v>
      </c>
      <c r="AA15" t="b">
        <v>0</v>
      </c>
      <c r="AE15" s="103"/>
      <c r="AF15" t="s">
        <v>1484</v>
      </c>
      <c r="AG15">
        <v>50121021</v>
      </c>
      <c r="AH15" t="s">
        <v>945</v>
      </c>
      <c r="AI15" t="b">
        <v>1</v>
      </c>
      <c r="AJ15" t="b">
        <v>1</v>
      </c>
      <c r="AK15" t="b">
        <v>0</v>
      </c>
      <c r="AN15" t="s">
        <v>1684</v>
      </c>
      <c r="AO15" t="s">
        <v>1646</v>
      </c>
      <c r="AP15" t="s">
        <v>310</v>
      </c>
      <c r="AQ15" t="s">
        <v>1216</v>
      </c>
      <c r="AR15">
        <v>0</v>
      </c>
      <c r="AT15" t="s">
        <v>1154</v>
      </c>
      <c r="AY15" t="s">
        <v>1459</v>
      </c>
      <c r="AZ15" t="b">
        <v>1</v>
      </c>
      <c r="BC15" t="s">
        <v>1372</v>
      </c>
      <c r="BD15" t="s">
        <v>1716</v>
      </c>
      <c r="BE15" t="s">
        <v>2146</v>
      </c>
      <c r="BF15">
        <v>0</v>
      </c>
      <c r="BG15" t="s">
        <v>1373</v>
      </c>
      <c r="BL15" t="s">
        <v>1743</v>
      </c>
      <c r="BM15" t="b">
        <v>1</v>
      </c>
      <c r="BN15" t="s">
        <v>1744</v>
      </c>
      <c r="BW15" t="s">
        <v>1768</v>
      </c>
      <c r="BX15" t="s">
        <v>1395</v>
      </c>
      <c r="CR15" t="s">
        <v>1807</v>
      </c>
      <c r="CS15" t="s">
        <v>16</v>
      </c>
      <c r="CT15" t="s">
        <v>1239</v>
      </c>
      <c r="CW15" s="103"/>
      <c r="DJ15" t="s">
        <v>1807</v>
      </c>
      <c r="DK15" t="s">
        <v>16</v>
      </c>
      <c r="DL15" t="s">
        <v>1239</v>
      </c>
      <c r="DM15" t="s">
        <v>1154</v>
      </c>
      <c r="DT15" t="s">
        <v>1429</v>
      </c>
      <c r="DU15">
        <v>50</v>
      </c>
      <c r="DY15" s="103" t="s">
        <v>1897</v>
      </c>
      <c r="DZ15" s="103" t="s">
        <v>1898</v>
      </c>
      <c r="EC15" s="187" t="s">
        <v>1325</v>
      </c>
      <c r="ED15" t="b">
        <v>1</v>
      </c>
      <c r="EF15" s="167">
        <v>2102840279</v>
      </c>
      <c r="EG15" s="187" t="s">
        <v>1326</v>
      </c>
      <c r="EH15" t="s">
        <v>1327</v>
      </c>
      <c r="EJ15" t="s">
        <v>1328</v>
      </c>
      <c r="EK15" t="s">
        <v>1329</v>
      </c>
      <c r="EL15" t="s">
        <v>1154</v>
      </c>
      <c r="EM15" t="s">
        <v>1154</v>
      </c>
      <c r="EN15" t="s">
        <v>1189</v>
      </c>
      <c r="EO15" t="s">
        <v>1154</v>
      </c>
      <c r="ER15" t="s">
        <v>1325</v>
      </c>
      <c r="ES15">
        <v>1</v>
      </c>
    </row>
    <row r="16" spans="2:149" x14ac:dyDescent="0.35">
      <c r="K16" t="s">
        <v>1363</v>
      </c>
      <c r="L16" t="s">
        <v>1431</v>
      </c>
      <c r="M16" t="s">
        <v>1416</v>
      </c>
      <c r="U16" s="103"/>
      <c r="V16" t="s">
        <v>1485</v>
      </c>
      <c r="W16">
        <v>50121022</v>
      </c>
      <c r="X16" t="s">
        <v>953</v>
      </c>
      <c r="Y16" t="b">
        <v>1</v>
      </c>
      <c r="Z16" t="b">
        <v>1</v>
      </c>
      <c r="AA16" t="b">
        <v>0</v>
      </c>
      <c r="AE16" s="103"/>
      <c r="AF16" t="s">
        <v>1485</v>
      </c>
      <c r="AG16">
        <v>50121022</v>
      </c>
      <c r="AH16" t="s">
        <v>953</v>
      </c>
      <c r="AI16" t="b">
        <v>1</v>
      </c>
      <c r="AJ16" t="b">
        <v>1</v>
      </c>
      <c r="AK16" t="b">
        <v>0</v>
      </c>
      <c r="AN16" t="s">
        <v>1645</v>
      </c>
      <c r="AO16" t="s">
        <v>1646</v>
      </c>
      <c r="AP16" t="s">
        <v>1647</v>
      </c>
      <c r="AQ16" t="s">
        <v>1235</v>
      </c>
      <c r="AR16" t="s">
        <v>1648</v>
      </c>
      <c r="AS16" t="s">
        <v>1210</v>
      </c>
      <c r="AT16" t="s">
        <v>1154</v>
      </c>
      <c r="AY16" t="s">
        <v>1422</v>
      </c>
      <c r="AZ16" t="b">
        <v>1</v>
      </c>
      <c r="BC16" t="s">
        <v>1372</v>
      </c>
      <c r="BD16" t="s">
        <v>1718</v>
      </c>
      <c r="BE16" t="s">
        <v>2144</v>
      </c>
      <c r="BF16">
        <v>0</v>
      </c>
      <c r="BG16" t="s">
        <v>1373</v>
      </c>
      <c r="BL16" t="s">
        <v>1745</v>
      </c>
      <c r="BM16" t="b">
        <v>1</v>
      </c>
      <c r="BN16" t="s">
        <v>1746</v>
      </c>
      <c r="BW16" t="s">
        <v>1769</v>
      </c>
      <c r="BX16" t="s">
        <v>1397</v>
      </c>
      <c r="CR16" t="s">
        <v>1808</v>
      </c>
      <c r="CS16" t="s">
        <v>133</v>
      </c>
      <c r="CT16" t="s">
        <v>1239</v>
      </c>
      <c r="CW16" s="103"/>
      <c r="DJ16" t="s">
        <v>1808</v>
      </c>
      <c r="DK16" t="s">
        <v>133</v>
      </c>
      <c r="DL16" t="s">
        <v>1239</v>
      </c>
      <c r="DM16" t="s">
        <v>1154</v>
      </c>
      <c r="DT16" t="s">
        <v>1431</v>
      </c>
      <c r="DU16">
        <v>0</v>
      </c>
      <c r="DY16" s="103" t="s">
        <v>1899</v>
      </c>
      <c r="DZ16" s="103" t="s">
        <v>1900</v>
      </c>
      <c r="EC16" s="187" t="s">
        <v>1193</v>
      </c>
      <c r="ED16" t="b">
        <v>1</v>
      </c>
      <c r="EF16" s="167">
        <v>50621037</v>
      </c>
      <c r="EG16" s="187" t="s">
        <v>1155</v>
      </c>
      <c r="EH16" t="s">
        <v>1194</v>
      </c>
      <c r="EJ16" t="s">
        <v>1162</v>
      </c>
      <c r="EK16" t="s">
        <v>1330</v>
      </c>
      <c r="EL16" t="s">
        <v>1154</v>
      </c>
      <c r="EM16" t="s">
        <v>1154</v>
      </c>
      <c r="EN16" t="s">
        <v>1189</v>
      </c>
      <c r="EO16" t="s">
        <v>1154</v>
      </c>
      <c r="ER16" t="s">
        <v>1193</v>
      </c>
      <c r="ES16">
        <v>1</v>
      </c>
    </row>
    <row r="17" spans="11:149" x14ac:dyDescent="0.35">
      <c r="K17" t="s">
        <v>1360</v>
      </c>
      <c r="L17" t="s">
        <v>1432</v>
      </c>
      <c r="M17" t="s">
        <v>1410</v>
      </c>
      <c r="U17" s="103"/>
      <c r="V17" t="s">
        <v>1486</v>
      </c>
      <c r="W17">
        <v>50121023</v>
      </c>
      <c r="X17" t="s">
        <v>954</v>
      </c>
      <c r="Y17" t="b">
        <v>1</v>
      </c>
      <c r="Z17" t="b">
        <v>1</v>
      </c>
      <c r="AA17" t="b">
        <v>0</v>
      </c>
      <c r="AE17" s="103"/>
      <c r="AF17" t="s">
        <v>1486</v>
      </c>
      <c r="AG17">
        <v>50121023</v>
      </c>
      <c r="AH17" t="s">
        <v>954</v>
      </c>
      <c r="AI17" t="b">
        <v>1</v>
      </c>
      <c r="AJ17" t="b">
        <v>1</v>
      </c>
      <c r="AK17" t="b">
        <v>0</v>
      </c>
      <c r="AN17" t="s">
        <v>1163</v>
      </c>
      <c r="AO17" t="s">
        <v>1646</v>
      </c>
      <c r="AP17" t="s">
        <v>1649</v>
      </c>
      <c r="AQ17" t="s">
        <v>1219</v>
      </c>
      <c r="AR17" t="s">
        <v>1648</v>
      </c>
      <c r="AS17" t="s">
        <v>1210</v>
      </c>
      <c r="AT17" t="s">
        <v>1154</v>
      </c>
      <c r="AY17" t="s">
        <v>1427</v>
      </c>
      <c r="AZ17" t="b">
        <v>1</v>
      </c>
      <c r="BC17" t="s">
        <v>1372</v>
      </c>
      <c r="BD17" t="s">
        <v>1719</v>
      </c>
      <c r="BE17" t="s">
        <v>2145</v>
      </c>
      <c r="BF17">
        <v>30</v>
      </c>
      <c r="BG17" t="s">
        <v>1373</v>
      </c>
      <c r="BL17" t="s">
        <v>1747</v>
      </c>
      <c r="BM17" t="b">
        <v>1</v>
      </c>
      <c r="BN17" t="s">
        <v>1748</v>
      </c>
      <c r="BW17" t="s">
        <v>1770</v>
      </c>
      <c r="BX17" t="s">
        <v>1771</v>
      </c>
      <c r="CR17" t="s">
        <v>1809</v>
      </c>
      <c r="CS17" t="s">
        <v>134</v>
      </c>
      <c r="CT17" t="s">
        <v>1239</v>
      </c>
      <c r="CW17" s="103"/>
      <c r="DJ17" t="s">
        <v>1809</v>
      </c>
      <c r="DK17" t="s">
        <v>134</v>
      </c>
      <c r="DL17" t="s">
        <v>1239</v>
      </c>
      <c r="DM17" t="s">
        <v>1154</v>
      </c>
      <c r="DT17" t="s">
        <v>1432</v>
      </c>
      <c r="DU17">
        <v>0</v>
      </c>
      <c r="DY17" s="103" t="s">
        <v>1901</v>
      </c>
      <c r="DZ17" s="103" t="s">
        <v>1902</v>
      </c>
      <c r="EC17" s="187" t="s">
        <v>1331</v>
      </c>
      <c r="ED17" t="b">
        <v>1</v>
      </c>
      <c r="EF17" s="167" t="s">
        <v>1332</v>
      </c>
      <c r="EG17" s="187" t="s">
        <v>1332</v>
      </c>
      <c r="EJ17" t="s">
        <v>1333</v>
      </c>
      <c r="EK17" t="s">
        <v>1334</v>
      </c>
      <c r="EL17" t="s">
        <v>1154</v>
      </c>
      <c r="EM17" t="s">
        <v>1154</v>
      </c>
      <c r="EN17" t="s">
        <v>1189</v>
      </c>
      <c r="EO17" t="s">
        <v>1154</v>
      </c>
      <c r="ER17" t="s">
        <v>1331</v>
      </c>
      <c r="ES17" t="s">
        <v>1132</v>
      </c>
    </row>
    <row r="18" spans="11:149" x14ac:dyDescent="0.35">
      <c r="K18" t="s">
        <v>1353</v>
      </c>
      <c r="L18" t="s">
        <v>1433</v>
      </c>
      <c r="M18" t="s">
        <v>1416</v>
      </c>
      <c r="U18" s="103"/>
      <c r="V18" t="s">
        <v>1487</v>
      </c>
      <c r="W18">
        <v>50121024</v>
      </c>
      <c r="X18" t="s">
        <v>955</v>
      </c>
      <c r="Y18" t="b">
        <v>1</v>
      </c>
      <c r="Z18" t="b">
        <v>1</v>
      </c>
      <c r="AA18" t="b">
        <v>0</v>
      </c>
      <c r="AE18" s="103"/>
      <c r="AF18" t="s">
        <v>1487</v>
      </c>
      <c r="AG18">
        <v>50121024</v>
      </c>
      <c r="AH18" t="s">
        <v>955</v>
      </c>
      <c r="AI18" t="b">
        <v>1</v>
      </c>
      <c r="AJ18" t="b">
        <v>1</v>
      </c>
      <c r="AK18" t="b">
        <v>0</v>
      </c>
      <c r="AN18" t="s">
        <v>1650</v>
      </c>
      <c r="AO18" t="s">
        <v>1646</v>
      </c>
      <c r="AP18" t="s">
        <v>1651</v>
      </c>
      <c r="AQ18" t="s">
        <v>1213</v>
      </c>
      <c r="AR18" t="s">
        <v>1648</v>
      </c>
      <c r="AS18" t="s">
        <v>1210</v>
      </c>
      <c r="AT18" t="s">
        <v>1154</v>
      </c>
      <c r="BL18" t="s">
        <v>1749</v>
      </c>
      <c r="BM18" t="b">
        <v>1</v>
      </c>
      <c r="BN18" t="s">
        <v>1750</v>
      </c>
      <c r="BW18" t="s">
        <v>1772</v>
      </c>
      <c r="BX18" t="s">
        <v>1773</v>
      </c>
      <c r="CR18" t="s">
        <v>1810</v>
      </c>
      <c r="CS18" t="s">
        <v>143</v>
      </c>
      <c r="CT18" t="s">
        <v>1239</v>
      </c>
      <c r="CW18" s="103"/>
      <c r="DJ18" t="s">
        <v>1810</v>
      </c>
      <c r="DK18" t="s">
        <v>143</v>
      </c>
      <c r="DL18" t="s">
        <v>1239</v>
      </c>
      <c r="DM18" t="s">
        <v>1154</v>
      </c>
      <c r="DT18" t="s">
        <v>1433</v>
      </c>
      <c r="DU18">
        <v>0</v>
      </c>
      <c r="DY18" s="103" t="s">
        <v>1903</v>
      </c>
      <c r="DZ18" s="103" t="s">
        <v>1904</v>
      </c>
    </row>
    <row r="19" spans="11:149" x14ac:dyDescent="0.35">
      <c r="K19" t="s">
        <v>1361</v>
      </c>
      <c r="L19" t="s">
        <v>1434</v>
      </c>
      <c r="M19" t="s">
        <v>1410</v>
      </c>
      <c r="U19" s="103"/>
      <c r="V19" t="s">
        <v>1488</v>
      </c>
      <c r="W19">
        <v>50221025</v>
      </c>
      <c r="X19" t="s">
        <v>1489</v>
      </c>
      <c r="Y19" t="b">
        <v>1</v>
      </c>
      <c r="Z19" t="b">
        <v>0</v>
      </c>
      <c r="AA19" t="b">
        <v>0</v>
      </c>
      <c r="AE19" s="103"/>
      <c r="AF19" t="s">
        <v>1488</v>
      </c>
      <c r="AG19">
        <v>50221025</v>
      </c>
      <c r="AH19" t="s">
        <v>1489</v>
      </c>
      <c r="AI19" t="b">
        <v>1</v>
      </c>
      <c r="AJ19" t="b">
        <v>0</v>
      </c>
      <c r="AK19" t="b">
        <v>0</v>
      </c>
      <c r="AN19" s="152" t="s">
        <v>1652</v>
      </c>
      <c r="AO19" t="s">
        <v>1646</v>
      </c>
      <c r="AP19" t="s">
        <v>1653</v>
      </c>
      <c r="AQ19" t="s">
        <v>1229</v>
      </c>
      <c r="AR19" t="s">
        <v>1648</v>
      </c>
      <c r="AS19" t="s">
        <v>1210</v>
      </c>
      <c r="AT19" t="s">
        <v>1154</v>
      </c>
      <c r="CR19" t="s">
        <v>1811</v>
      </c>
      <c r="CS19" t="s">
        <v>136</v>
      </c>
      <c r="CT19" t="s">
        <v>1239</v>
      </c>
      <c r="CW19" s="103"/>
      <c r="DJ19" t="s">
        <v>1811</v>
      </c>
      <c r="DK19" t="s">
        <v>136</v>
      </c>
      <c r="DL19" t="s">
        <v>1239</v>
      </c>
      <c r="DM19" t="s">
        <v>1154</v>
      </c>
      <c r="DT19" t="s">
        <v>1434</v>
      </c>
      <c r="DU19">
        <v>0</v>
      </c>
      <c r="DY19" s="103" t="s">
        <v>1905</v>
      </c>
      <c r="DZ19" s="103" t="s">
        <v>1906</v>
      </c>
    </row>
    <row r="20" spans="11:149" x14ac:dyDescent="0.35">
      <c r="K20" t="s">
        <v>1436</v>
      </c>
      <c r="L20" t="s">
        <v>1435</v>
      </c>
      <c r="M20" t="s">
        <v>1437</v>
      </c>
      <c r="U20" s="103"/>
      <c r="V20" t="s">
        <v>1490</v>
      </c>
      <c r="W20">
        <v>50221026</v>
      </c>
      <c r="X20" t="s">
        <v>1491</v>
      </c>
      <c r="Y20" t="b">
        <v>1</v>
      </c>
      <c r="Z20" t="b">
        <v>0</v>
      </c>
      <c r="AA20" t="b">
        <v>1</v>
      </c>
      <c r="AE20" s="103"/>
      <c r="AF20" t="s">
        <v>1490</v>
      </c>
      <c r="AG20">
        <v>50221026</v>
      </c>
      <c r="AH20" t="s">
        <v>1491</v>
      </c>
      <c r="AI20" t="b">
        <v>1</v>
      </c>
      <c r="AJ20" t="b">
        <v>0</v>
      </c>
      <c r="AK20" t="b">
        <v>1</v>
      </c>
      <c r="AN20" t="s">
        <v>1654</v>
      </c>
      <c r="AO20" t="s">
        <v>1646</v>
      </c>
      <c r="AP20" t="s">
        <v>1655</v>
      </c>
      <c r="AQ20" t="s">
        <v>1236</v>
      </c>
      <c r="AR20" t="s">
        <v>1648</v>
      </c>
      <c r="AS20" t="s">
        <v>1210</v>
      </c>
      <c r="AT20" t="s">
        <v>1154</v>
      </c>
      <c r="CR20" t="s">
        <v>1812</v>
      </c>
      <c r="CS20" t="s">
        <v>137</v>
      </c>
      <c r="CT20" t="s">
        <v>1239</v>
      </c>
      <c r="CW20" s="103"/>
      <c r="DJ20" t="s">
        <v>1812</v>
      </c>
      <c r="DK20" t="s">
        <v>137</v>
      </c>
      <c r="DL20" t="s">
        <v>1239</v>
      </c>
      <c r="DM20" t="s">
        <v>1154</v>
      </c>
      <c r="DT20" t="s">
        <v>1435</v>
      </c>
      <c r="DU20">
        <v>0</v>
      </c>
      <c r="DY20" s="103" t="s">
        <v>1907</v>
      </c>
      <c r="DZ20" s="103" t="s">
        <v>1908</v>
      </c>
    </row>
    <row r="21" spans="11:149" x14ac:dyDescent="0.35">
      <c r="K21" t="s">
        <v>1352</v>
      </c>
      <c r="L21" t="s">
        <v>1438</v>
      </c>
      <c r="M21" t="s">
        <v>1416</v>
      </c>
      <c r="U21" s="103"/>
      <c r="V21" t="s">
        <v>1492</v>
      </c>
      <c r="W21">
        <v>50321028</v>
      </c>
      <c r="X21" t="s">
        <v>1493</v>
      </c>
      <c r="Y21" t="b">
        <v>1</v>
      </c>
      <c r="Z21" t="b">
        <v>0</v>
      </c>
      <c r="AA21" t="b">
        <v>0</v>
      </c>
      <c r="AE21" s="103"/>
      <c r="AF21" t="s">
        <v>1492</v>
      </c>
      <c r="AG21">
        <v>50321028</v>
      </c>
      <c r="AH21" t="s">
        <v>1493</v>
      </c>
      <c r="AI21" t="b">
        <v>1</v>
      </c>
      <c r="AJ21" t="b">
        <v>0</v>
      </c>
      <c r="AK21" t="b">
        <v>0</v>
      </c>
      <c r="AN21" t="s">
        <v>1656</v>
      </c>
      <c r="AO21" t="s">
        <v>1646</v>
      </c>
      <c r="AP21" t="s">
        <v>1657</v>
      </c>
      <c r="AQ21" t="s">
        <v>1226</v>
      </c>
      <c r="AR21" t="s">
        <v>1658</v>
      </c>
      <c r="AS21" t="s">
        <v>1223</v>
      </c>
      <c r="AT21" t="s">
        <v>1154</v>
      </c>
      <c r="CR21" t="s">
        <v>1813</v>
      </c>
      <c r="CS21" t="s">
        <v>152</v>
      </c>
      <c r="CT21" t="s">
        <v>23</v>
      </c>
      <c r="CW21" s="103"/>
      <c r="DJ21" t="s">
        <v>1813</v>
      </c>
      <c r="DK21" t="s">
        <v>152</v>
      </c>
      <c r="DL21" t="s">
        <v>23</v>
      </c>
      <c r="DM21" t="s">
        <v>1154</v>
      </c>
      <c r="DT21" t="s">
        <v>1438</v>
      </c>
      <c r="DU21">
        <v>0</v>
      </c>
      <c r="DY21" s="103" t="s">
        <v>1909</v>
      </c>
      <c r="DZ21" s="103" t="s">
        <v>1910</v>
      </c>
    </row>
    <row r="22" spans="11:149" x14ac:dyDescent="0.35">
      <c r="K22" t="s">
        <v>1348</v>
      </c>
      <c r="L22" t="s">
        <v>1439</v>
      </c>
      <c r="M22" t="s">
        <v>1410</v>
      </c>
      <c r="U22" s="103"/>
      <c r="V22" t="s">
        <v>1494</v>
      </c>
      <c r="W22">
        <v>50421029</v>
      </c>
      <c r="X22" t="s">
        <v>1495</v>
      </c>
      <c r="Y22" t="b">
        <v>1</v>
      </c>
      <c r="Z22" t="b">
        <v>0</v>
      </c>
      <c r="AA22" t="b">
        <v>0</v>
      </c>
      <c r="AE22" s="103"/>
      <c r="AF22" t="s">
        <v>1494</v>
      </c>
      <c r="AG22">
        <v>50421029</v>
      </c>
      <c r="AH22" t="s">
        <v>1495</v>
      </c>
      <c r="AI22" t="b">
        <v>1</v>
      </c>
      <c r="AJ22" t="b">
        <v>0</v>
      </c>
      <c r="AK22" t="b">
        <v>0</v>
      </c>
      <c r="AN22" t="s">
        <v>1659</v>
      </c>
      <c r="AO22" t="s">
        <v>1646</v>
      </c>
      <c r="AP22" t="s">
        <v>1660</v>
      </c>
      <c r="AQ22" t="s">
        <v>1232</v>
      </c>
      <c r="AR22" t="s">
        <v>1658</v>
      </c>
      <c r="AS22" t="s">
        <v>1223</v>
      </c>
      <c r="AT22" t="s">
        <v>1154</v>
      </c>
      <c r="CR22" t="s">
        <v>1814</v>
      </c>
      <c r="CS22" t="s">
        <v>166</v>
      </c>
      <c r="CT22" t="s">
        <v>23</v>
      </c>
      <c r="CW22" s="103"/>
      <c r="DJ22" t="s">
        <v>1814</v>
      </c>
      <c r="DK22" t="s">
        <v>166</v>
      </c>
      <c r="DL22" t="s">
        <v>23</v>
      </c>
      <c r="DM22" t="s">
        <v>1154</v>
      </c>
      <c r="DT22" t="s">
        <v>1439</v>
      </c>
      <c r="DU22">
        <v>0</v>
      </c>
      <c r="DY22" s="103" t="s">
        <v>1195</v>
      </c>
      <c r="DZ22" s="103" t="s">
        <v>1401</v>
      </c>
    </row>
    <row r="23" spans="11:149" x14ac:dyDescent="0.35">
      <c r="K23" t="s">
        <v>1349</v>
      </c>
      <c r="L23" t="s">
        <v>1440</v>
      </c>
      <c r="M23" t="s">
        <v>1416</v>
      </c>
      <c r="U23" s="103"/>
      <c r="V23" t="s">
        <v>1496</v>
      </c>
      <c r="W23">
        <v>50421030</v>
      </c>
      <c r="X23" t="s">
        <v>300</v>
      </c>
      <c r="Y23" t="b">
        <v>1</v>
      </c>
      <c r="Z23" t="b">
        <v>0</v>
      </c>
      <c r="AA23" t="b">
        <v>1</v>
      </c>
      <c r="AE23" s="103"/>
      <c r="AF23" t="s">
        <v>1496</v>
      </c>
      <c r="AG23">
        <v>50421030</v>
      </c>
      <c r="AH23" t="s">
        <v>300</v>
      </c>
      <c r="AI23" t="b">
        <v>1</v>
      </c>
      <c r="AJ23" t="b">
        <v>0</v>
      </c>
      <c r="AK23" t="b">
        <v>1</v>
      </c>
      <c r="AN23" t="s">
        <v>1661</v>
      </c>
      <c r="AO23" t="s">
        <v>1646</v>
      </c>
      <c r="AP23" t="s">
        <v>1662</v>
      </c>
      <c r="AQ23" t="s">
        <v>1227</v>
      </c>
      <c r="AR23" t="s">
        <v>1663</v>
      </c>
      <c r="AS23" t="s">
        <v>1211</v>
      </c>
      <c r="AT23" t="s">
        <v>1154</v>
      </c>
      <c r="CR23" t="s">
        <v>1815</v>
      </c>
      <c r="CS23" t="s">
        <v>1165</v>
      </c>
      <c r="CT23" t="s">
        <v>23</v>
      </c>
      <c r="CW23" s="103"/>
      <c r="DJ23" t="s">
        <v>1815</v>
      </c>
      <c r="DK23" t="s">
        <v>1165</v>
      </c>
      <c r="DL23" t="s">
        <v>23</v>
      </c>
      <c r="DM23" t="s">
        <v>1154</v>
      </c>
      <c r="DT23" t="s">
        <v>1440</v>
      </c>
      <c r="DU23">
        <v>0</v>
      </c>
      <c r="DY23" s="103" t="s">
        <v>1911</v>
      </c>
      <c r="DZ23" s="103" t="s">
        <v>1912</v>
      </c>
    </row>
    <row r="24" spans="11:149" x14ac:dyDescent="0.35">
      <c r="K24" t="s">
        <v>1188</v>
      </c>
      <c r="L24" t="s">
        <v>1187</v>
      </c>
      <c r="M24" t="s">
        <v>1441</v>
      </c>
      <c r="U24" s="103"/>
      <c r="V24" t="s">
        <v>1497</v>
      </c>
      <c r="W24">
        <v>50421032</v>
      </c>
      <c r="X24" t="s">
        <v>1498</v>
      </c>
      <c r="Y24" t="b">
        <v>1</v>
      </c>
      <c r="Z24" t="b">
        <v>0</v>
      </c>
      <c r="AA24" t="b">
        <v>0</v>
      </c>
      <c r="AE24" s="103"/>
      <c r="AF24" t="s">
        <v>1497</v>
      </c>
      <c r="AG24">
        <v>50421032</v>
      </c>
      <c r="AH24" t="s">
        <v>1498</v>
      </c>
      <c r="AI24" t="b">
        <v>1</v>
      </c>
      <c r="AJ24" t="b">
        <v>0</v>
      </c>
      <c r="AK24" t="b">
        <v>0</v>
      </c>
      <c r="AN24" t="s">
        <v>1664</v>
      </c>
      <c r="AO24" t="s">
        <v>1646</v>
      </c>
      <c r="AP24" t="s">
        <v>1665</v>
      </c>
      <c r="AQ24" t="s">
        <v>1217</v>
      </c>
      <c r="AR24" t="s">
        <v>1648</v>
      </c>
      <c r="AS24" t="s">
        <v>1210</v>
      </c>
      <c r="AT24" t="s">
        <v>1154</v>
      </c>
      <c r="CR24" t="s">
        <v>1816</v>
      </c>
      <c r="CS24" t="s">
        <v>158</v>
      </c>
      <c r="CT24" t="s">
        <v>23</v>
      </c>
      <c r="CW24" s="103"/>
      <c r="DJ24" t="s">
        <v>1816</v>
      </c>
      <c r="DK24" t="s">
        <v>158</v>
      </c>
      <c r="DL24" t="s">
        <v>23</v>
      </c>
      <c r="DM24" t="s">
        <v>1154</v>
      </c>
      <c r="DT24" t="s">
        <v>1187</v>
      </c>
      <c r="DU24">
        <v>0</v>
      </c>
      <c r="DY24" s="103" t="s">
        <v>1913</v>
      </c>
      <c r="DZ24" s="103" t="s">
        <v>1914</v>
      </c>
    </row>
    <row r="25" spans="11:149" x14ac:dyDescent="0.35">
      <c r="K25" t="s">
        <v>1340</v>
      </c>
      <c r="L25" t="s">
        <v>1442</v>
      </c>
      <c r="M25" t="s">
        <v>1345</v>
      </c>
      <c r="U25" s="103"/>
      <c r="V25" t="s">
        <v>1499</v>
      </c>
      <c r="W25">
        <v>50421033</v>
      </c>
      <c r="X25" t="s">
        <v>1306</v>
      </c>
      <c r="Y25" t="b">
        <v>1</v>
      </c>
      <c r="Z25" t="b">
        <v>0</v>
      </c>
      <c r="AA25" t="b">
        <v>1</v>
      </c>
      <c r="AE25" s="103"/>
      <c r="AF25" t="s">
        <v>1499</v>
      </c>
      <c r="AG25">
        <v>50421033</v>
      </c>
      <c r="AH25" t="s">
        <v>1306</v>
      </c>
      <c r="AI25" t="b">
        <v>1</v>
      </c>
      <c r="AJ25" t="b">
        <v>0</v>
      </c>
      <c r="AK25" t="b">
        <v>1</v>
      </c>
      <c r="AN25" t="s">
        <v>1666</v>
      </c>
      <c r="AO25" t="s">
        <v>1646</v>
      </c>
      <c r="AP25" t="s">
        <v>1667</v>
      </c>
      <c r="AQ25" t="s">
        <v>1221</v>
      </c>
      <c r="AR25" t="s">
        <v>1648</v>
      </c>
      <c r="AS25" t="s">
        <v>1210</v>
      </c>
      <c r="AT25" t="s">
        <v>1154</v>
      </c>
      <c r="CR25" t="s">
        <v>1817</v>
      </c>
      <c r="CS25" t="s">
        <v>1166</v>
      </c>
      <c r="CT25" t="s">
        <v>23</v>
      </c>
      <c r="CW25" s="103"/>
      <c r="DJ25" t="s">
        <v>1817</v>
      </c>
      <c r="DK25" t="s">
        <v>1166</v>
      </c>
      <c r="DL25" t="s">
        <v>23</v>
      </c>
      <c r="DM25" t="s">
        <v>1154</v>
      </c>
      <c r="DT25" t="s">
        <v>1442</v>
      </c>
      <c r="DU25">
        <v>0</v>
      </c>
      <c r="DY25" s="103" t="s">
        <v>1915</v>
      </c>
      <c r="DZ25" s="103" t="s">
        <v>1916</v>
      </c>
    </row>
    <row r="26" spans="11:149" x14ac:dyDescent="0.35">
      <c r="K26" t="s">
        <v>1444</v>
      </c>
      <c r="L26" t="s">
        <v>1443</v>
      </c>
      <c r="M26" t="s">
        <v>1413</v>
      </c>
      <c r="U26" s="103"/>
      <c r="V26" t="s">
        <v>1500</v>
      </c>
      <c r="W26">
        <v>50521035</v>
      </c>
      <c r="X26" t="s">
        <v>1501</v>
      </c>
      <c r="Y26" t="b">
        <v>1</v>
      </c>
      <c r="Z26" t="b">
        <v>0</v>
      </c>
      <c r="AA26" t="b">
        <v>0</v>
      </c>
      <c r="AE26" s="103"/>
      <c r="AF26" t="s">
        <v>1500</v>
      </c>
      <c r="AG26">
        <v>50521035</v>
      </c>
      <c r="AH26" t="s">
        <v>1501</v>
      </c>
      <c r="AI26" t="b">
        <v>1</v>
      </c>
      <c r="AJ26" t="b">
        <v>0</v>
      </c>
      <c r="AK26" t="b">
        <v>0</v>
      </c>
      <c r="AN26" t="s">
        <v>1668</v>
      </c>
      <c r="AO26" t="s">
        <v>1646</v>
      </c>
      <c r="AP26" t="s">
        <v>1669</v>
      </c>
      <c r="AQ26" t="s">
        <v>1232</v>
      </c>
      <c r="AR26" t="s">
        <v>1670</v>
      </c>
      <c r="AT26" t="s">
        <v>1154</v>
      </c>
      <c r="CR26" t="s">
        <v>1818</v>
      </c>
      <c r="CS26" t="s">
        <v>1167</v>
      </c>
      <c r="CT26" t="s">
        <v>23</v>
      </c>
      <c r="CW26" s="103"/>
      <c r="DJ26" t="s">
        <v>1818</v>
      </c>
      <c r="DK26" t="s">
        <v>1167</v>
      </c>
      <c r="DL26" t="s">
        <v>23</v>
      </c>
      <c r="DM26" t="s">
        <v>1154</v>
      </c>
      <c r="DT26" t="s">
        <v>1443</v>
      </c>
      <c r="DU26">
        <v>0</v>
      </c>
      <c r="DY26" s="103" t="s">
        <v>1917</v>
      </c>
      <c r="DZ26" s="103" t="s">
        <v>1918</v>
      </c>
    </row>
    <row r="27" spans="11:149" x14ac:dyDescent="0.35">
      <c r="K27" t="s">
        <v>1446</v>
      </c>
      <c r="L27" t="s">
        <v>1445</v>
      </c>
      <c r="M27" t="s">
        <v>1416</v>
      </c>
      <c r="U27" s="103"/>
      <c r="V27" t="s">
        <v>1502</v>
      </c>
      <c r="W27">
        <v>50521036</v>
      </c>
      <c r="X27" t="s">
        <v>1503</v>
      </c>
      <c r="Y27" t="b">
        <v>1</v>
      </c>
      <c r="Z27" t="b">
        <v>0</v>
      </c>
      <c r="AA27" t="b">
        <v>0</v>
      </c>
      <c r="AE27" s="103"/>
      <c r="AF27" t="s">
        <v>1502</v>
      </c>
      <c r="AG27">
        <v>50521036</v>
      </c>
      <c r="AH27" t="s">
        <v>1503</v>
      </c>
      <c r="AI27" t="b">
        <v>1</v>
      </c>
      <c r="AJ27" t="b">
        <v>0</v>
      </c>
      <c r="AK27" t="b">
        <v>0</v>
      </c>
      <c r="AN27" t="s">
        <v>1671</v>
      </c>
      <c r="AO27" t="s">
        <v>1646</v>
      </c>
      <c r="AP27" t="s">
        <v>1228</v>
      </c>
      <c r="AQ27" t="s">
        <v>1229</v>
      </c>
      <c r="AR27" t="s">
        <v>1672</v>
      </c>
      <c r="AT27" t="s">
        <v>1154</v>
      </c>
      <c r="CR27" t="s">
        <v>1819</v>
      </c>
      <c r="CS27" t="s">
        <v>160</v>
      </c>
      <c r="CT27" t="s">
        <v>23</v>
      </c>
      <c r="CW27" s="103"/>
      <c r="DJ27" t="s">
        <v>1819</v>
      </c>
      <c r="DK27" t="s">
        <v>160</v>
      </c>
      <c r="DL27" t="s">
        <v>23</v>
      </c>
      <c r="DM27" t="s">
        <v>1154</v>
      </c>
      <c r="DT27" t="s">
        <v>1445</v>
      </c>
      <c r="DU27">
        <v>0</v>
      </c>
      <c r="DY27" s="103" t="s">
        <v>1919</v>
      </c>
      <c r="DZ27" s="103" t="s">
        <v>1920</v>
      </c>
    </row>
    <row r="28" spans="11:149" x14ac:dyDescent="0.35">
      <c r="K28" t="s">
        <v>1355</v>
      </c>
      <c r="L28" t="s">
        <v>1447</v>
      </c>
      <c r="M28" t="s">
        <v>1410</v>
      </c>
      <c r="U28" s="103"/>
      <c r="V28" t="s">
        <v>1504</v>
      </c>
      <c r="W28">
        <v>50620004</v>
      </c>
      <c r="X28" t="s">
        <v>1505</v>
      </c>
      <c r="Y28" t="b">
        <v>1</v>
      </c>
      <c r="Z28" t="b">
        <v>0</v>
      </c>
      <c r="AA28" t="b">
        <v>0</v>
      </c>
      <c r="AE28" s="103"/>
      <c r="AF28" t="s">
        <v>1504</v>
      </c>
      <c r="AG28">
        <v>50620004</v>
      </c>
      <c r="AH28" t="s">
        <v>1505</v>
      </c>
      <c r="AI28" t="b">
        <v>1</v>
      </c>
      <c r="AJ28" t="b">
        <v>0</v>
      </c>
      <c r="AK28" t="b">
        <v>0</v>
      </c>
      <c r="AN28" t="s">
        <v>1673</v>
      </c>
      <c r="AO28" t="s">
        <v>1646</v>
      </c>
      <c r="AP28" t="s">
        <v>1220</v>
      </c>
      <c r="AQ28" t="s">
        <v>1221</v>
      </c>
      <c r="AR28" t="s">
        <v>1672</v>
      </c>
      <c r="AT28" t="s">
        <v>1154</v>
      </c>
      <c r="CR28" t="s">
        <v>1820</v>
      </c>
      <c r="CS28" t="s">
        <v>156</v>
      </c>
      <c r="CT28" t="s">
        <v>23</v>
      </c>
      <c r="CW28" s="103"/>
      <c r="DJ28" t="s">
        <v>1820</v>
      </c>
      <c r="DK28" t="s">
        <v>156</v>
      </c>
      <c r="DL28" t="s">
        <v>23</v>
      </c>
      <c r="DM28" t="s">
        <v>1154</v>
      </c>
      <c r="DT28" t="s">
        <v>1447</v>
      </c>
      <c r="DU28">
        <v>0</v>
      </c>
      <c r="DY28" s="103" t="s">
        <v>1921</v>
      </c>
      <c r="DZ28" s="103" t="s">
        <v>1922</v>
      </c>
    </row>
    <row r="29" spans="11:149" x14ac:dyDescent="0.35">
      <c r="K29" t="s">
        <v>1357</v>
      </c>
      <c r="L29" t="s">
        <v>1448</v>
      </c>
      <c r="M29" t="s">
        <v>1416</v>
      </c>
      <c r="U29" s="103"/>
      <c r="V29" t="s">
        <v>1506</v>
      </c>
      <c r="W29">
        <v>50621034</v>
      </c>
      <c r="X29" t="s">
        <v>1507</v>
      </c>
      <c r="Y29" t="b">
        <v>1</v>
      </c>
      <c r="Z29" t="b">
        <v>0</v>
      </c>
      <c r="AA29" t="b">
        <v>1</v>
      </c>
      <c r="AE29" s="103"/>
      <c r="AF29" t="s">
        <v>1506</v>
      </c>
      <c r="AG29">
        <v>50621034</v>
      </c>
      <c r="AH29" t="s">
        <v>1507</v>
      </c>
      <c r="AI29" t="b">
        <v>1</v>
      </c>
      <c r="AJ29" t="b">
        <v>0</v>
      </c>
      <c r="AK29" t="b">
        <v>1</v>
      </c>
      <c r="AN29" t="s">
        <v>1674</v>
      </c>
      <c r="AO29" t="s">
        <v>1646</v>
      </c>
      <c r="AP29" t="s">
        <v>1218</v>
      </c>
      <c r="AQ29" t="s">
        <v>1219</v>
      </c>
      <c r="AR29" t="s">
        <v>1672</v>
      </c>
      <c r="AT29" t="s">
        <v>1154</v>
      </c>
      <c r="CR29" t="s">
        <v>1821</v>
      </c>
      <c r="CS29" t="s">
        <v>157</v>
      </c>
      <c r="CT29" t="s">
        <v>23</v>
      </c>
      <c r="CW29" s="103"/>
      <c r="DJ29" t="s">
        <v>1821</v>
      </c>
      <c r="DK29" t="s">
        <v>157</v>
      </c>
      <c r="DL29" t="s">
        <v>23</v>
      </c>
      <c r="DM29" t="s">
        <v>1154</v>
      </c>
      <c r="DT29" t="s">
        <v>1448</v>
      </c>
      <c r="DU29">
        <v>0</v>
      </c>
      <c r="DY29" s="103" t="s">
        <v>1923</v>
      </c>
      <c r="DZ29" s="103" t="s">
        <v>1924</v>
      </c>
    </row>
    <row r="30" spans="11:149" x14ac:dyDescent="0.35">
      <c r="K30" t="s">
        <v>1450</v>
      </c>
      <c r="L30" t="s">
        <v>1449</v>
      </c>
      <c r="M30" t="s">
        <v>1416</v>
      </c>
      <c r="U30" s="103"/>
      <c r="V30" s="152" t="s">
        <v>1508</v>
      </c>
      <c r="W30">
        <v>50621037</v>
      </c>
      <c r="X30" t="s">
        <v>1155</v>
      </c>
      <c r="Y30" t="b">
        <v>1</v>
      </c>
      <c r="Z30" t="b">
        <v>0</v>
      </c>
      <c r="AA30" t="b">
        <v>1</v>
      </c>
      <c r="AE30" s="103"/>
      <c r="AF30" s="152" t="s">
        <v>1508</v>
      </c>
      <c r="AG30">
        <v>50621037</v>
      </c>
      <c r="AH30" t="s">
        <v>1155</v>
      </c>
      <c r="AI30" t="b">
        <v>1</v>
      </c>
      <c r="AJ30" t="b">
        <v>0</v>
      </c>
      <c r="AK30" t="b">
        <v>1</v>
      </c>
      <c r="AN30" t="s">
        <v>1675</v>
      </c>
      <c r="AO30" t="s">
        <v>1646</v>
      </c>
      <c r="AP30" t="s">
        <v>1676</v>
      </c>
      <c r="AQ30" t="s">
        <v>1677</v>
      </c>
      <c r="AR30" t="s">
        <v>1670</v>
      </c>
      <c r="AT30" t="s">
        <v>1154</v>
      </c>
      <c r="CR30" t="s">
        <v>1822</v>
      </c>
      <c r="CS30" t="s">
        <v>1168</v>
      </c>
      <c r="CT30" t="s">
        <v>23</v>
      </c>
      <c r="CW30" s="103"/>
      <c r="DJ30" t="s">
        <v>1822</v>
      </c>
      <c r="DK30" t="s">
        <v>1168</v>
      </c>
      <c r="DL30" t="s">
        <v>23</v>
      </c>
      <c r="DM30" t="s">
        <v>1154</v>
      </c>
      <c r="DT30" t="s">
        <v>1449</v>
      </c>
      <c r="DU30">
        <v>0</v>
      </c>
      <c r="DY30" s="103" t="s">
        <v>1925</v>
      </c>
      <c r="DZ30" s="103" t="s">
        <v>1926</v>
      </c>
    </row>
    <row r="31" spans="11:149" x14ac:dyDescent="0.35">
      <c r="K31" t="s">
        <v>1362</v>
      </c>
      <c r="L31" t="s">
        <v>1451</v>
      </c>
      <c r="M31" t="s">
        <v>1345</v>
      </c>
      <c r="U31" s="103"/>
      <c r="V31" t="s">
        <v>1509</v>
      </c>
      <c r="W31">
        <v>50621038</v>
      </c>
      <c r="X31" t="s">
        <v>1510</v>
      </c>
      <c r="Y31" t="b">
        <v>1</v>
      </c>
      <c r="Z31" t="b">
        <v>0</v>
      </c>
      <c r="AA31" t="b">
        <v>0</v>
      </c>
      <c r="AE31" s="103"/>
      <c r="AF31" t="s">
        <v>1509</v>
      </c>
      <c r="AG31">
        <v>50621038</v>
      </c>
      <c r="AH31" t="s">
        <v>1510</v>
      </c>
      <c r="AI31" t="b">
        <v>1</v>
      </c>
      <c r="AJ31" t="b">
        <v>0</v>
      </c>
      <c r="AK31" t="b">
        <v>0</v>
      </c>
      <c r="AN31" t="s">
        <v>1678</v>
      </c>
      <c r="AO31" t="s">
        <v>1646</v>
      </c>
      <c r="AP31" t="s">
        <v>1679</v>
      </c>
      <c r="AQ31" t="s">
        <v>1680</v>
      </c>
      <c r="AR31" t="s">
        <v>1672</v>
      </c>
      <c r="AT31" t="s">
        <v>1154</v>
      </c>
      <c r="CR31" t="s">
        <v>1823</v>
      </c>
      <c r="CS31" t="s">
        <v>1169</v>
      </c>
      <c r="CT31" t="s">
        <v>23</v>
      </c>
      <c r="CW31" s="103"/>
      <c r="DJ31" t="s">
        <v>1823</v>
      </c>
      <c r="DK31" t="s">
        <v>1169</v>
      </c>
      <c r="DL31" t="s">
        <v>23</v>
      </c>
      <c r="DM31" t="s">
        <v>1154</v>
      </c>
      <c r="DT31" t="s">
        <v>1451</v>
      </c>
      <c r="DU31">
        <v>0</v>
      </c>
    </row>
    <row r="32" spans="11:149" x14ac:dyDescent="0.35">
      <c r="K32" t="s">
        <v>1206</v>
      </c>
      <c r="L32" t="s">
        <v>1452</v>
      </c>
      <c r="M32" t="s">
        <v>1410</v>
      </c>
      <c r="U32" s="103"/>
      <c r="V32" t="s">
        <v>1511</v>
      </c>
      <c r="W32">
        <v>50621039</v>
      </c>
      <c r="X32" t="s">
        <v>1512</v>
      </c>
      <c r="Y32" t="b">
        <v>1</v>
      </c>
      <c r="Z32" t="b">
        <v>1</v>
      </c>
      <c r="AA32" t="b">
        <v>0</v>
      </c>
      <c r="AE32" s="103"/>
      <c r="AF32" t="s">
        <v>1511</v>
      </c>
      <c r="AG32">
        <v>50621039</v>
      </c>
      <c r="AH32" t="s">
        <v>1512</v>
      </c>
      <c r="AI32" t="b">
        <v>1</v>
      </c>
      <c r="AJ32" t="b">
        <v>1</v>
      </c>
      <c r="AK32" t="b">
        <v>0</v>
      </c>
      <c r="AN32" t="s">
        <v>1681</v>
      </c>
      <c r="AO32" t="s">
        <v>1646</v>
      </c>
      <c r="AP32" t="s">
        <v>1225</v>
      </c>
      <c r="AQ32" t="s">
        <v>1226</v>
      </c>
      <c r="AR32" t="s">
        <v>1670</v>
      </c>
      <c r="AT32" t="s">
        <v>1154</v>
      </c>
      <c r="CR32" t="s">
        <v>1824</v>
      </c>
      <c r="CS32" t="s">
        <v>969</v>
      </c>
      <c r="CT32" t="s">
        <v>23</v>
      </c>
      <c r="CW32" s="103"/>
      <c r="DJ32" t="s">
        <v>1824</v>
      </c>
      <c r="DK32" t="s">
        <v>969</v>
      </c>
      <c r="DL32" t="s">
        <v>23</v>
      </c>
      <c r="DM32" t="s">
        <v>1154</v>
      </c>
      <c r="DT32" t="s">
        <v>1452</v>
      </c>
      <c r="DU32">
        <v>0</v>
      </c>
    </row>
    <row r="33" spans="11:125" x14ac:dyDescent="0.35">
      <c r="K33" t="s">
        <v>1350</v>
      </c>
      <c r="L33" t="s">
        <v>1453</v>
      </c>
      <c r="M33" t="s">
        <v>1345</v>
      </c>
      <c r="U33" s="103"/>
      <c r="V33" t="s">
        <v>1513</v>
      </c>
      <c r="W33">
        <v>50621040</v>
      </c>
      <c r="X33" t="s">
        <v>959</v>
      </c>
      <c r="Y33" t="b">
        <v>1</v>
      </c>
      <c r="Z33" t="b">
        <v>1</v>
      </c>
      <c r="AA33" t="b">
        <v>0</v>
      </c>
      <c r="AE33" s="103"/>
      <c r="AF33" t="s">
        <v>1513</v>
      </c>
      <c r="AG33">
        <v>50621040</v>
      </c>
      <c r="AH33" t="s">
        <v>959</v>
      </c>
      <c r="AI33" t="b">
        <v>1</v>
      </c>
      <c r="AJ33" t="b">
        <v>1</v>
      </c>
      <c r="AK33" t="b">
        <v>0</v>
      </c>
      <c r="AN33" t="s">
        <v>1682</v>
      </c>
      <c r="AO33" t="s">
        <v>1646</v>
      </c>
      <c r="AP33" t="s">
        <v>1227</v>
      </c>
      <c r="AQ33" t="s">
        <v>1227</v>
      </c>
      <c r="AR33" t="s">
        <v>1683</v>
      </c>
      <c r="AT33" t="s">
        <v>1154</v>
      </c>
      <c r="CR33" t="s">
        <v>1825</v>
      </c>
      <c r="CS33" t="s">
        <v>164</v>
      </c>
      <c r="CT33" t="s">
        <v>23</v>
      </c>
      <c r="CW33" s="103"/>
      <c r="DJ33" t="s">
        <v>1825</v>
      </c>
      <c r="DK33" t="s">
        <v>164</v>
      </c>
      <c r="DL33" t="s">
        <v>23</v>
      </c>
      <c r="DM33" t="s">
        <v>1154</v>
      </c>
      <c r="DT33" t="s">
        <v>1453</v>
      </c>
      <c r="DU33">
        <v>0</v>
      </c>
    </row>
    <row r="34" spans="11:125" x14ac:dyDescent="0.35">
      <c r="K34" t="s">
        <v>1455</v>
      </c>
      <c r="L34" t="s">
        <v>1454</v>
      </c>
      <c r="M34" t="s">
        <v>1337</v>
      </c>
      <c r="U34" s="103"/>
      <c r="V34" t="s">
        <v>1514</v>
      </c>
      <c r="W34">
        <v>50621041</v>
      </c>
      <c r="X34" t="s">
        <v>961</v>
      </c>
      <c r="Y34" t="b">
        <v>1</v>
      </c>
      <c r="Z34" t="b">
        <v>1</v>
      </c>
      <c r="AA34" t="b">
        <v>0</v>
      </c>
      <c r="AE34" s="103"/>
      <c r="AF34" t="s">
        <v>1514</v>
      </c>
      <c r="AG34">
        <v>50621041</v>
      </c>
      <c r="AH34" t="s">
        <v>961</v>
      </c>
      <c r="AI34" t="b">
        <v>1</v>
      </c>
      <c r="AJ34" t="b">
        <v>1</v>
      </c>
      <c r="AK34" t="b">
        <v>0</v>
      </c>
      <c r="AN34" t="s">
        <v>1663</v>
      </c>
      <c r="AO34" t="s">
        <v>1646</v>
      </c>
      <c r="AP34" t="s">
        <v>1224</v>
      </c>
      <c r="AQ34" t="s">
        <v>1211</v>
      </c>
      <c r="AR34" t="s">
        <v>1684</v>
      </c>
      <c r="AS34" t="s">
        <v>1216</v>
      </c>
      <c r="AT34" t="s">
        <v>1154</v>
      </c>
      <c r="CR34" t="s">
        <v>1826</v>
      </c>
      <c r="CS34" t="s">
        <v>167</v>
      </c>
      <c r="CT34" t="s">
        <v>23</v>
      </c>
      <c r="CW34" s="103"/>
      <c r="DJ34" t="s">
        <v>1826</v>
      </c>
      <c r="DK34" t="s">
        <v>167</v>
      </c>
      <c r="DL34" t="s">
        <v>23</v>
      </c>
      <c r="DM34" t="s">
        <v>1154</v>
      </c>
      <c r="DT34" t="s">
        <v>1454</v>
      </c>
      <c r="DU34">
        <v>0</v>
      </c>
    </row>
    <row r="35" spans="11:125" x14ac:dyDescent="0.35">
      <c r="K35" t="s">
        <v>1338</v>
      </c>
      <c r="L35" t="s">
        <v>1456</v>
      </c>
      <c r="M35" t="s">
        <v>1416</v>
      </c>
      <c r="U35" s="103"/>
      <c r="V35" t="s">
        <v>1515</v>
      </c>
      <c r="W35">
        <v>50621042</v>
      </c>
      <c r="X35" t="s">
        <v>906</v>
      </c>
      <c r="Y35" t="b">
        <v>1</v>
      </c>
      <c r="Z35" t="b">
        <v>1</v>
      </c>
      <c r="AA35" t="b">
        <v>0</v>
      </c>
      <c r="AE35" s="103"/>
      <c r="AF35" t="s">
        <v>1515</v>
      </c>
      <c r="AG35">
        <v>50621042</v>
      </c>
      <c r="AH35" t="s">
        <v>906</v>
      </c>
      <c r="AI35" t="b">
        <v>1</v>
      </c>
      <c r="AJ35" t="b">
        <v>1</v>
      </c>
      <c r="AK35" t="b">
        <v>0</v>
      </c>
      <c r="AN35" s="152" t="s">
        <v>1685</v>
      </c>
      <c r="AO35" t="s">
        <v>1646</v>
      </c>
      <c r="AP35" t="s">
        <v>1236</v>
      </c>
      <c r="AQ35" t="s">
        <v>1236</v>
      </c>
      <c r="AR35" t="s">
        <v>1672</v>
      </c>
      <c r="AT35" t="s">
        <v>1154</v>
      </c>
      <c r="CR35" t="s">
        <v>1827</v>
      </c>
      <c r="CS35" t="s">
        <v>1170</v>
      </c>
      <c r="CT35" t="s">
        <v>23</v>
      </c>
      <c r="CW35" s="103"/>
      <c r="DJ35" t="s">
        <v>1827</v>
      </c>
      <c r="DK35" t="s">
        <v>1170</v>
      </c>
      <c r="DL35" t="s">
        <v>23</v>
      </c>
      <c r="DM35" t="s">
        <v>1154</v>
      </c>
      <c r="DT35" t="s">
        <v>1456</v>
      </c>
      <c r="DU35">
        <v>0</v>
      </c>
    </row>
    <row r="36" spans="11:125" x14ac:dyDescent="0.35">
      <c r="K36" t="s">
        <v>1344</v>
      </c>
      <c r="L36" t="s">
        <v>1457</v>
      </c>
      <c r="M36" t="s">
        <v>1416</v>
      </c>
      <c r="U36" s="103"/>
      <c r="V36" t="s">
        <v>1516</v>
      </c>
      <c r="W36">
        <v>50621043</v>
      </c>
      <c r="X36" t="s">
        <v>1517</v>
      </c>
      <c r="Y36" t="b">
        <v>1</v>
      </c>
      <c r="Z36" t="b">
        <v>0</v>
      </c>
      <c r="AA36" t="b">
        <v>0</v>
      </c>
      <c r="AE36" s="103"/>
      <c r="AF36" t="s">
        <v>1516</v>
      </c>
      <c r="AG36">
        <v>50621043</v>
      </c>
      <c r="AH36" t="s">
        <v>1517</v>
      </c>
      <c r="AI36" t="b">
        <v>1</v>
      </c>
      <c r="AJ36" t="b">
        <v>0</v>
      </c>
      <c r="AK36" t="b">
        <v>0</v>
      </c>
      <c r="AN36" t="s">
        <v>1686</v>
      </c>
      <c r="AO36" t="s">
        <v>1646</v>
      </c>
      <c r="AP36" t="s">
        <v>1687</v>
      </c>
      <c r="AQ36" t="s">
        <v>1217</v>
      </c>
      <c r="AR36" t="s">
        <v>1672</v>
      </c>
      <c r="AT36" t="s">
        <v>1154</v>
      </c>
      <c r="CR36" t="s">
        <v>1828</v>
      </c>
      <c r="CS36" t="s">
        <v>165</v>
      </c>
      <c r="CT36" t="s">
        <v>23</v>
      </c>
      <c r="CW36" s="103"/>
      <c r="DJ36" t="s">
        <v>1828</v>
      </c>
      <c r="DK36" t="s">
        <v>165</v>
      </c>
      <c r="DL36" t="s">
        <v>23</v>
      </c>
      <c r="DM36" t="s">
        <v>1154</v>
      </c>
      <c r="DT36" t="s">
        <v>1457</v>
      </c>
      <c r="DU36">
        <v>0</v>
      </c>
    </row>
    <row r="37" spans="11:125" x14ac:dyDescent="0.35">
      <c r="K37" t="s">
        <v>1347</v>
      </c>
      <c r="L37" t="s">
        <v>1458</v>
      </c>
      <c r="M37" t="s">
        <v>1416</v>
      </c>
      <c r="U37" s="103"/>
      <c r="V37" t="s">
        <v>1518</v>
      </c>
      <c r="W37">
        <v>50621044</v>
      </c>
      <c r="X37" t="s">
        <v>1519</v>
      </c>
      <c r="Y37" t="b">
        <v>1</v>
      </c>
      <c r="Z37" t="b">
        <v>0</v>
      </c>
      <c r="AA37" t="b">
        <v>0</v>
      </c>
      <c r="AE37" s="103"/>
      <c r="AF37" t="s">
        <v>1518</v>
      </c>
      <c r="AG37">
        <v>50621044</v>
      </c>
      <c r="AH37" t="s">
        <v>1519</v>
      </c>
      <c r="AI37" t="b">
        <v>1</v>
      </c>
      <c r="AJ37" t="b">
        <v>0</v>
      </c>
      <c r="AK37" t="b">
        <v>0</v>
      </c>
      <c r="AN37" t="s">
        <v>1688</v>
      </c>
      <c r="AO37" t="s">
        <v>1646</v>
      </c>
      <c r="AP37" t="s">
        <v>1689</v>
      </c>
      <c r="AQ37" t="s">
        <v>1690</v>
      </c>
      <c r="AR37" t="s">
        <v>1670</v>
      </c>
      <c r="AT37" t="s">
        <v>1154</v>
      </c>
      <c r="CR37" t="s">
        <v>1829</v>
      </c>
      <c r="CS37" t="s">
        <v>159</v>
      </c>
      <c r="CT37" t="s">
        <v>23</v>
      </c>
      <c r="CW37" s="103"/>
      <c r="DJ37" t="s">
        <v>1829</v>
      </c>
      <c r="DK37" t="s">
        <v>159</v>
      </c>
      <c r="DL37" t="s">
        <v>23</v>
      </c>
      <c r="DM37" t="s">
        <v>1154</v>
      </c>
      <c r="DT37" t="s">
        <v>1458</v>
      </c>
      <c r="DU37">
        <v>0</v>
      </c>
    </row>
    <row r="38" spans="11:125" x14ac:dyDescent="0.35">
      <c r="K38" t="s">
        <v>1354</v>
      </c>
      <c r="L38" t="s">
        <v>1459</v>
      </c>
      <c r="M38" t="s">
        <v>1460</v>
      </c>
      <c r="U38" s="103"/>
      <c r="V38" t="s">
        <v>1520</v>
      </c>
      <c r="W38">
        <v>50621045</v>
      </c>
      <c r="X38" t="s">
        <v>909</v>
      </c>
      <c r="Y38" t="b">
        <v>1</v>
      </c>
      <c r="Z38" t="b">
        <v>1</v>
      </c>
      <c r="AA38" t="b">
        <v>0</v>
      </c>
      <c r="AE38" s="103"/>
      <c r="AF38" t="s">
        <v>1520</v>
      </c>
      <c r="AG38">
        <v>50621045</v>
      </c>
      <c r="AH38" t="s">
        <v>909</v>
      </c>
      <c r="AI38" t="b">
        <v>1</v>
      </c>
      <c r="AJ38" t="b">
        <v>1</v>
      </c>
      <c r="AK38" t="b">
        <v>0</v>
      </c>
      <c r="AN38" t="s">
        <v>1691</v>
      </c>
      <c r="AO38" t="s">
        <v>1646</v>
      </c>
      <c r="AP38" t="s">
        <v>1692</v>
      </c>
      <c r="AQ38" t="s">
        <v>1693</v>
      </c>
      <c r="AR38" t="s">
        <v>1694</v>
      </c>
      <c r="AT38" t="s">
        <v>1154</v>
      </c>
      <c r="CR38" t="s">
        <v>1830</v>
      </c>
      <c r="CS38" t="s">
        <v>161</v>
      </c>
      <c r="CT38" t="s">
        <v>23</v>
      </c>
      <c r="CW38" s="103"/>
      <c r="DJ38" t="s">
        <v>1830</v>
      </c>
      <c r="DK38" t="s">
        <v>161</v>
      </c>
      <c r="DL38" t="s">
        <v>23</v>
      </c>
      <c r="DM38" t="s">
        <v>1154</v>
      </c>
      <c r="DT38" t="s">
        <v>1459</v>
      </c>
      <c r="DU38">
        <v>0</v>
      </c>
    </row>
    <row r="39" spans="11:125" x14ac:dyDescent="0.35">
      <c r="K39" t="s">
        <v>1462</v>
      </c>
      <c r="L39" t="s">
        <v>1461</v>
      </c>
      <c r="M39" t="s">
        <v>2046</v>
      </c>
      <c r="U39" s="103"/>
      <c r="V39" t="s">
        <v>1521</v>
      </c>
      <c r="W39">
        <v>50621046</v>
      </c>
      <c r="X39" t="s">
        <v>1522</v>
      </c>
      <c r="Y39" t="b">
        <v>1</v>
      </c>
      <c r="Z39" t="b">
        <v>0</v>
      </c>
      <c r="AA39" t="b">
        <v>0</v>
      </c>
      <c r="AE39" s="103"/>
      <c r="AF39" t="s">
        <v>1521</v>
      </c>
      <c r="AG39">
        <v>50621046</v>
      </c>
      <c r="AH39" t="s">
        <v>1522</v>
      </c>
      <c r="AI39" t="b">
        <v>1</v>
      </c>
      <c r="AJ39" t="b">
        <v>0</v>
      </c>
      <c r="AK39" t="b">
        <v>0</v>
      </c>
      <c r="CR39" t="s">
        <v>1831</v>
      </c>
      <c r="CS39" t="s">
        <v>162</v>
      </c>
      <c r="CT39" t="s">
        <v>23</v>
      </c>
      <c r="CW39" s="103"/>
      <c r="DJ39" t="s">
        <v>1831</v>
      </c>
      <c r="DK39" t="s">
        <v>162</v>
      </c>
      <c r="DL39" t="s">
        <v>23</v>
      </c>
      <c r="DM39" t="s">
        <v>1154</v>
      </c>
      <c r="DT39" t="s">
        <v>1461</v>
      </c>
      <c r="DU39">
        <v>0</v>
      </c>
    </row>
    <row r="40" spans="11:125" x14ac:dyDescent="0.35">
      <c r="K40" t="s">
        <v>1351</v>
      </c>
      <c r="L40" t="s">
        <v>1463</v>
      </c>
      <c r="M40" t="s">
        <v>1416</v>
      </c>
      <c r="U40" s="103"/>
      <c r="V40" t="s">
        <v>1523</v>
      </c>
      <c r="W40">
        <v>50621047</v>
      </c>
      <c r="X40" t="s">
        <v>1524</v>
      </c>
      <c r="Y40" t="b">
        <v>1</v>
      </c>
      <c r="Z40" t="b">
        <v>0</v>
      </c>
      <c r="AA40" t="b">
        <v>0</v>
      </c>
      <c r="AE40" s="103"/>
      <c r="AF40" t="s">
        <v>1523</v>
      </c>
      <c r="AG40">
        <v>50621047</v>
      </c>
      <c r="AH40" t="s">
        <v>1524</v>
      </c>
      <c r="AI40" t="b">
        <v>1</v>
      </c>
      <c r="AJ40" t="b">
        <v>0</v>
      </c>
      <c r="AK40" t="b">
        <v>0</v>
      </c>
      <c r="CR40" t="s">
        <v>1832</v>
      </c>
      <c r="CS40" t="s">
        <v>163</v>
      </c>
      <c r="CT40" t="s">
        <v>23</v>
      </c>
      <c r="CW40" s="103"/>
      <c r="DJ40" t="s">
        <v>1832</v>
      </c>
      <c r="DK40" t="s">
        <v>163</v>
      </c>
      <c r="DL40" t="s">
        <v>23</v>
      </c>
      <c r="DM40" t="s">
        <v>1154</v>
      </c>
      <c r="DT40" t="s">
        <v>1463</v>
      </c>
      <c r="DU40">
        <v>0</v>
      </c>
    </row>
    <row r="41" spans="11:125" x14ac:dyDescent="0.35">
      <c r="K41" t="s">
        <v>1342</v>
      </c>
      <c r="L41" t="s">
        <v>1422</v>
      </c>
      <c r="M41" t="s">
        <v>2144</v>
      </c>
      <c r="U41" s="103"/>
      <c r="V41" t="s">
        <v>1525</v>
      </c>
      <c r="W41">
        <v>50621048</v>
      </c>
      <c r="X41" t="s">
        <v>963</v>
      </c>
      <c r="Y41" t="b">
        <v>1</v>
      </c>
      <c r="Z41" t="b">
        <v>1</v>
      </c>
      <c r="AA41" t="b">
        <v>0</v>
      </c>
      <c r="AE41" s="103"/>
      <c r="AF41" t="s">
        <v>1525</v>
      </c>
      <c r="AG41">
        <v>50621048</v>
      </c>
      <c r="AH41" t="s">
        <v>963</v>
      </c>
      <c r="AI41" t="b">
        <v>1</v>
      </c>
      <c r="AJ41" t="b">
        <v>1</v>
      </c>
      <c r="AK41" t="b">
        <v>0</v>
      </c>
      <c r="CR41" t="s">
        <v>1833</v>
      </c>
      <c r="CS41" t="s">
        <v>966</v>
      </c>
      <c r="CT41" t="s">
        <v>23</v>
      </c>
      <c r="CW41" s="103"/>
      <c r="DJ41" t="s">
        <v>1833</v>
      </c>
      <c r="DK41" t="s">
        <v>966</v>
      </c>
      <c r="DL41" t="s">
        <v>23</v>
      </c>
      <c r="DM41" t="s">
        <v>1154</v>
      </c>
      <c r="DT41" t="s">
        <v>1422</v>
      </c>
      <c r="DU41">
        <v>0</v>
      </c>
    </row>
    <row r="42" spans="11:125" x14ac:dyDescent="0.35">
      <c r="K42" t="s">
        <v>1428</v>
      </c>
      <c r="L42" t="s">
        <v>1427</v>
      </c>
      <c r="M42" t="s">
        <v>2145</v>
      </c>
      <c r="U42" s="103"/>
      <c r="V42" t="s">
        <v>1526</v>
      </c>
      <c r="W42">
        <v>50621049</v>
      </c>
      <c r="X42" t="s">
        <v>1527</v>
      </c>
      <c r="Y42" t="b">
        <v>1</v>
      </c>
      <c r="Z42" t="b">
        <v>1</v>
      </c>
      <c r="AA42" t="b">
        <v>0</v>
      </c>
      <c r="AE42" s="103"/>
      <c r="AF42" t="s">
        <v>1526</v>
      </c>
      <c r="AG42">
        <v>50621049</v>
      </c>
      <c r="AH42" t="s">
        <v>1527</v>
      </c>
      <c r="AI42" t="b">
        <v>1</v>
      </c>
      <c r="AJ42" t="b">
        <v>1</v>
      </c>
      <c r="AK42" t="b">
        <v>0</v>
      </c>
      <c r="CR42" t="s">
        <v>1834</v>
      </c>
      <c r="CS42" t="s">
        <v>154</v>
      </c>
      <c r="CT42" t="s">
        <v>23</v>
      </c>
      <c r="CW42" s="103"/>
      <c r="DJ42" t="s">
        <v>1834</v>
      </c>
      <c r="DK42" t="s">
        <v>154</v>
      </c>
      <c r="DL42" t="s">
        <v>23</v>
      </c>
      <c r="DM42" t="s">
        <v>1154</v>
      </c>
      <c r="DT42" t="s">
        <v>1427</v>
      </c>
      <c r="DU42">
        <v>30</v>
      </c>
    </row>
    <row r="43" spans="11:125" x14ac:dyDescent="0.35">
      <c r="K43" t="s">
        <v>1354</v>
      </c>
      <c r="L43" t="s">
        <v>1459</v>
      </c>
      <c r="M43" t="s">
        <v>2146</v>
      </c>
      <c r="U43" s="103"/>
      <c r="V43" t="s">
        <v>1528</v>
      </c>
      <c r="W43">
        <v>50621050</v>
      </c>
      <c r="X43" t="s">
        <v>1529</v>
      </c>
      <c r="Y43" t="b">
        <v>1</v>
      </c>
      <c r="Z43" t="b">
        <v>0</v>
      </c>
      <c r="AA43" t="b">
        <v>0</v>
      </c>
      <c r="AE43" s="103"/>
      <c r="AF43" t="s">
        <v>1528</v>
      </c>
      <c r="AG43">
        <v>50621050</v>
      </c>
      <c r="AH43" t="s">
        <v>1529</v>
      </c>
      <c r="AI43" t="b">
        <v>1</v>
      </c>
      <c r="AJ43" t="b">
        <v>0</v>
      </c>
      <c r="AK43" t="b">
        <v>0</v>
      </c>
      <c r="CR43" t="s">
        <v>1835</v>
      </c>
      <c r="CS43" t="s">
        <v>155</v>
      </c>
      <c r="CT43" t="s">
        <v>23</v>
      </c>
      <c r="CW43" s="103"/>
      <c r="DJ43" t="s">
        <v>1835</v>
      </c>
      <c r="DK43" t="s">
        <v>155</v>
      </c>
      <c r="DL43" t="s">
        <v>23</v>
      </c>
      <c r="DM43" t="s">
        <v>1154</v>
      </c>
      <c r="DT43" t="s">
        <v>1459</v>
      </c>
      <c r="DU43">
        <v>0</v>
      </c>
    </row>
    <row r="44" spans="11:125" x14ac:dyDescent="0.35">
      <c r="U44" s="103"/>
      <c r="V44" t="s">
        <v>1530</v>
      </c>
      <c r="W44">
        <v>50621051</v>
      </c>
      <c r="X44" t="s">
        <v>1531</v>
      </c>
      <c r="Y44" t="b">
        <v>1</v>
      </c>
      <c r="Z44" t="b">
        <v>0</v>
      </c>
      <c r="AA44" t="b">
        <v>0</v>
      </c>
      <c r="AE44" s="103"/>
      <c r="AF44" t="s">
        <v>1530</v>
      </c>
      <c r="AG44">
        <v>50621051</v>
      </c>
      <c r="AH44" t="s">
        <v>1531</v>
      </c>
      <c r="AI44" t="b">
        <v>1</v>
      </c>
      <c r="AJ44" t="b">
        <v>0</v>
      </c>
      <c r="AK44" t="b">
        <v>0</v>
      </c>
      <c r="CR44" t="s">
        <v>1836</v>
      </c>
      <c r="CS44" t="s">
        <v>967</v>
      </c>
      <c r="CT44" t="s">
        <v>23</v>
      </c>
      <c r="CW44" s="103"/>
      <c r="DJ44" t="s">
        <v>1836</v>
      </c>
      <c r="DK44" t="s">
        <v>967</v>
      </c>
      <c r="DL44" t="s">
        <v>23</v>
      </c>
      <c r="DM44" t="s">
        <v>1154</v>
      </c>
    </row>
    <row r="45" spans="11:125" x14ac:dyDescent="0.35">
      <c r="U45" s="103"/>
      <c r="V45" t="s">
        <v>1532</v>
      </c>
      <c r="W45">
        <v>50720005</v>
      </c>
      <c r="X45" t="s">
        <v>1533</v>
      </c>
      <c r="Y45" t="b">
        <v>1</v>
      </c>
      <c r="Z45" t="b">
        <v>0</v>
      </c>
      <c r="AA45" t="b">
        <v>0</v>
      </c>
      <c r="AE45" s="103"/>
      <c r="AF45" t="s">
        <v>1532</v>
      </c>
      <c r="AG45">
        <v>50720005</v>
      </c>
      <c r="AH45" t="s">
        <v>1533</v>
      </c>
      <c r="AI45" t="b">
        <v>1</v>
      </c>
      <c r="AJ45" t="b">
        <v>0</v>
      </c>
      <c r="AK45" t="b">
        <v>0</v>
      </c>
      <c r="CR45" t="s">
        <v>1837</v>
      </c>
      <c r="CS45" t="s">
        <v>968</v>
      </c>
      <c r="CT45" t="s">
        <v>23</v>
      </c>
      <c r="CW45" s="103"/>
      <c r="DJ45" t="s">
        <v>1837</v>
      </c>
      <c r="DK45" t="s">
        <v>968</v>
      </c>
      <c r="DL45" t="s">
        <v>23</v>
      </c>
      <c r="DM45" t="s">
        <v>1154</v>
      </c>
    </row>
    <row r="46" spans="11:125" x14ac:dyDescent="0.35">
      <c r="U46" s="103"/>
      <c r="V46" t="s">
        <v>1534</v>
      </c>
      <c r="W46">
        <v>50721052</v>
      </c>
      <c r="X46" t="s">
        <v>1535</v>
      </c>
      <c r="Y46" t="b">
        <v>1</v>
      </c>
      <c r="Z46" t="b">
        <v>0</v>
      </c>
      <c r="AA46" t="b">
        <v>0</v>
      </c>
      <c r="AE46" s="103"/>
      <c r="AF46" t="s">
        <v>1534</v>
      </c>
      <c r="AG46">
        <v>50721052</v>
      </c>
      <c r="AH46" t="s">
        <v>1535</v>
      </c>
      <c r="AI46" t="b">
        <v>1</v>
      </c>
      <c r="AJ46" t="b">
        <v>0</v>
      </c>
      <c r="AK46" t="b">
        <v>0</v>
      </c>
      <c r="CR46" t="s">
        <v>1838</v>
      </c>
      <c r="CS46" t="s">
        <v>1175</v>
      </c>
      <c r="CT46" t="s">
        <v>23</v>
      </c>
      <c r="CW46" s="103"/>
      <c r="DJ46" t="s">
        <v>1838</v>
      </c>
      <c r="DK46" t="s">
        <v>1175</v>
      </c>
      <c r="DL46" t="s">
        <v>23</v>
      </c>
      <c r="DM46" t="s">
        <v>1154</v>
      </c>
    </row>
    <row r="47" spans="11:125" x14ac:dyDescent="0.35">
      <c r="U47" s="103"/>
      <c r="V47" t="s">
        <v>1536</v>
      </c>
      <c r="W47">
        <v>50721053</v>
      </c>
      <c r="X47" t="s">
        <v>1537</v>
      </c>
      <c r="Y47" t="b">
        <v>1</v>
      </c>
      <c r="Z47" t="b">
        <v>0</v>
      </c>
      <c r="AA47" t="b">
        <v>0</v>
      </c>
      <c r="AE47" s="103"/>
      <c r="AF47" t="s">
        <v>1536</v>
      </c>
      <c r="AG47">
        <v>50721053</v>
      </c>
      <c r="AH47" t="s">
        <v>1537</v>
      </c>
      <c r="AI47" t="b">
        <v>1</v>
      </c>
      <c r="AJ47" t="b">
        <v>0</v>
      </c>
      <c r="AK47" t="b">
        <v>0</v>
      </c>
      <c r="CR47" t="s">
        <v>1839</v>
      </c>
      <c r="CS47" t="s">
        <v>1174</v>
      </c>
      <c r="CT47" t="s">
        <v>23</v>
      </c>
      <c r="CW47" s="103"/>
      <c r="DJ47" t="s">
        <v>1839</v>
      </c>
      <c r="DK47" t="s">
        <v>1174</v>
      </c>
      <c r="DL47" t="s">
        <v>23</v>
      </c>
      <c r="DM47" t="s">
        <v>1154</v>
      </c>
    </row>
    <row r="48" spans="11:125" x14ac:dyDescent="0.35">
      <c r="U48" s="103"/>
      <c r="V48" t="s">
        <v>1538</v>
      </c>
      <c r="W48">
        <v>50721054</v>
      </c>
      <c r="X48" t="s">
        <v>1539</v>
      </c>
      <c r="Y48" t="b">
        <v>1</v>
      </c>
      <c r="Z48" t="b">
        <v>0</v>
      </c>
      <c r="AA48" t="b">
        <v>0</v>
      </c>
      <c r="AE48" s="103"/>
      <c r="AF48" t="s">
        <v>1538</v>
      </c>
      <c r="AG48">
        <v>50721054</v>
      </c>
      <c r="AH48" t="s">
        <v>1539</v>
      </c>
      <c r="AI48" t="b">
        <v>1</v>
      </c>
      <c r="AJ48" t="b">
        <v>0</v>
      </c>
      <c r="AK48" t="b">
        <v>0</v>
      </c>
      <c r="CR48" t="s">
        <v>1840</v>
      </c>
      <c r="CS48" t="s">
        <v>1841</v>
      </c>
      <c r="CT48" t="s">
        <v>23</v>
      </c>
      <c r="CW48" s="103"/>
      <c r="DJ48" t="s">
        <v>1840</v>
      </c>
      <c r="DK48" t="s">
        <v>1841</v>
      </c>
      <c r="DL48" t="s">
        <v>23</v>
      </c>
      <c r="DM48" t="s">
        <v>1154</v>
      </c>
    </row>
    <row r="49" spans="21:117" x14ac:dyDescent="0.35">
      <c r="U49" s="103"/>
      <c r="V49" t="s">
        <v>1540</v>
      </c>
      <c r="W49">
        <v>50721055</v>
      </c>
      <c r="X49" t="s">
        <v>1541</v>
      </c>
      <c r="Y49" t="b">
        <v>1</v>
      </c>
      <c r="Z49" t="b">
        <v>0</v>
      </c>
      <c r="AA49" t="b">
        <v>0</v>
      </c>
      <c r="AE49" s="103"/>
      <c r="AF49" t="s">
        <v>1540</v>
      </c>
      <c r="AG49">
        <v>50721055</v>
      </c>
      <c r="AH49" t="s">
        <v>1541</v>
      </c>
      <c r="AI49" t="b">
        <v>1</v>
      </c>
      <c r="AJ49" t="b">
        <v>0</v>
      </c>
      <c r="AK49" t="b">
        <v>0</v>
      </c>
      <c r="CR49" t="s">
        <v>1842</v>
      </c>
      <c r="CS49" t="s">
        <v>197</v>
      </c>
      <c r="CT49" t="s">
        <v>24</v>
      </c>
      <c r="CW49" s="103"/>
      <c r="DJ49" t="s">
        <v>1842</v>
      </c>
      <c r="DK49" t="s">
        <v>197</v>
      </c>
      <c r="DL49" t="s">
        <v>24</v>
      </c>
      <c r="DM49" t="s">
        <v>1154</v>
      </c>
    </row>
    <row r="50" spans="21:117" x14ac:dyDescent="0.35">
      <c r="U50" s="103"/>
      <c r="V50" t="s">
        <v>1542</v>
      </c>
      <c r="W50">
        <v>50721056</v>
      </c>
      <c r="X50" t="s">
        <v>1543</v>
      </c>
      <c r="Y50" t="b">
        <v>1</v>
      </c>
      <c r="Z50" t="b">
        <v>0</v>
      </c>
      <c r="AA50" t="b">
        <v>0</v>
      </c>
      <c r="AE50" s="103"/>
      <c r="AF50" t="s">
        <v>1542</v>
      </c>
      <c r="AG50">
        <v>50721056</v>
      </c>
      <c r="AH50" t="s">
        <v>1543</v>
      </c>
      <c r="AI50" t="b">
        <v>1</v>
      </c>
      <c r="AJ50" t="b">
        <v>0</v>
      </c>
      <c r="AK50" t="b">
        <v>0</v>
      </c>
      <c r="CR50" t="s">
        <v>1843</v>
      </c>
      <c r="CS50" t="s">
        <v>198</v>
      </c>
      <c r="CT50" t="s">
        <v>24</v>
      </c>
      <c r="CW50" s="103"/>
      <c r="DJ50" t="s">
        <v>1843</v>
      </c>
      <c r="DK50" t="s">
        <v>198</v>
      </c>
      <c r="DL50" t="s">
        <v>24</v>
      </c>
      <c r="DM50" t="s">
        <v>1154</v>
      </c>
    </row>
    <row r="51" spans="21:117" x14ac:dyDescent="0.35">
      <c r="U51" s="103"/>
      <c r="V51" t="s">
        <v>1544</v>
      </c>
      <c r="W51">
        <v>50721057</v>
      </c>
      <c r="X51" t="s">
        <v>1545</v>
      </c>
      <c r="Y51" t="b">
        <v>1</v>
      </c>
      <c r="Z51" t="b">
        <v>0</v>
      </c>
      <c r="AA51" t="b">
        <v>0</v>
      </c>
      <c r="AE51" s="103"/>
      <c r="AF51" t="s">
        <v>1544</v>
      </c>
      <c r="AG51">
        <v>50721057</v>
      </c>
      <c r="AH51" t="s">
        <v>1545</v>
      </c>
      <c r="AI51" t="b">
        <v>1</v>
      </c>
      <c r="AJ51" t="b">
        <v>0</v>
      </c>
      <c r="AK51" t="b">
        <v>0</v>
      </c>
      <c r="CR51" t="s">
        <v>1844</v>
      </c>
      <c r="CS51" t="s">
        <v>199</v>
      </c>
      <c r="CT51" t="s">
        <v>24</v>
      </c>
      <c r="CW51" s="103"/>
      <c r="DJ51" t="s">
        <v>1844</v>
      </c>
      <c r="DK51" t="s">
        <v>199</v>
      </c>
      <c r="DL51" t="s">
        <v>24</v>
      </c>
      <c r="DM51" t="s">
        <v>1154</v>
      </c>
    </row>
    <row r="52" spans="21:117" x14ac:dyDescent="0.35">
      <c r="U52" s="103"/>
      <c r="V52" t="s">
        <v>1546</v>
      </c>
      <c r="W52">
        <v>50721058</v>
      </c>
      <c r="X52" t="s">
        <v>1547</v>
      </c>
      <c r="Y52" t="b">
        <v>1</v>
      </c>
      <c r="Z52" t="b">
        <v>0</v>
      </c>
      <c r="AA52" t="b">
        <v>1</v>
      </c>
      <c r="AE52" s="103"/>
      <c r="AF52" t="s">
        <v>1546</v>
      </c>
      <c r="AG52">
        <v>50721058</v>
      </c>
      <c r="AH52" t="s">
        <v>1547</v>
      </c>
      <c r="AI52" t="b">
        <v>1</v>
      </c>
      <c r="AJ52" t="b">
        <v>0</v>
      </c>
      <c r="AK52" t="b">
        <v>1</v>
      </c>
      <c r="CR52" t="s">
        <v>1845</v>
      </c>
      <c r="CS52" t="s">
        <v>200</v>
      </c>
      <c r="CT52" t="s">
        <v>24</v>
      </c>
      <c r="CW52" s="103"/>
      <c r="DJ52" t="s">
        <v>1845</v>
      </c>
      <c r="DK52" t="s">
        <v>200</v>
      </c>
      <c r="DL52" t="s">
        <v>24</v>
      </c>
      <c r="DM52" t="s">
        <v>1154</v>
      </c>
    </row>
    <row r="53" spans="21:117" x14ac:dyDescent="0.35">
      <c r="U53" s="103"/>
      <c r="V53" t="s">
        <v>1548</v>
      </c>
      <c r="W53">
        <v>50721059</v>
      </c>
      <c r="X53" t="s">
        <v>876</v>
      </c>
      <c r="Y53" t="b">
        <v>1</v>
      </c>
      <c r="Z53" t="b">
        <v>1</v>
      </c>
      <c r="AA53" t="b">
        <v>0</v>
      </c>
      <c r="AE53" s="103"/>
      <c r="AF53" t="s">
        <v>1548</v>
      </c>
      <c r="AG53">
        <v>50721059</v>
      </c>
      <c r="AH53" t="s">
        <v>876</v>
      </c>
      <c r="AI53" t="b">
        <v>1</v>
      </c>
      <c r="AJ53" t="b">
        <v>1</v>
      </c>
      <c r="AK53" t="b">
        <v>0</v>
      </c>
      <c r="CR53" t="s">
        <v>1846</v>
      </c>
      <c r="CS53" t="s">
        <v>201</v>
      </c>
      <c r="CT53" t="s">
        <v>24</v>
      </c>
      <c r="CW53" s="103"/>
      <c r="DJ53" t="s">
        <v>1846</v>
      </c>
      <c r="DK53" t="s">
        <v>201</v>
      </c>
      <c r="DL53" t="s">
        <v>24</v>
      </c>
      <c r="DM53" t="s">
        <v>1154</v>
      </c>
    </row>
    <row r="54" spans="21:117" x14ac:dyDescent="0.35">
      <c r="U54" s="103"/>
      <c r="V54" t="s">
        <v>1549</v>
      </c>
      <c r="W54">
        <v>50721060</v>
      </c>
      <c r="X54" t="s">
        <v>878</v>
      </c>
      <c r="Y54" t="b">
        <v>1</v>
      </c>
      <c r="Z54" t="b">
        <v>1</v>
      </c>
      <c r="AA54" t="b">
        <v>0</v>
      </c>
      <c r="AE54" s="103"/>
      <c r="AF54" t="s">
        <v>1549</v>
      </c>
      <c r="AG54">
        <v>50721060</v>
      </c>
      <c r="AH54" t="s">
        <v>878</v>
      </c>
      <c r="AI54" t="b">
        <v>1</v>
      </c>
      <c r="AJ54" t="b">
        <v>1</v>
      </c>
      <c r="AK54" t="b">
        <v>0</v>
      </c>
      <c r="CR54" t="s">
        <v>1847</v>
      </c>
      <c r="CS54" t="s">
        <v>109</v>
      </c>
      <c r="CT54" t="s">
        <v>1240</v>
      </c>
      <c r="CW54" s="103"/>
      <c r="DJ54" t="s">
        <v>1847</v>
      </c>
      <c r="DK54" t="s">
        <v>109</v>
      </c>
      <c r="DL54" t="s">
        <v>1240</v>
      </c>
      <c r="DM54" t="s">
        <v>1154</v>
      </c>
    </row>
    <row r="55" spans="21:117" x14ac:dyDescent="0.35">
      <c r="U55" s="103"/>
      <c r="V55" t="s">
        <v>1550</v>
      </c>
      <c r="W55">
        <v>50721061</v>
      </c>
      <c r="X55" t="s">
        <v>880</v>
      </c>
      <c r="Y55" t="b">
        <v>1</v>
      </c>
      <c r="Z55" t="b">
        <v>1</v>
      </c>
      <c r="AA55" t="b">
        <v>0</v>
      </c>
      <c r="AE55" s="103"/>
      <c r="AF55" t="s">
        <v>1550</v>
      </c>
      <c r="AG55">
        <v>50721061</v>
      </c>
      <c r="AH55" t="s">
        <v>880</v>
      </c>
      <c r="AI55" t="b">
        <v>1</v>
      </c>
      <c r="AJ55" t="b">
        <v>1</v>
      </c>
      <c r="AK55" t="b">
        <v>0</v>
      </c>
      <c r="CR55" t="s">
        <v>1848</v>
      </c>
      <c r="CS55" t="s">
        <v>110</v>
      </c>
      <c r="CT55" t="s">
        <v>1240</v>
      </c>
      <c r="CW55" s="103"/>
      <c r="DJ55" t="s">
        <v>1848</v>
      </c>
      <c r="DK55" t="s">
        <v>110</v>
      </c>
      <c r="DL55" t="s">
        <v>1240</v>
      </c>
      <c r="DM55" t="s">
        <v>1154</v>
      </c>
    </row>
    <row r="56" spans="21:117" x14ac:dyDescent="0.35">
      <c r="U56" s="103"/>
      <c r="V56" t="s">
        <v>1551</v>
      </c>
      <c r="W56">
        <v>50721062</v>
      </c>
      <c r="X56" t="s">
        <v>1552</v>
      </c>
      <c r="Y56" t="b">
        <v>1</v>
      </c>
      <c r="Z56" t="b">
        <v>1</v>
      </c>
      <c r="AA56" t="b">
        <v>0</v>
      </c>
      <c r="AE56" s="103"/>
      <c r="AF56" t="s">
        <v>1551</v>
      </c>
      <c r="AG56">
        <v>50721062</v>
      </c>
      <c r="AH56" t="s">
        <v>1552</v>
      </c>
      <c r="AI56" t="b">
        <v>1</v>
      </c>
      <c r="AJ56" t="b">
        <v>1</v>
      </c>
      <c r="AK56" t="b">
        <v>0</v>
      </c>
      <c r="CR56" t="s">
        <v>1849</v>
      </c>
      <c r="CS56" t="s">
        <v>111</v>
      </c>
      <c r="CT56" t="s">
        <v>1240</v>
      </c>
      <c r="CW56" s="103"/>
      <c r="DJ56" t="s">
        <v>1849</v>
      </c>
      <c r="DK56" t="s">
        <v>111</v>
      </c>
      <c r="DL56" t="s">
        <v>1240</v>
      </c>
      <c r="DM56" t="s">
        <v>1154</v>
      </c>
    </row>
    <row r="57" spans="21:117" x14ac:dyDescent="0.35">
      <c r="U57" s="103"/>
      <c r="V57" t="s">
        <v>1553</v>
      </c>
      <c r="W57">
        <v>50721063</v>
      </c>
      <c r="X57" t="s">
        <v>884</v>
      </c>
      <c r="Y57" t="b">
        <v>1</v>
      </c>
      <c r="Z57" t="b">
        <v>1</v>
      </c>
      <c r="AA57" t="b">
        <v>0</v>
      </c>
      <c r="AE57" s="103"/>
      <c r="AF57" t="s">
        <v>1553</v>
      </c>
      <c r="AG57">
        <v>50721063</v>
      </c>
      <c r="AH57" t="s">
        <v>884</v>
      </c>
      <c r="AI57" t="b">
        <v>1</v>
      </c>
      <c r="AJ57" t="b">
        <v>1</v>
      </c>
      <c r="AK57" t="b">
        <v>0</v>
      </c>
      <c r="CR57" t="s">
        <v>1850</v>
      </c>
      <c r="CS57" t="s">
        <v>112</v>
      </c>
      <c r="CT57" t="s">
        <v>1240</v>
      </c>
      <c r="CW57" s="103"/>
      <c r="DJ57" t="s">
        <v>1850</v>
      </c>
      <c r="DK57" t="s">
        <v>112</v>
      </c>
      <c r="DL57" t="s">
        <v>1240</v>
      </c>
      <c r="DM57" t="s">
        <v>1154</v>
      </c>
    </row>
    <row r="58" spans="21:117" x14ac:dyDescent="0.35">
      <c r="U58" s="103"/>
      <c r="V58" t="s">
        <v>1554</v>
      </c>
      <c r="W58">
        <v>50721064</v>
      </c>
      <c r="X58" t="s">
        <v>886</v>
      </c>
      <c r="Y58" t="b">
        <v>1</v>
      </c>
      <c r="Z58" t="b">
        <v>1</v>
      </c>
      <c r="AA58" t="b">
        <v>0</v>
      </c>
      <c r="AE58" s="103"/>
      <c r="AF58" t="s">
        <v>1554</v>
      </c>
      <c r="AG58">
        <v>50721064</v>
      </c>
      <c r="AH58" t="s">
        <v>886</v>
      </c>
      <c r="AI58" t="b">
        <v>1</v>
      </c>
      <c r="AJ58" t="b">
        <v>1</v>
      </c>
      <c r="AK58" t="b">
        <v>0</v>
      </c>
      <c r="CR58" t="s">
        <v>1851</v>
      </c>
      <c r="CS58" t="s">
        <v>113</v>
      </c>
      <c r="CT58" t="s">
        <v>1240</v>
      </c>
      <c r="CW58" s="103"/>
      <c r="DJ58" t="s">
        <v>1851</v>
      </c>
      <c r="DK58" t="s">
        <v>113</v>
      </c>
      <c r="DL58" t="s">
        <v>1240</v>
      </c>
      <c r="DM58" t="s">
        <v>1154</v>
      </c>
    </row>
    <row r="59" spans="21:117" x14ac:dyDescent="0.35">
      <c r="U59" s="103"/>
      <c r="V59" t="s">
        <v>1555</v>
      </c>
      <c r="W59">
        <v>50721065</v>
      </c>
      <c r="X59" t="s">
        <v>869</v>
      </c>
      <c r="Y59" t="b">
        <v>1</v>
      </c>
      <c r="Z59" t="b">
        <v>1</v>
      </c>
      <c r="AA59" t="b">
        <v>0</v>
      </c>
      <c r="AE59" s="103"/>
      <c r="AF59" t="s">
        <v>1555</v>
      </c>
      <c r="AG59">
        <v>50721065</v>
      </c>
      <c r="AH59" t="s">
        <v>869</v>
      </c>
      <c r="AI59" t="b">
        <v>1</v>
      </c>
      <c r="AJ59" t="b">
        <v>1</v>
      </c>
      <c r="AK59" t="b">
        <v>0</v>
      </c>
      <c r="CR59" t="s">
        <v>1852</v>
      </c>
      <c r="CS59" t="s">
        <v>114</v>
      </c>
      <c r="CT59" t="s">
        <v>1240</v>
      </c>
      <c r="CW59" s="103"/>
      <c r="DJ59" t="s">
        <v>1852</v>
      </c>
      <c r="DK59" t="s">
        <v>114</v>
      </c>
      <c r="DL59" t="s">
        <v>1240</v>
      </c>
      <c r="DM59" t="s">
        <v>1154</v>
      </c>
    </row>
    <row r="60" spans="21:117" x14ac:dyDescent="0.35">
      <c r="U60" s="103"/>
      <c r="V60" t="s">
        <v>1556</v>
      </c>
      <c r="W60">
        <v>50721066</v>
      </c>
      <c r="X60" t="s">
        <v>889</v>
      </c>
      <c r="Y60" t="b">
        <v>1</v>
      </c>
      <c r="Z60" t="b">
        <v>1</v>
      </c>
      <c r="AA60" t="b">
        <v>0</v>
      </c>
      <c r="AE60" s="103"/>
      <c r="AF60" t="s">
        <v>1556</v>
      </c>
      <c r="AG60">
        <v>50721066</v>
      </c>
      <c r="AH60" t="s">
        <v>889</v>
      </c>
      <c r="AI60" t="b">
        <v>1</v>
      </c>
      <c r="AJ60" t="b">
        <v>1</v>
      </c>
      <c r="AK60" t="b">
        <v>0</v>
      </c>
      <c r="CR60" t="s">
        <v>1853</v>
      </c>
      <c r="CS60" t="s">
        <v>115</v>
      </c>
      <c r="CT60" t="s">
        <v>1240</v>
      </c>
      <c r="CW60" s="103"/>
      <c r="DJ60" t="s">
        <v>1853</v>
      </c>
      <c r="DK60" t="s">
        <v>115</v>
      </c>
      <c r="DL60" t="s">
        <v>1240</v>
      </c>
      <c r="DM60" t="s">
        <v>1154</v>
      </c>
    </row>
    <row r="61" spans="21:117" x14ac:dyDescent="0.35">
      <c r="U61" s="103"/>
      <c r="V61" t="s">
        <v>1557</v>
      </c>
      <c r="W61">
        <v>50721067</v>
      </c>
      <c r="X61" t="s">
        <v>891</v>
      </c>
      <c r="Y61" t="b">
        <v>1</v>
      </c>
      <c r="Z61" t="b">
        <v>1</v>
      </c>
      <c r="AA61" t="b">
        <v>0</v>
      </c>
      <c r="AE61" s="103"/>
      <c r="AF61" t="s">
        <v>1557</v>
      </c>
      <c r="AG61">
        <v>50721067</v>
      </c>
      <c r="AH61" t="s">
        <v>891</v>
      </c>
      <c r="AI61" t="b">
        <v>1</v>
      </c>
      <c r="AJ61" t="b">
        <v>1</v>
      </c>
      <c r="AK61" t="b">
        <v>0</v>
      </c>
      <c r="CR61" t="s">
        <v>1854</v>
      </c>
      <c r="CS61" t="s">
        <v>116</v>
      </c>
      <c r="CT61" t="s">
        <v>1240</v>
      </c>
      <c r="CW61" s="103"/>
      <c r="DJ61" t="s">
        <v>1854</v>
      </c>
      <c r="DK61" t="s">
        <v>116</v>
      </c>
      <c r="DL61" t="s">
        <v>1240</v>
      </c>
      <c r="DM61" t="s">
        <v>1154</v>
      </c>
    </row>
    <row r="62" spans="21:117" x14ac:dyDescent="0.35">
      <c r="U62" s="103"/>
      <c r="V62" t="s">
        <v>1558</v>
      </c>
      <c r="W62">
        <v>50721068</v>
      </c>
      <c r="X62" t="s">
        <v>893</v>
      </c>
      <c r="Y62" t="b">
        <v>1</v>
      </c>
      <c r="Z62" t="b">
        <v>1</v>
      </c>
      <c r="AA62" t="b">
        <v>0</v>
      </c>
      <c r="AE62" s="103"/>
      <c r="AF62" t="s">
        <v>1558</v>
      </c>
      <c r="AG62">
        <v>50721068</v>
      </c>
      <c r="AH62" t="s">
        <v>893</v>
      </c>
      <c r="AI62" t="b">
        <v>1</v>
      </c>
      <c r="AJ62" t="b">
        <v>1</v>
      </c>
      <c r="AK62" t="b">
        <v>0</v>
      </c>
      <c r="CR62" t="s">
        <v>1855</v>
      </c>
      <c r="CS62" t="s">
        <v>117</v>
      </c>
      <c r="CT62" t="s">
        <v>1240</v>
      </c>
      <c r="CW62" s="103"/>
      <c r="DJ62" t="s">
        <v>1855</v>
      </c>
      <c r="DK62" t="s">
        <v>117</v>
      </c>
      <c r="DL62" t="s">
        <v>1240</v>
      </c>
      <c r="DM62" t="s">
        <v>1154</v>
      </c>
    </row>
    <row r="63" spans="21:117" x14ac:dyDescent="0.35">
      <c r="U63" s="103"/>
      <c r="V63" t="s">
        <v>1559</v>
      </c>
      <c r="W63">
        <v>50721069</v>
      </c>
      <c r="X63" t="s">
        <v>894</v>
      </c>
      <c r="Y63" t="b">
        <v>1</v>
      </c>
      <c r="Z63" t="b">
        <v>1</v>
      </c>
      <c r="AA63" t="b">
        <v>0</v>
      </c>
      <c r="AE63" s="103"/>
      <c r="AF63" t="s">
        <v>1559</v>
      </c>
      <c r="AG63">
        <v>50721069</v>
      </c>
      <c r="AH63" t="s">
        <v>894</v>
      </c>
      <c r="AI63" t="b">
        <v>1</v>
      </c>
      <c r="AJ63" t="b">
        <v>1</v>
      </c>
      <c r="AK63" t="b">
        <v>0</v>
      </c>
      <c r="CR63" t="s">
        <v>1856</v>
      </c>
      <c r="CS63" t="s">
        <v>1241</v>
      </c>
      <c r="CT63" t="s">
        <v>1240</v>
      </c>
      <c r="CW63" s="103"/>
      <c r="DJ63" t="s">
        <v>1856</v>
      </c>
      <c r="DK63" t="s">
        <v>1241</v>
      </c>
      <c r="DL63" t="s">
        <v>1240</v>
      </c>
      <c r="DM63" t="s">
        <v>1154</v>
      </c>
    </row>
    <row r="64" spans="21:117" x14ac:dyDescent="0.35">
      <c r="U64" s="103"/>
      <c r="V64" t="s">
        <v>1560</v>
      </c>
      <c r="W64">
        <v>50721070</v>
      </c>
      <c r="X64" t="s">
        <v>896</v>
      </c>
      <c r="Y64" t="b">
        <v>1</v>
      </c>
      <c r="Z64" t="b">
        <v>1</v>
      </c>
      <c r="AA64" t="b">
        <v>0</v>
      </c>
      <c r="AE64" s="103"/>
      <c r="AF64" t="s">
        <v>1560</v>
      </c>
      <c r="AG64">
        <v>50721070</v>
      </c>
      <c r="AH64" t="s">
        <v>896</v>
      </c>
      <c r="AI64" t="b">
        <v>1</v>
      </c>
      <c r="AJ64" t="b">
        <v>1</v>
      </c>
      <c r="AK64" t="b">
        <v>0</v>
      </c>
      <c r="CR64" t="s">
        <v>1857</v>
      </c>
      <c r="CS64" t="s">
        <v>119</v>
      </c>
      <c r="CT64" t="s">
        <v>1790</v>
      </c>
      <c r="CW64" s="103"/>
      <c r="DJ64" t="s">
        <v>1857</v>
      </c>
      <c r="DK64" t="s">
        <v>119</v>
      </c>
      <c r="DL64" t="s">
        <v>1790</v>
      </c>
      <c r="DM64" t="s">
        <v>1154</v>
      </c>
    </row>
    <row r="65" spans="21:117" x14ac:dyDescent="0.35">
      <c r="U65" s="103"/>
      <c r="V65" t="s">
        <v>1561</v>
      </c>
      <c r="W65">
        <v>50721071</v>
      </c>
      <c r="X65" t="s">
        <v>898</v>
      </c>
      <c r="Y65" t="b">
        <v>1</v>
      </c>
      <c r="Z65" t="b">
        <v>1</v>
      </c>
      <c r="AA65" t="b">
        <v>0</v>
      </c>
      <c r="AE65" s="103"/>
      <c r="AF65" t="s">
        <v>1561</v>
      </c>
      <c r="AG65">
        <v>50721071</v>
      </c>
      <c r="AH65" t="s">
        <v>898</v>
      </c>
      <c r="AI65" t="b">
        <v>1</v>
      </c>
      <c r="AJ65" t="b">
        <v>1</v>
      </c>
      <c r="AK65" t="b">
        <v>0</v>
      </c>
      <c r="CR65" t="s">
        <v>1858</v>
      </c>
      <c r="CS65" t="s">
        <v>120</v>
      </c>
      <c r="CT65" t="s">
        <v>1790</v>
      </c>
      <c r="CW65" s="103"/>
      <c r="DJ65" t="s">
        <v>1858</v>
      </c>
      <c r="DK65" t="s">
        <v>120</v>
      </c>
      <c r="DL65" t="s">
        <v>1790</v>
      </c>
      <c r="DM65" t="s">
        <v>1154</v>
      </c>
    </row>
    <row r="66" spans="21:117" x14ac:dyDescent="0.35">
      <c r="U66" s="103"/>
      <c r="V66" t="s">
        <v>1562</v>
      </c>
      <c r="W66">
        <v>50721072</v>
      </c>
      <c r="X66" t="s">
        <v>900</v>
      </c>
      <c r="Y66" t="b">
        <v>1</v>
      </c>
      <c r="Z66" t="b">
        <v>1</v>
      </c>
      <c r="AA66" t="b">
        <v>0</v>
      </c>
      <c r="AE66" s="103"/>
      <c r="AF66" t="s">
        <v>1562</v>
      </c>
      <c r="AG66">
        <v>50721072</v>
      </c>
      <c r="AH66" t="s">
        <v>900</v>
      </c>
      <c r="AI66" t="b">
        <v>1</v>
      </c>
      <c r="AJ66" t="b">
        <v>1</v>
      </c>
      <c r="AK66" t="b">
        <v>0</v>
      </c>
      <c r="CR66" t="s">
        <v>1859</v>
      </c>
      <c r="CS66" t="s">
        <v>121</v>
      </c>
      <c r="CT66" t="s">
        <v>1790</v>
      </c>
      <c r="CW66" s="103"/>
      <c r="DJ66" t="s">
        <v>1859</v>
      </c>
      <c r="DK66" t="s">
        <v>121</v>
      </c>
      <c r="DL66" t="s">
        <v>1790</v>
      </c>
      <c r="DM66" t="s">
        <v>1154</v>
      </c>
    </row>
    <row r="67" spans="21:117" x14ac:dyDescent="0.35">
      <c r="U67" s="103"/>
      <c r="V67" t="s">
        <v>1563</v>
      </c>
      <c r="W67">
        <v>50721073</v>
      </c>
      <c r="X67" t="s">
        <v>902</v>
      </c>
      <c r="Y67" t="b">
        <v>1</v>
      </c>
      <c r="Z67" t="b">
        <v>1</v>
      </c>
      <c r="AA67" t="b">
        <v>0</v>
      </c>
      <c r="AE67" s="103"/>
      <c r="AF67" t="s">
        <v>1563</v>
      </c>
      <c r="AG67">
        <v>50721073</v>
      </c>
      <c r="AH67" t="s">
        <v>902</v>
      </c>
      <c r="AI67" t="b">
        <v>1</v>
      </c>
      <c r="AJ67" t="b">
        <v>1</v>
      </c>
      <c r="AK67" t="b">
        <v>0</v>
      </c>
      <c r="CR67" t="s">
        <v>1860</v>
      </c>
      <c r="CS67" t="s">
        <v>122</v>
      </c>
      <c r="CT67" t="s">
        <v>1790</v>
      </c>
      <c r="CW67" s="103"/>
      <c r="DJ67" t="s">
        <v>1860</v>
      </c>
      <c r="DK67" t="s">
        <v>122</v>
      </c>
      <c r="DL67" t="s">
        <v>1790</v>
      </c>
      <c r="DM67" t="s">
        <v>1154</v>
      </c>
    </row>
    <row r="68" spans="21:117" x14ac:dyDescent="0.35">
      <c r="U68" s="103"/>
      <c r="V68" t="s">
        <v>1564</v>
      </c>
      <c r="W68">
        <v>50721074</v>
      </c>
      <c r="X68" t="s">
        <v>904</v>
      </c>
      <c r="Y68" t="b">
        <v>1</v>
      </c>
      <c r="Z68" t="b">
        <v>1</v>
      </c>
      <c r="AA68" t="b">
        <v>0</v>
      </c>
      <c r="AE68" s="103"/>
      <c r="AF68" t="s">
        <v>1564</v>
      </c>
      <c r="AG68">
        <v>50721074</v>
      </c>
      <c r="AH68" t="s">
        <v>904</v>
      </c>
      <c r="AI68" t="b">
        <v>1</v>
      </c>
      <c r="AJ68" t="b">
        <v>1</v>
      </c>
      <c r="AK68" t="b">
        <v>0</v>
      </c>
      <c r="CR68" t="s">
        <v>1861</v>
      </c>
      <c r="CS68" t="s">
        <v>123</v>
      </c>
      <c r="CT68" t="s">
        <v>1790</v>
      </c>
      <c r="CW68" s="103"/>
      <c r="DJ68" t="s">
        <v>1861</v>
      </c>
      <c r="DK68" t="s">
        <v>123</v>
      </c>
      <c r="DL68" t="s">
        <v>1790</v>
      </c>
      <c r="DM68" t="s">
        <v>1154</v>
      </c>
    </row>
    <row r="69" spans="21:117" x14ac:dyDescent="0.35">
      <c r="U69" s="103"/>
      <c r="V69" t="s">
        <v>1565</v>
      </c>
      <c r="W69">
        <v>50721075</v>
      </c>
      <c r="X69" t="s">
        <v>935</v>
      </c>
      <c r="Y69" t="b">
        <v>1</v>
      </c>
      <c r="Z69" t="b">
        <v>1</v>
      </c>
      <c r="AA69" t="b">
        <v>0</v>
      </c>
      <c r="AE69" s="103"/>
      <c r="AF69" t="s">
        <v>1565</v>
      </c>
      <c r="AG69">
        <v>50721075</v>
      </c>
      <c r="AH69" t="s">
        <v>935</v>
      </c>
      <c r="AI69" t="b">
        <v>1</v>
      </c>
      <c r="AJ69" t="b">
        <v>1</v>
      </c>
      <c r="AK69" t="b">
        <v>0</v>
      </c>
      <c r="CR69" t="s">
        <v>1862</v>
      </c>
      <c r="CS69" t="s">
        <v>124</v>
      </c>
      <c r="CT69" t="s">
        <v>1779</v>
      </c>
      <c r="CW69" s="103"/>
      <c r="DJ69" t="s">
        <v>1862</v>
      </c>
      <c r="DK69" t="s">
        <v>124</v>
      </c>
      <c r="DL69" t="s">
        <v>1779</v>
      </c>
      <c r="DM69" t="s">
        <v>1154</v>
      </c>
    </row>
    <row r="70" spans="21:117" x14ac:dyDescent="0.35">
      <c r="U70" s="103"/>
      <c r="V70" t="s">
        <v>1566</v>
      </c>
      <c r="W70">
        <v>50721076</v>
      </c>
      <c r="X70" t="s">
        <v>937</v>
      </c>
      <c r="Y70" t="b">
        <v>1</v>
      </c>
      <c r="Z70" t="b">
        <v>1</v>
      </c>
      <c r="AA70" t="b">
        <v>0</v>
      </c>
      <c r="AE70" s="103"/>
      <c r="AF70" t="s">
        <v>1566</v>
      </c>
      <c r="AG70">
        <v>50721076</v>
      </c>
      <c r="AH70" t="s">
        <v>937</v>
      </c>
      <c r="AI70" t="b">
        <v>1</v>
      </c>
      <c r="AJ70" t="b">
        <v>1</v>
      </c>
      <c r="AK70" t="b">
        <v>0</v>
      </c>
      <c r="CR70" t="s">
        <v>1863</v>
      </c>
      <c r="CS70" t="s">
        <v>125</v>
      </c>
      <c r="CT70" t="s">
        <v>1779</v>
      </c>
      <c r="CW70" s="103"/>
      <c r="DJ70" t="s">
        <v>1863</v>
      </c>
      <c r="DK70" t="s">
        <v>125</v>
      </c>
      <c r="DL70" t="s">
        <v>1779</v>
      </c>
      <c r="DM70" t="s">
        <v>1154</v>
      </c>
    </row>
    <row r="71" spans="21:117" x14ac:dyDescent="0.35">
      <c r="U71" s="103"/>
      <c r="V71" t="s">
        <v>1567</v>
      </c>
      <c r="W71">
        <v>50721077</v>
      </c>
      <c r="X71" t="s">
        <v>939</v>
      </c>
      <c r="Y71" t="b">
        <v>1</v>
      </c>
      <c r="Z71" t="b">
        <v>1</v>
      </c>
      <c r="AA71" t="b">
        <v>0</v>
      </c>
      <c r="AE71" s="103"/>
      <c r="AF71" t="s">
        <v>1567</v>
      </c>
      <c r="AG71">
        <v>50721077</v>
      </c>
      <c r="AH71" t="s">
        <v>939</v>
      </c>
      <c r="AI71" t="b">
        <v>1</v>
      </c>
      <c r="AJ71" t="b">
        <v>1</v>
      </c>
      <c r="AK71" t="b">
        <v>0</v>
      </c>
      <c r="CR71" t="s">
        <v>1864</v>
      </c>
      <c r="CS71" t="s">
        <v>126</v>
      </c>
      <c r="CT71" t="s">
        <v>1779</v>
      </c>
      <c r="CW71" s="103"/>
      <c r="DJ71" t="s">
        <v>1864</v>
      </c>
      <c r="DK71" t="s">
        <v>126</v>
      </c>
      <c r="DL71" t="s">
        <v>1779</v>
      </c>
      <c r="DM71" t="s">
        <v>1154</v>
      </c>
    </row>
    <row r="72" spans="21:117" x14ac:dyDescent="0.35">
      <c r="U72" s="103"/>
      <c r="V72" t="s">
        <v>1568</v>
      </c>
      <c r="W72">
        <v>50721078</v>
      </c>
      <c r="X72" t="s">
        <v>941</v>
      </c>
      <c r="Y72" t="b">
        <v>1</v>
      </c>
      <c r="Z72" t="b">
        <v>1</v>
      </c>
      <c r="AA72" t="b">
        <v>0</v>
      </c>
      <c r="AE72" s="103"/>
      <c r="AF72" t="s">
        <v>1568</v>
      </c>
      <c r="AG72">
        <v>50721078</v>
      </c>
      <c r="AH72" t="s">
        <v>941</v>
      </c>
      <c r="AI72" t="b">
        <v>1</v>
      </c>
      <c r="AJ72" t="b">
        <v>1</v>
      </c>
      <c r="AK72" t="b">
        <v>0</v>
      </c>
      <c r="CR72" t="s">
        <v>1865</v>
      </c>
      <c r="CS72" t="s">
        <v>1866</v>
      </c>
      <c r="CT72" t="s">
        <v>1779</v>
      </c>
      <c r="CW72" s="103"/>
      <c r="DJ72" t="s">
        <v>1865</v>
      </c>
      <c r="DK72" t="s">
        <v>1866</v>
      </c>
      <c r="DL72" t="s">
        <v>1779</v>
      </c>
      <c r="DM72" t="s">
        <v>1154</v>
      </c>
    </row>
    <row r="73" spans="21:117" x14ac:dyDescent="0.35">
      <c r="U73" s="103"/>
      <c r="V73" t="s">
        <v>1569</v>
      </c>
      <c r="W73">
        <v>50721079</v>
      </c>
      <c r="X73" t="s">
        <v>943</v>
      </c>
      <c r="Y73" t="b">
        <v>1</v>
      </c>
      <c r="Z73" t="b">
        <v>1</v>
      </c>
      <c r="AA73" t="b">
        <v>0</v>
      </c>
      <c r="AE73" s="103"/>
      <c r="AF73" t="s">
        <v>1569</v>
      </c>
      <c r="AG73">
        <v>50721079</v>
      </c>
      <c r="AH73" t="s">
        <v>943</v>
      </c>
      <c r="AI73" t="b">
        <v>1</v>
      </c>
      <c r="AJ73" t="b">
        <v>1</v>
      </c>
      <c r="AK73" t="b">
        <v>0</v>
      </c>
      <c r="CR73" t="s">
        <v>1867</v>
      </c>
      <c r="CS73" t="s">
        <v>128</v>
      </c>
      <c r="CT73" t="s">
        <v>1779</v>
      </c>
      <c r="CW73" s="103"/>
      <c r="DJ73" t="s">
        <v>1867</v>
      </c>
      <c r="DK73" t="s">
        <v>128</v>
      </c>
      <c r="DL73" t="s">
        <v>1779</v>
      </c>
      <c r="DM73" t="s">
        <v>1154</v>
      </c>
    </row>
    <row r="74" spans="21:117" x14ac:dyDescent="0.35">
      <c r="U74" s="103"/>
      <c r="V74" t="s">
        <v>1570</v>
      </c>
      <c r="W74">
        <v>50721080</v>
      </c>
      <c r="X74" t="s">
        <v>945</v>
      </c>
      <c r="Y74" t="b">
        <v>1</v>
      </c>
      <c r="Z74" t="b">
        <v>1</v>
      </c>
      <c r="AA74" t="b">
        <v>0</v>
      </c>
      <c r="AE74" s="103"/>
      <c r="AF74" t="s">
        <v>1570</v>
      </c>
      <c r="AG74">
        <v>50721080</v>
      </c>
      <c r="AH74" t="s">
        <v>945</v>
      </c>
      <c r="AI74" t="b">
        <v>1</v>
      </c>
      <c r="AJ74" t="b">
        <v>1</v>
      </c>
      <c r="AK74" t="b">
        <v>0</v>
      </c>
      <c r="CR74" t="s">
        <v>1868</v>
      </c>
      <c r="CS74" t="s">
        <v>129</v>
      </c>
      <c r="CT74" t="s">
        <v>1779</v>
      </c>
      <c r="CW74" s="103"/>
      <c r="DJ74" t="s">
        <v>1868</v>
      </c>
      <c r="DK74" t="s">
        <v>129</v>
      </c>
      <c r="DL74" t="s">
        <v>1779</v>
      </c>
      <c r="DM74" t="s">
        <v>1154</v>
      </c>
    </row>
    <row r="75" spans="21:117" x14ac:dyDescent="0.35">
      <c r="U75" s="103"/>
      <c r="V75" t="s">
        <v>1571</v>
      </c>
      <c r="W75">
        <v>50721081</v>
      </c>
      <c r="X75" t="s">
        <v>947</v>
      </c>
      <c r="Y75" t="b">
        <v>1</v>
      </c>
      <c r="Z75" t="b">
        <v>1</v>
      </c>
      <c r="AA75" t="b">
        <v>0</v>
      </c>
      <c r="AE75" s="103"/>
      <c r="AF75" t="s">
        <v>1571</v>
      </c>
      <c r="AG75">
        <v>50721081</v>
      </c>
      <c r="AH75" t="s">
        <v>947</v>
      </c>
      <c r="AI75" t="b">
        <v>1</v>
      </c>
      <c r="AJ75" t="b">
        <v>1</v>
      </c>
      <c r="AK75" t="b">
        <v>0</v>
      </c>
      <c r="CR75" t="s">
        <v>1869</v>
      </c>
      <c r="CS75" t="s">
        <v>970</v>
      </c>
      <c r="CT75" t="s">
        <v>1793</v>
      </c>
      <c r="CW75" s="103"/>
      <c r="DJ75" t="s">
        <v>1869</v>
      </c>
      <c r="DK75" t="s">
        <v>970</v>
      </c>
      <c r="DL75" t="s">
        <v>1793</v>
      </c>
      <c r="DM75" t="s">
        <v>1154</v>
      </c>
    </row>
    <row r="76" spans="21:117" x14ac:dyDescent="0.35">
      <c r="U76" s="103"/>
      <c r="V76" t="s">
        <v>1572</v>
      </c>
      <c r="W76">
        <v>50721082</v>
      </c>
      <c r="X76" t="s">
        <v>911</v>
      </c>
      <c r="Y76" t="b">
        <v>1</v>
      </c>
      <c r="Z76" t="b">
        <v>1</v>
      </c>
      <c r="AA76" t="b">
        <v>0</v>
      </c>
      <c r="AE76" s="103"/>
      <c r="AF76" t="s">
        <v>1572</v>
      </c>
      <c r="AG76">
        <v>50721082</v>
      </c>
      <c r="AH76" t="s">
        <v>911</v>
      </c>
      <c r="AI76" t="b">
        <v>1</v>
      </c>
      <c r="AJ76" t="b">
        <v>1</v>
      </c>
      <c r="AK76" t="b">
        <v>0</v>
      </c>
      <c r="CR76" t="s">
        <v>1870</v>
      </c>
      <c r="CS76" t="s">
        <v>971</v>
      </c>
      <c r="CT76" t="s">
        <v>1793</v>
      </c>
      <c r="CW76" s="103"/>
      <c r="DJ76" t="s">
        <v>1870</v>
      </c>
      <c r="DK76" t="s">
        <v>971</v>
      </c>
      <c r="DL76" t="s">
        <v>1793</v>
      </c>
      <c r="DM76" t="s">
        <v>1154</v>
      </c>
    </row>
    <row r="77" spans="21:117" x14ac:dyDescent="0.35">
      <c r="U77" s="103"/>
      <c r="V77" t="s">
        <v>1573</v>
      </c>
      <c r="W77">
        <v>50721083</v>
      </c>
      <c r="X77" t="s">
        <v>913</v>
      </c>
      <c r="Y77" t="b">
        <v>1</v>
      </c>
      <c r="Z77" t="b">
        <v>1</v>
      </c>
      <c r="AA77" t="b">
        <v>0</v>
      </c>
      <c r="AE77" s="103"/>
      <c r="AF77" t="s">
        <v>1573</v>
      </c>
      <c r="AG77">
        <v>50721083</v>
      </c>
      <c r="AH77" t="s">
        <v>913</v>
      </c>
      <c r="AI77" t="b">
        <v>1</v>
      </c>
      <c r="AJ77" t="b">
        <v>1</v>
      </c>
      <c r="AK77" t="b">
        <v>0</v>
      </c>
      <c r="CR77" t="s">
        <v>1871</v>
      </c>
      <c r="CS77" t="s">
        <v>187</v>
      </c>
      <c r="CT77" t="s">
        <v>20</v>
      </c>
      <c r="CW77" s="103"/>
      <c r="DJ77" t="s">
        <v>1871</v>
      </c>
      <c r="DK77" t="s">
        <v>187</v>
      </c>
      <c r="DL77" t="s">
        <v>20</v>
      </c>
      <c r="DM77" t="s">
        <v>1154</v>
      </c>
    </row>
    <row r="78" spans="21:117" x14ac:dyDescent="0.35">
      <c r="U78" s="103"/>
      <c r="V78" t="s">
        <v>1574</v>
      </c>
      <c r="W78">
        <v>50721084</v>
      </c>
      <c r="X78" t="s">
        <v>915</v>
      </c>
      <c r="Y78" t="b">
        <v>1</v>
      </c>
      <c r="Z78" t="b">
        <v>1</v>
      </c>
      <c r="AA78" t="b">
        <v>0</v>
      </c>
      <c r="AE78" s="103"/>
      <c r="AF78" t="s">
        <v>1574</v>
      </c>
      <c r="AG78">
        <v>50721084</v>
      </c>
      <c r="AH78" t="s">
        <v>915</v>
      </c>
      <c r="AI78" t="b">
        <v>1</v>
      </c>
      <c r="AJ78" t="b">
        <v>1</v>
      </c>
      <c r="AK78" t="b">
        <v>0</v>
      </c>
      <c r="CR78" t="s">
        <v>1872</v>
      </c>
      <c r="CS78" t="s">
        <v>188</v>
      </c>
      <c r="CT78" t="s">
        <v>20</v>
      </c>
      <c r="CW78" s="103"/>
      <c r="DJ78" t="s">
        <v>1872</v>
      </c>
      <c r="DK78" t="s">
        <v>188</v>
      </c>
      <c r="DL78" t="s">
        <v>20</v>
      </c>
      <c r="DM78" t="s">
        <v>1154</v>
      </c>
    </row>
    <row r="79" spans="21:117" x14ac:dyDescent="0.35">
      <c r="U79" s="103"/>
      <c r="V79" t="s">
        <v>1575</v>
      </c>
      <c r="W79">
        <v>50721085</v>
      </c>
      <c r="X79" t="s">
        <v>917</v>
      </c>
      <c r="Y79" t="b">
        <v>1</v>
      </c>
      <c r="Z79" t="b">
        <v>1</v>
      </c>
      <c r="AA79" t="b">
        <v>0</v>
      </c>
      <c r="AE79" s="103"/>
      <c r="AF79" t="s">
        <v>1575</v>
      </c>
      <c r="AG79">
        <v>50721085</v>
      </c>
      <c r="AH79" t="s">
        <v>917</v>
      </c>
      <c r="AI79" t="b">
        <v>1</v>
      </c>
      <c r="AJ79" t="b">
        <v>1</v>
      </c>
      <c r="AK79" t="b">
        <v>0</v>
      </c>
      <c r="CR79" t="s">
        <v>1873</v>
      </c>
      <c r="CS79" t="s">
        <v>189</v>
      </c>
      <c r="CT79" t="s">
        <v>20</v>
      </c>
      <c r="CW79" s="103"/>
      <c r="DJ79" t="s">
        <v>1873</v>
      </c>
      <c r="DK79" t="s">
        <v>189</v>
      </c>
      <c r="DL79" t="s">
        <v>20</v>
      </c>
      <c r="DM79" t="s">
        <v>1154</v>
      </c>
    </row>
    <row r="80" spans="21:117" x14ac:dyDescent="0.35">
      <c r="U80" s="103"/>
      <c r="V80" t="s">
        <v>1576</v>
      </c>
      <c r="W80">
        <v>50721086</v>
      </c>
      <c r="X80" t="s">
        <v>919</v>
      </c>
      <c r="Y80" t="b">
        <v>1</v>
      </c>
      <c r="Z80" t="b">
        <v>1</v>
      </c>
      <c r="AA80" t="b">
        <v>0</v>
      </c>
      <c r="AE80" s="103"/>
      <c r="AF80" t="s">
        <v>1576</v>
      </c>
      <c r="AG80">
        <v>50721086</v>
      </c>
      <c r="AH80" t="s">
        <v>919</v>
      </c>
      <c r="AI80" t="b">
        <v>1</v>
      </c>
      <c r="AJ80" t="b">
        <v>1</v>
      </c>
      <c r="AK80" t="b">
        <v>0</v>
      </c>
      <c r="CR80" t="s">
        <v>1874</v>
      </c>
      <c r="CS80" t="s">
        <v>190</v>
      </c>
      <c r="CT80" t="s">
        <v>20</v>
      </c>
      <c r="CW80" s="103"/>
      <c r="DJ80" t="s">
        <v>1874</v>
      </c>
      <c r="DK80" t="s">
        <v>190</v>
      </c>
      <c r="DL80" t="s">
        <v>20</v>
      </c>
      <c r="DM80" t="s">
        <v>1154</v>
      </c>
    </row>
    <row r="81" spans="21:117" x14ac:dyDescent="0.35">
      <c r="U81" s="103"/>
      <c r="V81" t="s">
        <v>1577</v>
      </c>
      <c r="W81">
        <v>50721087</v>
      </c>
      <c r="X81" t="s">
        <v>921</v>
      </c>
      <c r="Y81" t="b">
        <v>1</v>
      </c>
      <c r="Z81" t="b">
        <v>1</v>
      </c>
      <c r="AA81" t="b">
        <v>0</v>
      </c>
      <c r="AE81" s="103"/>
      <c r="AF81" t="s">
        <v>1577</v>
      </c>
      <c r="AG81">
        <v>50721087</v>
      </c>
      <c r="AH81" t="s">
        <v>921</v>
      </c>
      <c r="AI81" t="b">
        <v>1</v>
      </c>
      <c r="AJ81" t="b">
        <v>1</v>
      </c>
      <c r="AK81" t="b">
        <v>0</v>
      </c>
      <c r="CR81" t="s">
        <v>1875</v>
      </c>
      <c r="CS81" t="s">
        <v>191</v>
      </c>
      <c r="CT81" t="s">
        <v>20</v>
      </c>
      <c r="CW81" s="103"/>
      <c r="DJ81" t="s">
        <v>1875</v>
      </c>
      <c r="DK81" t="s">
        <v>191</v>
      </c>
      <c r="DL81" t="s">
        <v>20</v>
      </c>
      <c r="DM81" t="s">
        <v>1154</v>
      </c>
    </row>
    <row r="82" spans="21:117" x14ac:dyDescent="0.35">
      <c r="U82" s="103"/>
      <c r="V82" t="s">
        <v>1578</v>
      </c>
      <c r="W82">
        <v>50721088</v>
      </c>
      <c r="X82" t="s">
        <v>923</v>
      </c>
      <c r="Y82" t="b">
        <v>1</v>
      </c>
      <c r="Z82" t="b">
        <v>0</v>
      </c>
      <c r="AA82" t="b">
        <v>0</v>
      </c>
      <c r="AE82" s="103"/>
      <c r="AF82" t="s">
        <v>1578</v>
      </c>
      <c r="AG82">
        <v>50721088</v>
      </c>
      <c r="AH82" t="s">
        <v>923</v>
      </c>
      <c r="AI82" t="b">
        <v>1</v>
      </c>
      <c r="AJ82" t="b">
        <v>0</v>
      </c>
      <c r="AK82" t="b">
        <v>0</v>
      </c>
    </row>
    <row r="83" spans="21:117" x14ac:dyDescent="0.35">
      <c r="U83" s="103"/>
      <c r="V83" t="s">
        <v>1579</v>
      </c>
      <c r="W83">
        <v>50721089</v>
      </c>
      <c r="X83" t="s">
        <v>925</v>
      </c>
      <c r="Y83" t="b">
        <v>1</v>
      </c>
      <c r="Z83" t="b">
        <v>1</v>
      </c>
      <c r="AA83" t="b">
        <v>0</v>
      </c>
      <c r="AE83" s="103"/>
      <c r="AF83" t="s">
        <v>1579</v>
      </c>
      <c r="AG83">
        <v>50721089</v>
      </c>
      <c r="AH83" t="s">
        <v>925</v>
      </c>
      <c r="AI83" t="b">
        <v>1</v>
      </c>
      <c r="AJ83" t="b">
        <v>1</v>
      </c>
      <c r="AK83" t="b">
        <v>0</v>
      </c>
    </row>
    <row r="84" spans="21:117" x14ac:dyDescent="0.35">
      <c r="U84" s="103"/>
      <c r="V84" t="s">
        <v>1580</v>
      </c>
      <c r="W84">
        <v>50721090</v>
      </c>
      <c r="X84" t="s">
        <v>927</v>
      </c>
      <c r="Y84" t="b">
        <v>1</v>
      </c>
      <c r="Z84" t="b">
        <v>1</v>
      </c>
      <c r="AA84" t="b">
        <v>0</v>
      </c>
      <c r="AE84" s="103"/>
      <c r="AF84" t="s">
        <v>1580</v>
      </c>
      <c r="AG84">
        <v>50721090</v>
      </c>
      <c r="AH84" t="s">
        <v>927</v>
      </c>
      <c r="AI84" t="b">
        <v>1</v>
      </c>
      <c r="AJ84" t="b">
        <v>1</v>
      </c>
      <c r="AK84" t="b">
        <v>0</v>
      </c>
    </row>
    <row r="85" spans="21:117" x14ac:dyDescent="0.35">
      <c r="U85" s="103"/>
      <c r="V85" t="s">
        <v>1581</v>
      </c>
      <c r="W85">
        <v>50721091</v>
      </c>
      <c r="X85" t="s">
        <v>929</v>
      </c>
      <c r="Y85" t="b">
        <v>1</v>
      </c>
      <c r="Z85" t="b">
        <v>1</v>
      </c>
      <c r="AA85" t="b">
        <v>0</v>
      </c>
      <c r="AE85" s="103"/>
      <c r="AF85" t="s">
        <v>1581</v>
      </c>
      <c r="AG85">
        <v>50721091</v>
      </c>
      <c r="AH85" t="s">
        <v>929</v>
      </c>
      <c r="AI85" t="b">
        <v>1</v>
      </c>
      <c r="AJ85" t="b">
        <v>1</v>
      </c>
      <c r="AK85" t="b">
        <v>0</v>
      </c>
    </row>
    <row r="86" spans="21:117" x14ac:dyDescent="0.35">
      <c r="U86" s="103"/>
      <c r="V86" t="s">
        <v>1582</v>
      </c>
      <c r="W86">
        <v>50721093</v>
      </c>
      <c r="X86" t="s">
        <v>933</v>
      </c>
      <c r="Y86" t="b">
        <v>1</v>
      </c>
      <c r="Z86" t="b">
        <v>1</v>
      </c>
      <c r="AA86" t="b">
        <v>0</v>
      </c>
      <c r="AE86" s="103"/>
      <c r="AF86" t="s">
        <v>1582</v>
      </c>
      <c r="AG86">
        <v>50721093</v>
      </c>
      <c r="AH86" t="s">
        <v>933</v>
      </c>
      <c r="AI86" t="b">
        <v>1</v>
      </c>
      <c r="AJ86" t="b">
        <v>1</v>
      </c>
      <c r="AK86" t="b">
        <v>0</v>
      </c>
    </row>
    <row r="87" spans="21:117" x14ac:dyDescent="0.35">
      <c r="U87" s="103"/>
      <c r="V87" t="s">
        <v>1583</v>
      </c>
      <c r="W87">
        <v>50721094</v>
      </c>
      <c r="X87" t="s">
        <v>1584</v>
      </c>
      <c r="Y87" t="b">
        <v>1</v>
      </c>
      <c r="Z87" t="b">
        <v>0</v>
      </c>
      <c r="AA87" t="b">
        <v>0</v>
      </c>
      <c r="AE87" s="103"/>
      <c r="AF87" t="s">
        <v>1583</v>
      </c>
      <c r="AG87">
        <v>50721094</v>
      </c>
      <c r="AH87" t="s">
        <v>1584</v>
      </c>
      <c r="AI87" t="b">
        <v>1</v>
      </c>
      <c r="AJ87" t="b">
        <v>0</v>
      </c>
      <c r="AK87" t="b">
        <v>0</v>
      </c>
    </row>
    <row r="88" spans="21:117" x14ac:dyDescent="0.35">
      <c r="U88" s="103"/>
      <c r="V88" t="s">
        <v>1585</v>
      </c>
      <c r="W88">
        <v>50721095</v>
      </c>
      <c r="X88" t="s">
        <v>1586</v>
      </c>
      <c r="Y88" t="b">
        <v>1</v>
      </c>
      <c r="Z88" t="b">
        <v>1</v>
      </c>
      <c r="AA88" t="b">
        <v>0</v>
      </c>
      <c r="AE88" s="103"/>
      <c r="AF88" t="s">
        <v>1585</v>
      </c>
      <c r="AG88">
        <v>50721095</v>
      </c>
      <c r="AH88" t="s">
        <v>1586</v>
      </c>
      <c r="AI88" t="b">
        <v>1</v>
      </c>
      <c r="AJ88" t="b">
        <v>1</v>
      </c>
      <c r="AK88" t="b">
        <v>0</v>
      </c>
    </row>
    <row r="89" spans="21:117" x14ac:dyDescent="0.35">
      <c r="U89" s="103"/>
      <c r="V89" t="s">
        <v>1587</v>
      </c>
      <c r="W89">
        <v>50721096</v>
      </c>
      <c r="X89" t="s">
        <v>1588</v>
      </c>
      <c r="Y89" t="b">
        <v>1</v>
      </c>
      <c r="Z89" t="b">
        <v>0</v>
      </c>
      <c r="AA89" t="b">
        <v>0</v>
      </c>
      <c r="AE89" s="103"/>
      <c r="AF89" t="s">
        <v>1587</v>
      </c>
      <c r="AG89">
        <v>50721096</v>
      </c>
      <c r="AH89" t="s">
        <v>1588</v>
      </c>
      <c r="AI89" t="b">
        <v>1</v>
      </c>
      <c r="AJ89" t="b">
        <v>0</v>
      </c>
      <c r="AK89" t="b">
        <v>0</v>
      </c>
    </row>
    <row r="90" spans="21:117" x14ac:dyDescent="0.35">
      <c r="U90" s="103"/>
      <c r="V90" t="s">
        <v>1589</v>
      </c>
      <c r="W90">
        <v>50721097</v>
      </c>
      <c r="X90" t="s">
        <v>874</v>
      </c>
      <c r="Y90" t="b">
        <v>1</v>
      </c>
      <c r="Z90" t="b">
        <v>0</v>
      </c>
      <c r="AA90" t="b">
        <v>1</v>
      </c>
      <c r="AE90" s="103"/>
      <c r="AF90" t="s">
        <v>1589</v>
      </c>
      <c r="AG90">
        <v>50721097</v>
      </c>
      <c r="AH90" t="s">
        <v>874</v>
      </c>
      <c r="AI90" t="b">
        <v>1</v>
      </c>
      <c r="AJ90" t="b">
        <v>0</v>
      </c>
      <c r="AK90" t="b">
        <v>1</v>
      </c>
    </row>
    <row r="91" spans="21:117" x14ac:dyDescent="0.35">
      <c r="U91" s="103"/>
      <c r="V91" t="s">
        <v>1590</v>
      </c>
      <c r="W91">
        <v>50721098</v>
      </c>
      <c r="X91" t="s">
        <v>1591</v>
      </c>
      <c r="Y91" t="b">
        <v>1</v>
      </c>
      <c r="Z91" t="b">
        <v>0</v>
      </c>
      <c r="AA91" t="b">
        <v>0</v>
      </c>
      <c r="AE91" s="103"/>
      <c r="AF91" t="s">
        <v>1590</v>
      </c>
      <c r="AG91">
        <v>50721098</v>
      </c>
      <c r="AH91" t="s">
        <v>1591</v>
      </c>
      <c r="AI91" t="b">
        <v>1</v>
      </c>
      <c r="AJ91" t="b">
        <v>0</v>
      </c>
      <c r="AK91" t="b">
        <v>0</v>
      </c>
    </row>
    <row r="92" spans="21:117" x14ac:dyDescent="0.35">
      <c r="U92" s="103"/>
      <c r="V92" t="s">
        <v>1592</v>
      </c>
      <c r="W92">
        <v>50721099</v>
      </c>
      <c r="X92" t="s">
        <v>1593</v>
      </c>
      <c r="Y92" t="b">
        <v>1</v>
      </c>
      <c r="Z92" t="b">
        <v>0</v>
      </c>
      <c r="AA92" t="b">
        <v>0</v>
      </c>
      <c r="AE92" s="103"/>
      <c r="AF92" t="s">
        <v>1592</v>
      </c>
      <c r="AG92">
        <v>50721099</v>
      </c>
      <c r="AH92" t="s">
        <v>1593</v>
      </c>
      <c r="AI92" t="b">
        <v>1</v>
      </c>
      <c r="AJ92" t="b">
        <v>0</v>
      </c>
      <c r="AK92" t="b">
        <v>0</v>
      </c>
    </row>
    <row r="93" spans="21:117" x14ac:dyDescent="0.35">
      <c r="U93" s="103"/>
      <c r="V93" t="s">
        <v>1594</v>
      </c>
      <c r="W93">
        <v>50721101</v>
      </c>
      <c r="X93" t="s">
        <v>1595</v>
      </c>
      <c r="Y93" t="b">
        <v>1</v>
      </c>
      <c r="Z93" t="b">
        <v>0</v>
      </c>
      <c r="AA93" t="b">
        <v>0</v>
      </c>
      <c r="AE93" s="103"/>
      <c r="AF93" t="s">
        <v>1594</v>
      </c>
      <c r="AG93">
        <v>50721101</v>
      </c>
      <c r="AH93" t="s">
        <v>1595</v>
      </c>
      <c r="AI93" t="b">
        <v>1</v>
      </c>
      <c r="AJ93" t="b">
        <v>0</v>
      </c>
      <c r="AK93" t="b">
        <v>0</v>
      </c>
    </row>
    <row r="94" spans="21:117" x14ac:dyDescent="0.35">
      <c r="U94" s="103"/>
      <c r="V94" t="s">
        <v>1596</v>
      </c>
      <c r="W94">
        <v>50721103</v>
      </c>
      <c r="X94" t="s">
        <v>1597</v>
      </c>
      <c r="Y94" t="b">
        <v>1</v>
      </c>
      <c r="Z94" t="b">
        <v>0</v>
      </c>
      <c r="AA94" t="b">
        <v>1</v>
      </c>
      <c r="AE94" s="103"/>
      <c r="AF94" t="s">
        <v>1596</v>
      </c>
      <c r="AG94">
        <v>50721103</v>
      </c>
      <c r="AH94" t="s">
        <v>1597</v>
      </c>
      <c r="AI94" t="b">
        <v>1</v>
      </c>
      <c r="AJ94" t="b">
        <v>0</v>
      </c>
      <c r="AK94" t="b">
        <v>1</v>
      </c>
    </row>
    <row r="95" spans="21:117" x14ac:dyDescent="0.35">
      <c r="U95" s="103"/>
      <c r="V95" t="s">
        <v>1598</v>
      </c>
      <c r="W95">
        <v>50821100</v>
      </c>
      <c r="X95" t="s">
        <v>1599</v>
      </c>
      <c r="Y95" t="b">
        <v>1</v>
      </c>
      <c r="Z95" t="b">
        <v>0</v>
      </c>
      <c r="AA95" t="b">
        <v>0</v>
      </c>
      <c r="AE95" s="103"/>
      <c r="AF95" t="s">
        <v>1598</v>
      </c>
      <c r="AG95">
        <v>50821100</v>
      </c>
      <c r="AH95" t="s">
        <v>1599</v>
      </c>
      <c r="AI95" t="b">
        <v>1</v>
      </c>
      <c r="AJ95" t="b">
        <v>0</v>
      </c>
      <c r="AK95" t="b">
        <v>0</v>
      </c>
    </row>
    <row r="96" spans="21:117" x14ac:dyDescent="0.35">
      <c r="U96" s="103"/>
      <c r="V96" t="s">
        <v>1600</v>
      </c>
      <c r="W96">
        <v>50821106</v>
      </c>
      <c r="X96" t="s">
        <v>1601</v>
      </c>
      <c r="Y96" t="b">
        <v>1</v>
      </c>
      <c r="Z96" t="b">
        <v>0</v>
      </c>
      <c r="AA96" t="b">
        <v>0</v>
      </c>
      <c r="AE96" s="103"/>
      <c r="AF96" t="s">
        <v>1600</v>
      </c>
      <c r="AG96">
        <v>50821106</v>
      </c>
      <c r="AH96" t="s">
        <v>1601</v>
      </c>
      <c r="AI96" t="b">
        <v>1</v>
      </c>
      <c r="AJ96" t="b">
        <v>0</v>
      </c>
      <c r="AK96" t="b">
        <v>0</v>
      </c>
    </row>
    <row r="97" spans="21:37" x14ac:dyDescent="0.35">
      <c r="U97" s="103"/>
      <c r="V97" t="s">
        <v>1602</v>
      </c>
      <c r="W97">
        <v>50821108</v>
      </c>
      <c r="X97" t="s">
        <v>1603</v>
      </c>
      <c r="Y97" t="b">
        <v>1</v>
      </c>
      <c r="Z97" t="b">
        <v>0</v>
      </c>
      <c r="AA97" t="b">
        <v>0</v>
      </c>
      <c r="AE97" s="103"/>
      <c r="AF97" t="s">
        <v>1602</v>
      </c>
      <c r="AG97">
        <v>50821108</v>
      </c>
      <c r="AH97" t="s">
        <v>1603</v>
      </c>
      <c r="AI97" t="b">
        <v>1</v>
      </c>
      <c r="AJ97" t="b">
        <v>0</v>
      </c>
      <c r="AK97" t="b">
        <v>0</v>
      </c>
    </row>
    <row r="98" spans="21:37" x14ac:dyDescent="0.35">
      <c r="U98" s="103"/>
      <c r="V98" t="s">
        <v>1604</v>
      </c>
      <c r="W98">
        <v>50821109</v>
      </c>
      <c r="X98" t="s">
        <v>1605</v>
      </c>
      <c r="Y98" t="b">
        <v>1</v>
      </c>
      <c r="Z98" t="b">
        <v>0</v>
      </c>
      <c r="AA98" t="b">
        <v>0</v>
      </c>
      <c r="AE98" s="103"/>
      <c r="AF98" t="s">
        <v>1604</v>
      </c>
      <c r="AG98">
        <v>50821109</v>
      </c>
      <c r="AH98" t="s">
        <v>1605</v>
      </c>
      <c r="AI98" t="b">
        <v>1</v>
      </c>
      <c r="AJ98" t="b">
        <v>0</v>
      </c>
      <c r="AK98" t="b">
        <v>0</v>
      </c>
    </row>
    <row r="99" spans="21:37" x14ac:dyDescent="0.35">
      <c r="U99" s="103"/>
      <c r="V99" t="s">
        <v>1606</v>
      </c>
      <c r="W99">
        <v>50821110</v>
      </c>
      <c r="X99" t="s">
        <v>1607</v>
      </c>
      <c r="Y99" t="b">
        <v>1</v>
      </c>
      <c r="Z99" t="b">
        <v>0</v>
      </c>
      <c r="AA99" t="b">
        <v>0</v>
      </c>
      <c r="AE99" s="103"/>
      <c r="AF99" t="s">
        <v>1606</v>
      </c>
      <c r="AG99">
        <v>50821110</v>
      </c>
      <c r="AH99" t="s">
        <v>1607</v>
      </c>
      <c r="AI99" t="b">
        <v>1</v>
      </c>
      <c r="AJ99" t="b">
        <v>0</v>
      </c>
      <c r="AK99" t="b">
        <v>0</v>
      </c>
    </row>
    <row r="100" spans="21:37" x14ac:dyDescent="0.35">
      <c r="U100" s="103"/>
      <c r="V100" t="s">
        <v>1608</v>
      </c>
      <c r="W100">
        <v>50821111</v>
      </c>
      <c r="X100" t="s">
        <v>1609</v>
      </c>
      <c r="Y100" t="b">
        <v>1</v>
      </c>
      <c r="Z100" t="b">
        <v>0</v>
      </c>
      <c r="AA100" t="b">
        <v>0</v>
      </c>
      <c r="AE100" s="103"/>
      <c r="AF100" t="s">
        <v>1608</v>
      </c>
      <c r="AG100">
        <v>50821111</v>
      </c>
      <c r="AH100" t="s">
        <v>1609</v>
      </c>
      <c r="AI100" t="b">
        <v>1</v>
      </c>
      <c r="AJ100" t="b">
        <v>0</v>
      </c>
      <c r="AK100" t="b">
        <v>0</v>
      </c>
    </row>
    <row r="101" spans="21:37" x14ac:dyDescent="0.35">
      <c r="U101" s="103"/>
      <c r="V101" t="s">
        <v>1610</v>
      </c>
      <c r="W101">
        <v>50821112</v>
      </c>
      <c r="X101" t="s">
        <v>1611</v>
      </c>
      <c r="Y101" t="b">
        <v>1</v>
      </c>
      <c r="Z101" t="b">
        <v>0</v>
      </c>
      <c r="AA101" t="b">
        <v>0</v>
      </c>
      <c r="AE101" s="103"/>
      <c r="AF101" t="s">
        <v>1610</v>
      </c>
      <c r="AG101">
        <v>50821112</v>
      </c>
      <c r="AH101" t="s">
        <v>1611</v>
      </c>
      <c r="AI101" t="b">
        <v>1</v>
      </c>
      <c r="AJ101" t="b">
        <v>0</v>
      </c>
      <c r="AK101" t="b">
        <v>0</v>
      </c>
    </row>
    <row r="102" spans="21:37" x14ac:dyDescent="0.35">
      <c r="U102" s="103"/>
      <c r="V102" t="s">
        <v>1612</v>
      </c>
      <c r="W102">
        <v>50821113</v>
      </c>
      <c r="X102" t="s">
        <v>1613</v>
      </c>
      <c r="Y102" t="b">
        <v>1</v>
      </c>
      <c r="Z102" t="b">
        <v>0</v>
      </c>
      <c r="AA102" t="b">
        <v>0</v>
      </c>
      <c r="AE102" s="103"/>
      <c r="AF102" t="s">
        <v>1612</v>
      </c>
      <c r="AG102">
        <v>50821113</v>
      </c>
      <c r="AH102" t="s">
        <v>1613</v>
      </c>
      <c r="AI102" t="b">
        <v>1</v>
      </c>
      <c r="AJ102" t="b">
        <v>0</v>
      </c>
      <c r="AK102" t="b">
        <v>0</v>
      </c>
    </row>
    <row r="103" spans="21:37" x14ac:dyDescent="0.35">
      <c r="U103" s="103"/>
      <c r="V103" t="s">
        <v>1614</v>
      </c>
      <c r="W103">
        <v>50821115</v>
      </c>
      <c r="X103" t="s">
        <v>1297</v>
      </c>
      <c r="Y103" t="b">
        <v>0</v>
      </c>
      <c r="Z103" t="b">
        <v>0</v>
      </c>
      <c r="AA103" t="b">
        <v>0</v>
      </c>
      <c r="AE103" s="103"/>
      <c r="AF103" t="s">
        <v>1614</v>
      </c>
      <c r="AG103">
        <v>50821115</v>
      </c>
      <c r="AH103" t="s">
        <v>1297</v>
      </c>
      <c r="AI103" t="b">
        <v>0</v>
      </c>
      <c r="AJ103" t="b">
        <v>0</v>
      </c>
      <c r="AK103" t="b">
        <v>0</v>
      </c>
    </row>
    <row r="104" spans="21:37" x14ac:dyDescent="0.35">
      <c r="U104" s="103"/>
      <c r="V104" t="s">
        <v>1615</v>
      </c>
      <c r="W104">
        <v>50821117</v>
      </c>
      <c r="X104" t="s">
        <v>1616</v>
      </c>
      <c r="Y104" t="b">
        <v>1</v>
      </c>
      <c r="Z104" t="b">
        <v>0</v>
      </c>
      <c r="AA104" t="b">
        <v>0</v>
      </c>
      <c r="AE104" s="103"/>
      <c r="AF104" t="s">
        <v>1615</v>
      </c>
      <c r="AG104">
        <v>50821117</v>
      </c>
      <c r="AH104" t="s">
        <v>1616</v>
      </c>
      <c r="AI104" t="b">
        <v>1</v>
      </c>
      <c r="AJ104" t="b">
        <v>0</v>
      </c>
      <c r="AK104" t="b">
        <v>0</v>
      </c>
    </row>
    <row r="105" spans="21:37" x14ac:dyDescent="0.35">
      <c r="U105" s="103"/>
      <c r="V105" t="s">
        <v>1617</v>
      </c>
      <c r="W105">
        <v>50821118</v>
      </c>
      <c r="X105" t="s">
        <v>1618</v>
      </c>
      <c r="Y105" t="b">
        <v>1</v>
      </c>
      <c r="Z105" t="b">
        <v>0</v>
      </c>
      <c r="AA105" t="b">
        <v>1</v>
      </c>
      <c r="AE105" s="103"/>
      <c r="AF105" t="s">
        <v>1617</v>
      </c>
      <c r="AG105">
        <v>50821118</v>
      </c>
      <c r="AH105" t="s">
        <v>1618</v>
      </c>
      <c r="AI105" t="b">
        <v>1</v>
      </c>
      <c r="AJ105" t="b">
        <v>0</v>
      </c>
      <c r="AK105" t="b">
        <v>1</v>
      </c>
    </row>
    <row r="106" spans="21:37" x14ac:dyDescent="0.35">
      <c r="U106" s="103"/>
      <c r="V106" t="s">
        <v>1619</v>
      </c>
      <c r="W106">
        <v>50921121</v>
      </c>
      <c r="X106" t="s">
        <v>1316</v>
      </c>
      <c r="Y106" t="b">
        <v>1</v>
      </c>
      <c r="Z106" t="b">
        <v>0</v>
      </c>
      <c r="AA106" t="b">
        <v>0</v>
      </c>
      <c r="AE106" s="103"/>
      <c r="AF106" t="s">
        <v>1619</v>
      </c>
      <c r="AG106">
        <v>50921121</v>
      </c>
      <c r="AH106" t="s">
        <v>1316</v>
      </c>
      <c r="AI106" t="b">
        <v>1</v>
      </c>
      <c r="AJ106" t="b">
        <v>0</v>
      </c>
      <c r="AK106" t="b">
        <v>0</v>
      </c>
    </row>
    <row r="107" spans="21:37" x14ac:dyDescent="0.35">
      <c r="U107" s="103"/>
      <c r="V107" t="s">
        <v>1620</v>
      </c>
      <c r="W107">
        <v>50921123</v>
      </c>
      <c r="X107" t="s">
        <v>1621</v>
      </c>
      <c r="Y107" t="b">
        <v>1</v>
      </c>
      <c r="Z107" t="b">
        <v>0</v>
      </c>
      <c r="AA107" t="b">
        <v>0</v>
      </c>
      <c r="AE107" s="103"/>
      <c r="AF107" t="s">
        <v>1620</v>
      </c>
      <c r="AG107">
        <v>50921123</v>
      </c>
      <c r="AH107" t="s">
        <v>1621</v>
      </c>
      <c r="AI107" t="b">
        <v>1</v>
      </c>
      <c r="AJ107" t="b">
        <v>0</v>
      </c>
      <c r="AK107" t="b">
        <v>0</v>
      </c>
    </row>
    <row r="108" spans="21:37" x14ac:dyDescent="0.35">
      <c r="U108" s="103"/>
      <c r="V108" t="s">
        <v>1622</v>
      </c>
      <c r="W108">
        <v>50921124</v>
      </c>
      <c r="X108" t="s">
        <v>1623</v>
      </c>
      <c r="Y108" t="b">
        <v>0</v>
      </c>
      <c r="Z108" t="b">
        <v>0</v>
      </c>
      <c r="AA108" t="b">
        <v>0</v>
      </c>
      <c r="AE108" s="103"/>
      <c r="AF108" t="s">
        <v>1622</v>
      </c>
      <c r="AG108">
        <v>50921124</v>
      </c>
      <c r="AH108" t="s">
        <v>1623</v>
      </c>
      <c r="AI108" t="b">
        <v>0</v>
      </c>
      <c r="AJ108" t="b">
        <v>0</v>
      </c>
      <c r="AK108" t="b">
        <v>0</v>
      </c>
    </row>
    <row r="109" spans="21:37" x14ac:dyDescent="0.35">
      <c r="U109" s="103"/>
      <c r="V109" t="s">
        <v>1624</v>
      </c>
      <c r="W109">
        <v>50921125</v>
      </c>
      <c r="X109" t="s">
        <v>1625</v>
      </c>
      <c r="Y109" t="b">
        <v>0</v>
      </c>
      <c r="Z109" t="b">
        <v>0</v>
      </c>
      <c r="AA109" t="b">
        <v>0</v>
      </c>
      <c r="AE109" s="103"/>
      <c r="AF109" t="s">
        <v>1624</v>
      </c>
      <c r="AG109">
        <v>50921125</v>
      </c>
      <c r="AH109" t="s">
        <v>1625</v>
      </c>
      <c r="AI109" t="b">
        <v>0</v>
      </c>
      <c r="AJ109" t="b">
        <v>0</v>
      </c>
      <c r="AK109" t="b">
        <v>0</v>
      </c>
    </row>
    <row r="110" spans="21:37" x14ac:dyDescent="0.35">
      <c r="U110" s="103"/>
      <c r="V110" t="s">
        <v>1626</v>
      </c>
      <c r="W110">
        <v>50921126</v>
      </c>
      <c r="X110" t="s">
        <v>1627</v>
      </c>
      <c r="Y110" t="b">
        <v>1</v>
      </c>
      <c r="Z110" t="b">
        <v>0</v>
      </c>
      <c r="AA110" t="b">
        <v>0</v>
      </c>
      <c r="AE110" s="103"/>
      <c r="AF110" t="s">
        <v>1626</v>
      </c>
      <c r="AG110">
        <v>50921126</v>
      </c>
      <c r="AH110" t="s">
        <v>1627</v>
      </c>
      <c r="AI110" t="b">
        <v>1</v>
      </c>
      <c r="AJ110" t="b">
        <v>0</v>
      </c>
      <c r="AK110" t="b">
        <v>0</v>
      </c>
    </row>
    <row r="111" spans="21:37" x14ac:dyDescent="0.35">
      <c r="U111" s="103"/>
      <c r="V111" t="s">
        <v>1628</v>
      </c>
      <c r="W111">
        <v>50921136</v>
      </c>
      <c r="X111" t="s">
        <v>1629</v>
      </c>
      <c r="Y111" t="b">
        <v>1</v>
      </c>
      <c r="Z111" t="b">
        <v>0</v>
      </c>
      <c r="AA111" t="b">
        <v>0</v>
      </c>
      <c r="AE111" s="103"/>
      <c r="AF111" t="s">
        <v>1628</v>
      </c>
      <c r="AG111">
        <v>50921136</v>
      </c>
      <c r="AH111" t="s">
        <v>1629</v>
      </c>
      <c r="AI111" t="b">
        <v>1</v>
      </c>
      <c r="AJ111" t="b">
        <v>0</v>
      </c>
      <c r="AK111" t="b">
        <v>0</v>
      </c>
    </row>
    <row r="112" spans="21:37" x14ac:dyDescent="0.35">
      <c r="U112" s="103"/>
      <c r="V112" t="s">
        <v>1630</v>
      </c>
      <c r="W112">
        <v>51020006</v>
      </c>
      <c r="X112" t="s">
        <v>1631</v>
      </c>
      <c r="Y112" t="b">
        <v>1</v>
      </c>
      <c r="Z112" t="b">
        <v>0</v>
      </c>
      <c r="AA112" t="b">
        <v>0</v>
      </c>
      <c r="AE112" s="103"/>
      <c r="AF112" t="s">
        <v>1630</v>
      </c>
      <c r="AG112">
        <v>51020006</v>
      </c>
      <c r="AH112" t="s">
        <v>1631</v>
      </c>
      <c r="AI112" t="b">
        <v>1</v>
      </c>
      <c r="AJ112" t="b">
        <v>0</v>
      </c>
      <c r="AK112" t="b">
        <v>0</v>
      </c>
    </row>
    <row r="113" spans="21:37" x14ac:dyDescent="0.35">
      <c r="U113" s="103"/>
      <c r="V113" t="s">
        <v>1632</v>
      </c>
      <c r="W113">
        <v>51020007</v>
      </c>
      <c r="X113" t="s">
        <v>1274</v>
      </c>
      <c r="Y113" t="b">
        <v>1</v>
      </c>
      <c r="Z113" t="b">
        <v>0</v>
      </c>
      <c r="AA113" t="b">
        <v>1</v>
      </c>
      <c r="AE113" s="103"/>
      <c r="AF113" t="s">
        <v>1632</v>
      </c>
      <c r="AG113">
        <v>51020007</v>
      </c>
      <c r="AH113" t="s">
        <v>1274</v>
      </c>
      <c r="AI113" t="b">
        <v>1</v>
      </c>
      <c r="AJ113" t="b">
        <v>0</v>
      </c>
      <c r="AK113" t="b">
        <v>1</v>
      </c>
    </row>
    <row r="114" spans="21:37" x14ac:dyDescent="0.35">
      <c r="U114" s="103"/>
      <c r="V114" s="152" t="s">
        <v>1633</v>
      </c>
      <c r="W114">
        <v>51020008</v>
      </c>
      <c r="X114" t="s">
        <v>1634</v>
      </c>
      <c r="Y114" t="b">
        <v>1</v>
      </c>
      <c r="Z114" t="b">
        <v>0</v>
      </c>
      <c r="AA114" t="b">
        <v>0</v>
      </c>
      <c r="AE114" s="103"/>
      <c r="AF114" s="152" t="s">
        <v>1633</v>
      </c>
      <c r="AG114">
        <v>51020008</v>
      </c>
      <c r="AH114" t="s">
        <v>1634</v>
      </c>
      <c r="AI114" t="b">
        <v>1</v>
      </c>
      <c r="AJ114" t="b">
        <v>0</v>
      </c>
      <c r="AK114" t="b">
        <v>0</v>
      </c>
    </row>
    <row r="115" spans="21:37" x14ac:dyDescent="0.35">
      <c r="U115" s="103"/>
      <c r="V115" s="152" t="s">
        <v>1635</v>
      </c>
      <c r="W115">
        <v>51021140</v>
      </c>
      <c r="X115" t="s">
        <v>1636</v>
      </c>
      <c r="Y115" t="b">
        <v>1</v>
      </c>
      <c r="Z115" t="b">
        <v>0</v>
      </c>
      <c r="AA115" t="b">
        <v>0</v>
      </c>
      <c r="AE115" s="103"/>
      <c r="AF115" s="152" t="s">
        <v>1635</v>
      </c>
      <c r="AG115">
        <v>51021140</v>
      </c>
      <c r="AH115" t="s">
        <v>1636</v>
      </c>
      <c r="AI115" t="b">
        <v>1</v>
      </c>
      <c r="AJ115" t="b">
        <v>0</v>
      </c>
      <c r="AK115" t="b">
        <v>0</v>
      </c>
    </row>
    <row r="116" spans="21:37" x14ac:dyDescent="0.35">
      <c r="U116" s="103"/>
      <c r="V116" t="s">
        <v>1637</v>
      </c>
      <c r="W116">
        <v>51120011</v>
      </c>
      <c r="X116" t="s">
        <v>1638</v>
      </c>
      <c r="Y116" t="b">
        <v>1</v>
      </c>
      <c r="Z116" t="b">
        <v>0</v>
      </c>
      <c r="AA116" t="b">
        <v>0</v>
      </c>
      <c r="AE116" s="103"/>
      <c r="AF116" t="s">
        <v>1637</v>
      </c>
      <c r="AG116">
        <v>51120011</v>
      </c>
      <c r="AH116" t="s">
        <v>1638</v>
      </c>
      <c r="AI116" t="b">
        <v>1</v>
      </c>
      <c r="AJ116" t="b">
        <v>0</v>
      </c>
      <c r="AK116" t="b">
        <v>0</v>
      </c>
    </row>
    <row r="117" spans="21:37" x14ac:dyDescent="0.35">
      <c r="U117" s="103"/>
      <c r="V117" t="s">
        <v>1639</v>
      </c>
      <c r="W117">
        <v>1910720229</v>
      </c>
      <c r="X117" t="s">
        <v>1640</v>
      </c>
      <c r="Y117" t="b">
        <v>1</v>
      </c>
      <c r="Z117" t="b">
        <v>0</v>
      </c>
      <c r="AA117" t="b">
        <v>0</v>
      </c>
      <c r="AE117" s="103"/>
      <c r="AF117" t="s">
        <v>1639</v>
      </c>
      <c r="AG117">
        <v>1910720229</v>
      </c>
      <c r="AH117" t="s">
        <v>1640</v>
      </c>
      <c r="AI117" t="b">
        <v>1</v>
      </c>
      <c r="AJ117" t="b">
        <v>0</v>
      </c>
      <c r="AK117" t="b">
        <v>0</v>
      </c>
    </row>
    <row r="118" spans="21:37" x14ac:dyDescent="0.35">
      <c r="U118" s="103"/>
      <c r="V118" t="s">
        <v>1641</v>
      </c>
      <c r="W118">
        <v>1911820232</v>
      </c>
      <c r="X118" t="s">
        <v>1642</v>
      </c>
      <c r="Y118" t="b">
        <v>1</v>
      </c>
      <c r="Z118" t="b">
        <v>0</v>
      </c>
      <c r="AA118" t="b">
        <v>1</v>
      </c>
      <c r="AE118" s="103"/>
      <c r="AF118" t="s">
        <v>1641</v>
      </c>
      <c r="AG118">
        <v>1911820232</v>
      </c>
      <c r="AH118" t="s">
        <v>1642</v>
      </c>
      <c r="AI118" t="b">
        <v>1</v>
      </c>
      <c r="AJ118" t="b">
        <v>0</v>
      </c>
      <c r="AK118" t="b">
        <v>1</v>
      </c>
    </row>
    <row r="119" spans="21:37" x14ac:dyDescent="0.35">
      <c r="U119" s="103"/>
      <c r="V119" t="s">
        <v>1643</v>
      </c>
      <c r="W119">
        <v>2105950309</v>
      </c>
      <c r="X119" t="s">
        <v>1644</v>
      </c>
      <c r="Y119" t="b">
        <v>1</v>
      </c>
      <c r="Z119" t="b">
        <v>0</v>
      </c>
      <c r="AA119" t="b">
        <v>0</v>
      </c>
      <c r="AE119" s="103"/>
      <c r="AF119" t="s">
        <v>1643</v>
      </c>
      <c r="AG119">
        <v>2105950309</v>
      </c>
      <c r="AH119" t="s">
        <v>1644</v>
      </c>
      <c r="AI119" t="b">
        <v>1</v>
      </c>
      <c r="AJ119" t="b">
        <v>0</v>
      </c>
      <c r="AK119" t="b">
        <v>0</v>
      </c>
    </row>
  </sheetData>
  <pageMargins left="0.7" right="0.7" top="0.75" bottom="0.75" header="0.3" footer="0.3"/>
  <tableParts count="1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C1:EM25"/>
  <sheetViews>
    <sheetView showGridLines="0" tabSelected="1" topLeftCell="C1" zoomScale="130" zoomScaleNormal="130" workbookViewId="0">
      <pane xSplit="6" ySplit="13" topLeftCell="I14" activePane="bottomRight" state="frozen"/>
      <selection activeCell="C7" sqref="C7"/>
      <selection pane="topRight" activeCell="I7" sqref="I7"/>
      <selection pane="bottomLeft" activeCell="C14" sqref="C14"/>
      <selection pane="bottomRight" activeCell="G30" sqref="G30"/>
    </sheetView>
  </sheetViews>
  <sheetFormatPr defaultColWidth="8.81640625" defaultRowHeight="6.5" outlineLevelCol="1" x14ac:dyDescent="0.15"/>
  <cols>
    <col min="1" max="2" width="6.1796875" style="3" customWidth="1"/>
    <col min="3" max="3" width="13.81640625" style="3" hidden="1" customWidth="1" outlineLevel="1"/>
    <col min="4" max="4" width="8.81640625" style="3" hidden="1" customWidth="1" outlineLevel="1"/>
    <col min="5" max="5" width="8.81640625" style="128" collapsed="1"/>
    <col min="6" max="6" width="12.26953125" style="128" customWidth="1"/>
    <col min="7" max="7" width="18.1796875" style="3" customWidth="1"/>
    <col min="8" max="8" width="7.26953125" style="4" bestFit="1" customWidth="1"/>
    <col min="9" max="10" width="6.26953125" style="3" customWidth="1"/>
    <col min="11" max="17" width="3.7265625" style="3" hidden="1" customWidth="1" outlineLevel="1"/>
    <col min="18" max="18" width="3.7265625" style="3" customWidth="1" collapsed="1"/>
    <col min="19" max="20" width="3.7265625" style="3" hidden="1" customWidth="1" outlineLevel="1"/>
    <col min="21" max="21" width="3.7265625" style="3" customWidth="1" collapsed="1"/>
    <col min="22" max="23" width="3.7265625" style="3" hidden="1" customWidth="1" outlineLevel="1"/>
    <col min="24" max="24" width="3.7265625" style="3" customWidth="1" collapsed="1"/>
    <col min="25" max="27" width="3.7265625" style="3" hidden="1" customWidth="1" outlineLevel="1"/>
    <col min="28" max="28" width="3.7265625" style="3" customWidth="1" collapsed="1"/>
    <col min="29" max="29" width="11.453125" style="3" hidden="1" customWidth="1" outlineLevel="1"/>
    <col min="30" max="30" width="9.7265625" style="3" hidden="1" customWidth="1" outlineLevel="1"/>
    <col min="31" max="33" width="4" style="3" hidden="1" customWidth="1" outlineLevel="1"/>
    <col min="34" max="34" width="7.81640625" style="3" hidden="1" customWidth="1" outlineLevel="1"/>
    <col min="35" max="36" width="9.7265625" style="3" hidden="1" customWidth="1" outlineLevel="1"/>
    <col min="37" max="37" width="3.7265625" style="3" customWidth="1" collapsed="1"/>
    <col min="38" max="51" width="3.7265625" style="3" customWidth="1" outlineLevel="1"/>
    <col min="52" max="52" width="5" style="3" customWidth="1" outlineLevel="1"/>
    <col min="53" max="56" width="3.7265625" style="3" customWidth="1" outlineLevel="1"/>
    <col min="57" max="57" width="5" style="3" customWidth="1" outlineLevel="1"/>
    <col min="58" max="64" width="3.7265625" style="3" customWidth="1" outlineLevel="1"/>
    <col min="65" max="65" width="5.26953125" style="3" customWidth="1" outlineLevel="1"/>
    <col min="66" max="88" width="3.7265625" style="3" customWidth="1" outlineLevel="1"/>
    <col min="89" max="89" width="5.1796875" style="3" customWidth="1" outlineLevel="1"/>
    <col min="90" max="92" width="3.7265625" style="3" customWidth="1" outlineLevel="1"/>
    <col min="93" max="93" width="3.7265625" style="3" customWidth="1"/>
    <col min="94" max="94" width="13.7265625" style="3" customWidth="1" outlineLevel="1"/>
    <col min="95" max="95" width="10.81640625" style="3" customWidth="1" outlineLevel="1"/>
    <col min="96" max="96" width="8.81640625" style="3" customWidth="1" outlineLevel="1"/>
    <col min="97" max="97" width="17.81640625" style="3" customWidth="1" outlineLevel="1"/>
    <col min="98" max="104" width="8.81640625" style="3" customWidth="1" outlineLevel="1"/>
    <col min="105" max="105" width="4.26953125" style="3" customWidth="1"/>
    <col min="106" max="106" width="11.7265625" style="3" customWidth="1" outlineLevel="1"/>
    <col min="107" max="107" width="11.26953125" style="3" customWidth="1" outlineLevel="1"/>
    <col min="108" max="108" width="8.81640625" style="3" customWidth="1" outlineLevel="1"/>
    <col min="109" max="109" width="12.1796875" style="3" customWidth="1" outlineLevel="1"/>
    <col min="110" max="116" width="8.81640625" style="3" customWidth="1" outlineLevel="1"/>
    <col min="117" max="117" width="3.7265625" style="3" customWidth="1"/>
    <col min="118" max="135" width="3.7265625" style="3" customWidth="1" outlineLevel="1"/>
    <col min="136" max="136" width="4.7265625" style="3" customWidth="1" outlineLevel="1"/>
    <col min="137" max="140" width="3.7265625" style="3" customWidth="1" outlineLevel="1"/>
    <col min="141" max="141" width="3.7265625" style="3" customWidth="1"/>
    <col min="142" max="142" width="5.7265625" style="3" customWidth="1" outlineLevel="1"/>
    <col min="143" max="143" width="3.7265625" style="3" customWidth="1"/>
    <col min="144" max="16384" width="8.81640625" style="3"/>
  </cols>
  <sheetData>
    <row r="1" spans="3:143" hidden="1" x14ac:dyDescent="0.15">
      <c r="I1" s="262" t="s">
        <v>9</v>
      </c>
      <c r="J1" s="263"/>
      <c r="K1" s="270" t="s">
        <v>19</v>
      </c>
      <c r="L1" s="270" t="s">
        <v>30</v>
      </c>
      <c r="M1" s="270" t="s">
        <v>558</v>
      </c>
      <c r="N1" s="270" t="s">
        <v>17</v>
      </c>
      <c r="O1" s="270" t="s">
        <v>18</v>
      </c>
      <c r="P1" s="270" t="s">
        <v>20</v>
      </c>
      <c r="Q1" s="242" t="s">
        <v>146</v>
      </c>
      <c r="R1" s="245" t="s">
        <v>93</v>
      </c>
      <c r="S1" s="242" t="s">
        <v>80</v>
      </c>
      <c r="T1" s="242" t="s">
        <v>82</v>
      </c>
      <c r="U1" s="245" t="s">
        <v>97</v>
      </c>
      <c r="V1" s="242" t="s">
        <v>81</v>
      </c>
      <c r="W1" s="242" t="s">
        <v>83</v>
      </c>
      <c r="X1" s="245" t="s">
        <v>98</v>
      </c>
      <c r="Y1" s="242" t="s">
        <v>90</v>
      </c>
      <c r="Z1" s="242" t="s">
        <v>91</v>
      </c>
      <c r="AA1" s="242" t="s">
        <v>92</v>
      </c>
      <c r="AB1" s="245" t="s">
        <v>94</v>
      </c>
      <c r="AC1" s="249" t="s">
        <v>131</v>
      </c>
      <c r="AD1" s="249" t="s">
        <v>99</v>
      </c>
      <c r="AE1" s="249" t="s">
        <v>100</v>
      </c>
      <c r="AF1" s="249" t="s">
        <v>101</v>
      </c>
      <c r="AG1" s="249" t="s">
        <v>102</v>
      </c>
      <c r="AH1" s="110"/>
      <c r="AI1" s="249" t="s">
        <v>132</v>
      </c>
      <c r="AJ1" s="249" t="s">
        <v>104</v>
      </c>
      <c r="AK1" s="216" t="s">
        <v>130</v>
      </c>
      <c r="AL1" s="255" t="s">
        <v>19</v>
      </c>
      <c r="AM1" s="255" t="s">
        <v>30</v>
      </c>
      <c r="AN1" s="248" t="s">
        <v>15</v>
      </c>
      <c r="AO1" s="248" t="s">
        <v>16</v>
      </c>
      <c r="AP1" s="248" t="s">
        <v>133</v>
      </c>
      <c r="AQ1" s="248" t="s">
        <v>134</v>
      </c>
      <c r="AR1" s="248" t="s">
        <v>143</v>
      </c>
      <c r="AS1" s="248" t="s">
        <v>136</v>
      </c>
      <c r="AT1" s="248" t="s">
        <v>137</v>
      </c>
      <c r="AU1" s="248" t="s">
        <v>138</v>
      </c>
      <c r="AV1" s="248" t="s">
        <v>139</v>
      </c>
      <c r="AW1" s="248" t="s">
        <v>140</v>
      </c>
      <c r="AX1" s="248" t="s">
        <v>141</v>
      </c>
      <c r="AY1" s="248" t="s">
        <v>142</v>
      </c>
      <c r="AZ1" s="248" t="s">
        <v>144</v>
      </c>
      <c r="BA1" s="248" t="s">
        <v>145</v>
      </c>
      <c r="BB1" s="248" t="s">
        <v>147</v>
      </c>
      <c r="BC1" s="248" t="s">
        <v>557</v>
      </c>
      <c r="BD1" s="231" t="s">
        <v>152</v>
      </c>
      <c r="BE1" s="231" t="s">
        <v>166</v>
      </c>
      <c r="BF1" s="231" t="s">
        <v>1165</v>
      </c>
      <c r="BG1" s="231" t="s">
        <v>158</v>
      </c>
      <c r="BH1" s="231" t="s">
        <v>1166</v>
      </c>
      <c r="BI1" s="231" t="s">
        <v>1167</v>
      </c>
      <c r="BJ1" s="231" t="s">
        <v>160</v>
      </c>
      <c r="BK1" s="231" t="s">
        <v>156</v>
      </c>
      <c r="BL1" s="231" t="s">
        <v>157</v>
      </c>
      <c r="BM1" s="231" t="s">
        <v>1168</v>
      </c>
      <c r="BN1" s="231" t="s">
        <v>1169</v>
      </c>
      <c r="BO1" s="231" t="s">
        <v>969</v>
      </c>
      <c r="BP1" s="231" t="s">
        <v>164</v>
      </c>
      <c r="BQ1" s="231" t="s">
        <v>167</v>
      </c>
      <c r="BR1" s="231" t="s">
        <v>1170</v>
      </c>
      <c r="BS1" s="231" t="s">
        <v>165</v>
      </c>
      <c r="BT1" s="114"/>
      <c r="BU1" s="114"/>
      <c r="BV1" s="114"/>
      <c r="BW1" s="114"/>
      <c r="BX1" s="184"/>
      <c r="BY1" s="184"/>
      <c r="BZ1" s="184"/>
      <c r="CA1" s="184"/>
      <c r="CB1" s="184"/>
      <c r="CC1" s="184"/>
      <c r="CD1" s="184"/>
      <c r="CE1" s="241" t="s">
        <v>197</v>
      </c>
      <c r="CF1" s="241" t="s">
        <v>198</v>
      </c>
      <c r="CG1" s="241" t="s">
        <v>199</v>
      </c>
      <c r="CH1" s="241" t="s">
        <v>200</v>
      </c>
      <c r="CI1" s="241" t="s">
        <v>201</v>
      </c>
      <c r="CJ1" s="235" t="s">
        <v>187</v>
      </c>
      <c r="CK1" s="235" t="s">
        <v>188</v>
      </c>
      <c r="CL1" s="235" t="s">
        <v>189</v>
      </c>
      <c r="CM1" s="235" t="s">
        <v>190</v>
      </c>
      <c r="CN1" s="235" t="s">
        <v>191</v>
      </c>
      <c r="CO1" s="216" t="s">
        <v>93</v>
      </c>
      <c r="CP1" s="215" t="s">
        <v>69</v>
      </c>
      <c r="CQ1" s="215" t="s">
        <v>70</v>
      </c>
      <c r="CR1" s="234" t="s">
        <v>33</v>
      </c>
      <c r="CS1" s="234" t="s">
        <v>34</v>
      </c>
      <c r="CT1" s="234" t="s">
        <v>35</v>
      </c>
      <c r="CU1" s="234" t="s">
        <v>974</v>
      </c>
      <c r="CV1" s="234" t="s">
        <v>36</v>
      </c>
      <c r="CW1" s="234" t="s">
        <v>975</v>
      </c>
      <c r="CX1" s="234" t="s">
        <v>37</v>
      </c>
      <c r="CY1" s="234" t="s">
        <v>38</v>
      </c>
      <c r="CZ1" s="234" t="s">
        <v>39</v>
      </c>
      <c r="DA1" s="216" t="s">
        <v>97</v>
      </c>
      <c r="DB1" s="215" t="s">
        <v>862</v>
      </c>
      <c r="DC1" s="215" t="s">
        <v>863</v>
      </c>
      <c r="DD1" s="214" t="s">
        <v>580</v>
      </c>
      <c r="DE1" s="214" t="s">
        <v>1134</v>
      </c>
      <c r="DF1" s="214" t="s">
        <v>41</v>
      </c>
      <c r="DG1" s="214" t="s">
        <v>46</v>
      </c>
      <c r="DH1" s="214" t="s">
        <v>42</v>
      </c>
      <c r="DI1" s="214" t="s">
        <v>43</v>
      </c>
      <c r="DJ1" s="214" t="s">
        <v>44</v>
      </c>
      <c r="DK1" s="214" t="s">
        <v>45</v>
      </c>
      <c r="DL1" s="214" t="s">
        <v>842</v>
      </c>
      <c r="DM1" s="216" t="s">
        <v>98</v>
      </c>
      <c r="DN1" s="213" t="s">
        <v>109</v>
      </c>
      <c r="DO1" s="213" t="s">
        <v>110</v>
      </c>
      <c r="DP1" s="213" t="s">
        <v>111</v>
      </c>
      <c r="DQ1" s="213" t="s">
        <v>112</v>
      </c>
      <c r="DR1" s="213" t="s">
        <v>113</v>
      </c>
      <c r="DS1" s="213" t="s">
        <v>114</v>
      </c>
      <c r="DT1" s="213" t="s">
        <v>115</v>
      </c>
      <c r="DU1" s="213" t="s">
        <v>116</v>
      </c>
      <c r="DV1" s="213" t="s">
        <v>117</v>
      </c>
      <c r="DW1" s="213" t="s">
        <v>118</v>
      </c>
      <c r="DX1" s="213" t="s">
        <v>119</v>
      </c>
      <c r="DY1" s="213" t="s">
        <v>120</v>
      </c>
      <c r="DZ1" s="213" t="s">
        <v>121</v>
      </c>
      <c r="EA1" s="213" t="s">
        <v>122</v>
      </c>
      <c r="EB1" s="213" t="s">
        <v>123</v>
      </c>
      <c r="EC1" s="213" t="s">
        <v>124</v>
      </c>
      <c r="ED1" s="213" t="s">
        <v>125</v>
      </c>
      <c r="EE1" s="213" t="s">
        <v>126</v>
      </c>
      <c r="EF1" s="213" t="s">
        <v>127</v>
      </c>
      <c r="EG1" s="213" t="s">
        <v>128</v>
      </c>
      <c r="EH1" s="213" t="s">
        <v>129</v>
      </c>
      <c r="EI1" s="116"/>
      <c r="EJ1" s="116"/>
      <c r="EK1" s="216" t="s">
        <v>94</v>
      </c>
      <c r="EL1" s="221" t="s">
        <v>555</v>
      </c>
      <c r="EM1" s="216" t="s">
        <v>556</v>
      </c>
    </row>
    <row r="2" spans="3:143" hidden="1" x14ac:dyDescent="0.15">
      <c r="I2" s="264"/>
      <c r="J2" s="265"/>
      <c r="K2" s="270"/>
      <c r="L2" s="270"/>
      <c r="M2" s="270"/>
      <c r="N2" s="270"/>
      <c r="O2" s="270"/>
      <c r="P2" s="270"/>
      <c r="Q2" s="243"/>
      <c r="R2" s="246"/>
      <c r="S2" s="243"/>
      <c r="T2" s="243"/>
      <c r="U2" s="246"/>
      <c r="V2" s="243"/>
      <c r="W2" s="243"/>
      <c r="X2" s="246"/>
      <c r="Y2" s="243"/>
      <c r="Z2" s="243"/>
      <c r="AA2" s="243"/>
      <c r="AB2" s="246"/>
      <c r="AC2" s="250"/>
      <c r="AD2" s="250"/>
      <c r="AE2" s="250"/>
      <c r="AF2" s="250"/>
      <c r="AG2" s="250"/>
      <c r="AH2" s="111"/>
      <c r="AI2" s="250"/>
      <c r="AJ2" s="250"/>
      <c r="AK2" s="217"/>
      <c r="AL2" s="255"/>
      <c r="AM2" s="255"/>
      <c r="AN2" s="248"/>
      <c r="AO2" s="248"/>
      <c r="AP2" s="248"/>
      <c r="AQ2" s="248"/>
      <c r="AR2" s="248"/>
      <c r="AS2" s="248"/>
      <c r="AT2" s="248"/>
      <c r="AU2" s="248"/>
      <c r="AV2" s="248"/>
      <c r="AW2" s="248"/>
      <c r="AX2" s="248"/>
      <c r="AY2" s="248"/>
      <c r="AZ2" s="248"/>
      <c r="BA2" s="248"/>
      <c r="BB2" s="248"/>
      <c r="BC2" s="248"/>
      <c r="BD2" s="232"/>
      <c r="BE2" s="232"/>
      <c r="BF2" s="232"/>
      <c r="BG2" s="232"/>
      <c r="BH2" s="232"/>
      <c r="BI2" s="232"/>
      <c r="BJ2" s="232"/>
      <c r="BK2" s="232"/>
      <c r="BL2" s="232"/>
      <c r="BM2" s="232"/>
      <c r="BN2" s="232"/>
      <c r="BO2" s="232"/>
      <c r="BP2" s="232"/>
      <c r="BQ2" s="232"/>
      <c r="BR2" s="232"/>
      <c r="BS2" s="232"/>
      <c r="BT2" s="114"/>
      <c r="BU2" s="114"/>
      <c r="BV2" s="114"/>
      <c r="BW2" s="114"/>
      <c r="BX2" s="184"/>
      <c r="BY2" s="184"/>
      <c r="BZ2" s="184"/>
      <c r="CA2" s="184"/>
      <c r="CB2" s="184"/>
      <c r="CC2" s="184"/>
      <c r="CD2" s="184"/>
      <c r="CE2" s="241"/>
      <c r="CF2" s="241"/>
      <c r="CG2" s="241"/>
      <c r="CH2" s="241"/>
      <c r="CI2" s="241"/>
      <c r="CJ2" s="236"/>
      <c r="CK2" s="236"/>
      <c r="CL2" s="236"/>
      <c r="CM2" s="236"/>
      <c r="CN2" s="236"/>
      <c r="CO2" s="217"/>
      <c r="CP2" s="215"/>
      <c r="CQ2" s="215"/>
      <c r="CR2" s="234"/>
      <c r="CS2" s="234"/>
      <c r="CT2" s="234"/>
      <c r="CU2" s="234"/>
      <c r="CV2" s="234"/>
      <c r="CW2" s="234"/>
      <c r="CX2" s="234"/>
      <c r="CY2" s="234"/>
      <c r="CZ2" s="234"/>
      <c r="DA2" s="217"/>
      <c r="DB2" s="215"/>
      <c r="DC2" s="215"/>
      <c r="DD2" s="214"/>
      <c r="DE2" s="214"/>
      <c r="DF2" s="214"/>
      <c r="DG2" s="214"/>
      <c r="DH2" s="214"/>
      <c r="DI2" s="214"/>
      <c r="DJ2" s="214"/>
      <c r="DK2" s="214"/>
      <c r="DL2" s="214"/>
      <c r="DM2" s="217"/>
      <c r="DN2" s="213"/>
      <c r="DO2" s="213"/>
      <c r="DP2" s="213"/>
      <c r="DQ2" s="213"/>
      <c r="DR2" s="213"/>
      <c r="DS2" s="213"/>
      <c r="DT2" s="213"/>
      <c r="DU2" s="213"/>
      <c r="DV2" s="213"/>
      <c r="DW2" s="213"/>
      <c r="DX2" s="213"/>
      <c r="DY2" s="213"/>
      <c r="DZ2" s="213"/>
      <c r="EA2" s="213"/>
      <c r="EB2" s="213"/>
      <c r="EC2" s="213"/>
      <c r="ED2" s="213"/>
      <c r="EE2" s="213"/>
      <c r="EF2" s="213"/>
      <c r="EG2" s="213"/>
      <c r="EH2" s="213"/>
      <c r="EI2" s="117"/>
      <c r="EJ2" s="117"/>
      <c r="EK2" s="217"/>
      <c r="EL2" s="222"/>
      <c r="EM2" s="217"/>
    </row>
    <row r="3" spans="3:143" hidden="1" x14ac:dyDescent="0.15">
      <c r="I3" s="264"/>
      <c r="J3" s="265"/>
      <c r="K3" s="270"/>
      <c r="L3" s="270"/>
      <c r="M3" s="270"/>
      <c r="N3" s="270"/>
      <c r="O3" s="270"/>
      <c r="P3" s="270"/>
      <c r="Q3" s="243"/>
      <c r="R3" s="246"/>
      <c r="S3" s="243"/>
      <c r="T3" s="243"/>
      <c r="U3" s="246"/>
      <c r="V3" s="243"/>
      <c r="W3" s="243"/>
      <c r="X3" s="246"/>
      <c r="Y3" s="243"/>
      <c r="Z3" s="243"/>
      <c r="AA3" s="243"/>
      <c r="AB3" s="246"/>
      <c r="AC3" s="250"/>
      <c r="AD3" s="250"/>
      <c r="AE3" s="250"/>
      <c r="AF3" s="250"/>
      <c r="AG3" s="250"/>
      <c r="AH3" s="111"/>
      <c r="AI3" s="250"/>
      <c r="AJ3" s="250"/>
      <c r="AK3" s="217"/>
      <c r="AL3" s="255"/>
      <c r="AM3" s="255"/>
      <c r="AN3" s="248"/>
      <c r="AO3" s="248"/>
      <c r="AP3" s="248"/>
      <c r="AQ3" s="248"/>
      <c r="AR3" s="248"/>
      <c r="AS3" s="248"/>
      <c r="AT3" s="248"/>
      <c r="AU3" s="248"/>
      <c r="AV3" s="248"/>
      <c r="AW3" s="248"/>
      <c r="AX3" s="248"/>
      <c r="AY3" s="248"/>
      <c r="AZ3" s="248"/>
      <c r="BA3" s="248"/>
      <c r="BB3" s="248"/>
      <c r="BC3" s="248"/>
      <c r="BD3" s="232"/>
      <c r="BE3" s="232"/>
      <c r="BF3" s="232"/>
      <c r="BG3" s="232"/>
      <c r="BH3" s="232"/>
      <c r="BI3" s="232"/>
      <c r="BJ3" s="232"/>
      <c r="BK3" s="232"/>
      <c r="BL3" s="232"/>
      <c r="BM3" s="232"/>
      <c r="BN3" s="232"/>
      <c r="BO3" s="232"/>
      <c r="BP3" s="232"/>
      <c r="BQ3" s="232"/>
      <c r="BR3" s="232"/>
      <c r="BS3" s="232"/>
      <c r="BT3" s="114"/>
      <c r="BU3" s="114"/>
      <c r="BV3" s="114"/>
      <c r="BW3" s="114"/>
      <c r="BX3" s="184"/>
      <c r="BY3" s="184"/>
      <c r="BZ3" s="184"/>
      <c r="CA3" s="184"/>
      <c r="CB3" s="184"/>
      <c r="CC3" s="184"/>
      <c r="CD3" s="184"/>
      <c r="CE3" s="241"/>
      <c r="CF3" s="241"/>
      <c r="CG3" s="241"/>
      <c r="CH3" s="241"/>
      <c r="CI3" s="241"/>
      <c r="CJ3" s="236"/>
      <c r="CK3" s="236"/>
      <c r="CL3" s="236"/>
      <c r="CM3" s="236"/>
      <c r="CN3" s="236"/>
      <c r="CO3" s="217"/>
      <c r="CP3" s="215"/>
      <c r="CQ3" s="215"/>
      <c r="CR3" s="234"/>
      <c r="CS3" s="234"/>
      <c r="CT3" s="234"/>
      <c r="CU3" s="234"/>
      <c r="CV3" s="234"/>
      <c r="CW3" s="234"/>
      <c r="CX3" s="234"/>
      <c r="CY3" s="234"/>
      <c r="CZ3" s="234"/>
      <c r="DA3" s="217"/>
      <c r="DB3" s="215"/>
      <c r="DC3" s="215"/>
      <c r="DD3" s="214"/>
      <c r="DE3" s="214"/>
      <c r="DF3" s="214"/>
      <c r="DG3" s="214"/>
      <c r="DH3" s="214"/>
      <c r="DI3" s="214"/>
      <c r="DJ3" s="214"/>
      <c r="DK3" s="214"/>
      <c r="DL3" s="214"/>
      <c r="DM3" s="217"/>
      <c r="DN3" s="213"/>
      <c r="DO3" s="213"/>
      <c r="DP3" s="213"/>
      <c r="DQ3" s="213"/>
      <c r="DR3" s="213"/>
      <c r="DS3" s="213"/>
      <c r="DT3" s="213"/>
      <c r="DU3" s="213"/>
      <c r="DV3" s="213"/>
      <c r="DW3" s="213"/>
      <c r="DX3" s="213"/>
      <c r="DY3" s="213"/>
      <c r="DZ3" s="213"/>
      <c r="EA3" s="213"/>
      <c r="EB3" s="213"/>
      <c r="EC3" s="213"/>
      <c r="ED3" s="213"/>
      <c r="EE3" s="213"/>
      <c r="EF3" s="213"/>
      <c r="EG3" s="213"/>
      <c r="EH3" s="213"/>
      <c r="EI3" s="117"/>
      <c r="EJ3" s="117"/>
      <c r="EK3" s="217"/>
      <c r="EL3" s="222"/>
      <c r="EM3" s="217"/>
    </row>
    <row r="4" spans="3:143" hidden="1" x14ac:dyDescent="0.15">
      <c r="I4" s="264"/>
      <c r="J4" s="265"/>
      <c r="K4" s="270"/>
      <c r="L4" s="270"/>
      <c r="M4" s="270"/>
      <c r="N4" s="270"/>
      <c r="O4" s="270"/>
      <c r="P4" s="270"/>
      <c r="Q4" s="243"/>
      <c r="R4" s="246"/>
      <c r="S4" s="243"/>
      <c r="T4" s="243"/>
      <c r="U4" s="246"/>
      <c r="V4" s="243"/>
      <c r="W4" s="243"/>
      <c r="X4" s="246"/>
      <c r="Y4" s="243"/>
      <c r="Z4" s="243"/>
      <c r="AA4" s="243"/>
      <c r="AB4" s="246"/>
      <c r="AC4" s="250"/>
      <c r="AD4" s="250"/>
      <c r="AE4" s="250"/>
      <c r="AF4" s="250"/>
      <c r="AG4" s="250"/>
      <c r="AH4" s="111"/>
      <c r="AI4" s="250"/>
      <c r="AJ4" s="250"/>
      <c r="AK4" s="217"/>
      <c r="AL4" s="255"/>
      <c r="AM4" s="255"/>
      <c r="AN4" s="248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48"/>
      <c r="AZ4" s="248"/>
      <c r="BA4" s="248"/>
      <c r="BB4" s="248"/>
      <c r="BC4" s="248"/>
      <c r="BD4" s="232"/>
      <c r="BE4" s="232"/>
      <c r="BF4" s="232"/>
      <c r="BG4" s="232"/>
      <c r="BH4" s="232"/>
      <c r="BI4" s="232"/>
      <c r="BJ4" s="232"/>
      <c r="BK4" s="232"/>
      <c r="BL4" s="232"/>
      <c r="BM4" s="232"/>
      <c r="BN4" s="232"/>
      <c r="BO4" s="232"/>
      <c r="BP4" s="232"/>
      <c r="BQ4" s="232"/>
      <c r="BR4" s="232"/>
      <c r="BS4" s="232"/>
      <c r="BT4" s="114"/>
      <c r="BU4" s="114"/>
      <c r="BV4" s="114"/>
      <c r="BW4" s="114"/>
      <c r="BX4" s="184"/>
      <c r="BY4" s="184"/>
      <c r="BZ4" s="184"/>
      <c r="CA4" s="184"/>
      <c r="CB4" s="184"/>
      <c r="CC4" s="184"/>
      <c r="CD4" s="184"/>
      <c r="CE4" s="241"/>
      <c r="CF4" s="241"/>
      <c r="CG4" s="241"/>
      <c r="CH4" s="241"/>
      <c r="CI4" s="241"/>
      <c r="CJ4" s="236"/>
      <c r="CK4" s="236"/>
      <c r="CL4" s="236"/>
      <c r="CM4" s="236"/>
      <c r="CN4" s="236"/>
      <c r="CO4" s="217"/>
      <c r="CP4" s="215"/>
      <c r="CQ4" s="215"/>
      <c r="CR4" s="234"/>
      <c r="CS4" s="234"/>
      <c r="CT4" s="234"/>
      <c r="CU4" s="234"/>
      <c r="CV4" s="234"/>
      <c r="CW4" s="234"/>
      <c r="CX4" s="234"/>
      <c r="CY4" s="234"/>
      <c r="CZ4" s="234"/>
      <c r="DA4" s="217"/>
      <c r="DB4" s="215"/>
      <c r="DC4" s="215"/>
      <c r="DD4" s="214"/>
      <c r="DE4" s="214"/>
      <c r="DF4" s="214"/>
      <c r="DG4" s="214"/>
      <c r="DH4" s="214"/>
      <c r="DI4" s="214"/>
      <c r="DJ4" s="214"/>
      <c r="DK4" s="214"/>
      <c r="DL4" s="214"/>
      <c r="DM4" s="217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117"/>
      <c r="EJ4" s="117"/>
      <c r="EK4" s="217"/>
      <c r="EL4" s="222"/>
      <c r="EM4" s="217"/>
    </row>
    <row r="5" spans="3:143" hidden="1" x14ac:dyDescent="0.15">
      <c r="I5" s="264"/>
      <c r="J5" s="265"/>
      <c r="K5" s="270"/>
      <c r="L5" s="270"/>
      <c r="M5" s="270"/>
      <c r="N5" s="270"/>
      <c r="O5" s="270"/>
      <c r="P5" s="270"/>
      <c r="Q5" s="243"/>
      <c r="R5" s="246"/>
      <c r="S5" s="243"/>
      <c r="T5" s="243"/>
      <c r="U5" s="246"/>
      <c r="V5" s="243"/>
      <c r="W5" s="243"/>
      <c r="X5" s="246"/>
      <c r="Y5" s="243"/>
      <c r="Z5" s="243"/>
      <c r="AA5" s="243"/>
      <c r="AB5" s="246"/>
      <c r="AC5" s="250"/>
      <c r="AD5" s="250"/>
      <c r="AE5" s="250"/>
      <c r="AF5" s="250"/>
      <c r="AG5" s="250"/>
      <c r="AH5" s="111"/>
      <c r="AI5" s="250"/>
      <c r="AJ5" s="250"/>
      <c r="AK5" s="217"/>
      <c r="AL5" s="255"/>
      <c r="AM5" s="255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248"/>
      <c r="BA5" s="248"/>
      <c r="BB5" s="248"/>
      <c r="BC5" s="248"/>
      <c r="BD5" s="232"/>
      <c r="BE5" s="232"/>
      <c r="BF5" s="232"/>
      <c r="BG5" s="232"/>
      <c r="BH5" s="232"/>
      <c r="BI5" s="232"/>
      <c r="BJ5" s="232"/>
      <c r="BK5" s="232"/>
      <c r="BL5" s="232"/>
      <c r="BM5" s="232"/>
      <c r="BN5" s="232"/>
      <c r="BO5" s="232"/>
      <c r="BP5" s="232"/>
      <c r="BQ5" s="232"/>
      <c r="BR5" s="232"/>
      <c r="BS5" s="232"/>
      <c r="BT5" s="114"/>
      <c r="BU5" s="114"/>
      <c r="BV5" s="114"/>
      <c r="BW5" s="114"/>
      <c r="BX5" s="184"/>
      <c r="BY5" s="184"/>
      <c r="BZ5" s="184"/>
      <c r="CA5" s="184"/>
      <c r="CB5" s="184"/>
      <c r="CC5" s="184"/>
      <c r="CD5" s="184"/>
      <c r="CE5" s="241"/>
      <c r="CF5" s="241"/>
      <c r="CG5" s="241"/>
      <c r="CH5" s="241"/>
      <c r="CI5" s="241"/>
      <c r="CJ5" s="236"/>
      <c r="CK5" s="236"/>
      <c r="CL5" s="236"/>
      <c r="CM5" s="236"/>
      <c r="CN5" s="236"/>
      <c r="CO5" s="217"/>
      <c r="CP5" s="215"/>
      <c r="CQ5" s="215"/>
      <c r="CR5" s="234"/>
      <c r="CS5" s="234"/>
      <c r="CT5" s="234"/>
      <c r="CU5" s="234"/>
      <c r="CV5" s="234"/>
      <c r="CW5" s="234"/>
      <c r="CX5" s="234"/>
      <c r="CY5" s="234"/>
      <c r="CZ5" s="234"/>
      <c r="DA5" s="217"/>
      <c r="DB5" s="215"/>
      <c r="DC5" s="215"/>
      <c r="DD5" s="214"/>
      <c r="DE5" s="214"/>
      <c r="DF5" s="214"/>
      <c r="DG5" s="214"/>
      <c r="DH5" s="214"/>
      <c r="DI5" s="214"/>
      <c r="DJ5" s="214"/>
      <c r="DK5" s="214"/>
      <c r="DL5" s="214"/>
      <c r="DM5" s="217"/>
      <c r="DN5" s="213"/>
      <c r="DO5" s="213"/>
      <c r="DP5" s="213"/>
      <c r="DQ5" s="213"/>
      <c r="DR5" s="213"/>
      <c r="DS5" s="213"/>
      <c r="DT5" s="213"/>
      <c r="DU5" s="213"/>
      <c r="DV5" s="213"/>
      <c r="DW5" s="213"/>
      <c r="DX5" s="213"/>
      <c r="DY5" s="213"/>
      <c r="DZ5" s="213"/>
      <c r="EA5" s="213"/>
      <c r="EB5" s="213"/>
      <c r="EC5" s="213"/>
      <c r="ED5" s="213"/>
      <c r="EE5" s="213"/>
      <c r="EF5" s="213"/>
      <c r="EG5" s="213"/>
      <c r="EH5" s="213"/>
      <c r="EI5" s="117"/>
      <c r="EJ5" s="117"/>
      <c r="EK5" s="217"/>
      <c r="EL5" s="222"/>
      <c r="EM5" s="217"/>
    </row>
    <row r="6" spans="3:143" hidden="1" x14ac:dyDescent="0.15">
      <c r="I6" s="264"/>
      <c r="J6" s="265"/>
      <c r="K6" s="270"/>
      <c r="L6" s="270"/>
      <c r="M6" s="270"/>
      <c r="N6" s="270"/>
      <c r="O6" s="270"/>
      <c r="P6" s="270"/>
      <c r="Q6" s="243"/>
      <c r="R6" s="246"/>
      <c r="S6" s="243"/>
      <c r="T6" s="243"/>
      <c r="U6" s="246"/>
      <c r="V6" s="243"/>
      <c r="W6" s="243"/>
      <c r="X6" s="246"/>
      <c r="Y6" s="243"/>
      <c r="Z6" s="243"/>
      <c r="AA6" s="243"/>
      <c r="AB6" s="246"/>
      <c r="AC6" s="250"/>
      <c r="AD6" s="250"/>
      <c r="AE6" s="250"/>
      <c r="AF6" s="250"/>
      <c r="AG6" s="250"/>
      <c r="AH6" s="111"/>
      <c r="AI6" s="250"/>
      <c r="AJ6" s="250"/>
      <c r="AK6" s="217"/>
      <c r="AL6" s="255"/>
      <c r="AM6" s="255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8"/>
      <c r="BB6" s="248"/>
      <c r="BC6" s="248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114"/>
      <c r="BU6" s="114"/>
      <c r="BV6" s="114"/>
      <c r="BW6" s="114"/>
      <c r="BX6" s="184"/>
      <c r="BY6" s="184"/>
      <c r="BZ6" s="184"/>
      <c r="CA6" s="184"/>
      <c r="CB6" s="184"/>
      <c r="CC6" s="184"/>
      <c r="CD6" s="184"/>
      <c r="CE6" s="241"/>
      <c r="CF6" s="241"/>
      <c r="CG6" s="241"/>
      <c r="CH6" s="241"/>
      <c r="CI6" s="241"/>
      <c r="CJ6" s="236"/>
      <c r="CK6" s="236"/>
      <c r="CL6" s="236"/>
      <c r="CM6" s="236"/>
      <c r="CN6" s="236"/>
      <c r="CO6" s="217"/>
      <c r="CP6" s="215"/>
      <c r="CQ6" s="215"/>
      <c r="CR6" s="234"/>
      <c r="CS6" s="234"/>
      <c r="CT6" s="234"/>
      <c r="CU6" s="234"/>
      <c r="CV6" s="234"/>
      <c r="CW6" s="234"/>
      <c r="CX6" s="234"/>
      <c r="CY6" s="234"/>
      <c r="CZ6" s="234"/>
      <c r="DA6" s="217"/>
      <c r="DB6" s="215"/>
      <c r="DC6" s="215"/>
      <c r="DD6" s="214"/>
      <c r="DE6" s="214"/>
      <c r="DF6" s="214"/>
      <c r="DG6" s="214"/>
      <c r="DH6" s="214"/>
      <c r="DI6" s="214"/>
      <c r="DJ6" s="214"/>
      <c r="DK6" s="214"/>
      <c r="DL6" s="214"/>
      <c r="DM6" s="217"/>
      <c r="DN6" s="213"/>
      <c r="DO6" s="213"/>
      <c r="DP6" s="213"/>
      <c r="DQ6" s="213"/>
      <c r="DR6" s="213"/>
      <c r="DS6" s="213"/>
      <c r="DT6" s="213"/>
      <c r="DU6" s="213"/>
      <c r="DV6" s="213"/>
      <c r="DW6" s="213"/>
      <c r="DX6" s="213"/>
      <c r="DY6" s="213"/>
      <c r="DZ6" s="213"/>
      <c r="EA6" s="213"/>
      <c r="EB6" s="213"/>
      <c r="EC6" s="213"/>
      <c r="ED6" s="213"/>
      <c r="EE6" s="213"/>
      <c r="EF6" s="213"/>
      <c r="EG6" s="213"/>
      <c r="EH6" s="213"/>
      <c r="EI6" s="117"/>
      <c r="EJ6" s="117"/>
      <c r="EK6" s="217"/>
      <c r="EL6" s="222"/>
      <c r="EM6" s="217"/>
    </row>
    <row r="7" spans="3:143" ht="15" customHeight="1" x14ac:dyDescent="0.15">
      <c r="C7" s="271" t="s">
        <v>5</v>
      </c>
      <c r="D7" s="271"/>
      <c r="E7" s="272"/>
      <c r="F7" s="260" t="s">
        <v>48</v>
      </c>
      <c r="G7" s="261"/>
      <c r="H7" s="261"/>
      <c r="I7" s="264"/>
      <c r="J7" s="265"/>
      <c r="K7" s="270"/>
      <c r="L7" s="270"/>
      <c r="M7" s="270"/>
      <c r="N7" s="270"/>
      <c r="O7" s="270"/>
      <c r="P7" s="270"/>
      <c r="Q7" s="243"/>
      <c r="R7" s="246"/>
      <c r="S7" s="243"/>
      <c r="T7" s="243"/>
      <c r="U7" s="246"/>
      <c r="V7" s="243"/>
      <c r="W7" s="243"/>
      <c r="X7" s="246"/>
      <c r="Y7" s="243"/>
      <c r="Z7" s="243"/>
      <c r="AA7" s="243"/>
      <c r="AB7" s="246"/>
      <c r="AC7" s="250"/>
      <c r="AD7" s="250"/>
      <c r="AE7" s="250"/>
      <c r="AF7" s="250"/>
      <c r="AG7" s="250"/>
      <c r="AH7" s="250" t="s">
        <v>870</v>
      </c>
      <c r="AI7" s="250"/>
      <c r="AJ7" s="250"/>
      <c r="AK7" s="217"/>
      <c r="AL7" s="255"/>
      <c r="AM7" s="255"/>
      <c r="AN7" s="248"/>
      <c r="AO7" s="248"/>
      <c r="AP7" s="248"/>
      <c r="AQ7" s="248"/>
      <c r="AR7" s="248"/>
      <c r="AS7" s="248"/>
      <c r="AT7" s="248"/>
      <c r="AU7" s="248"/>
      <c r="AV7" s="248"/>
      <c r="AW7" s="248"/>
      <c r="AX7" s="248"/>
      <c r="AY7" s="248"/>
      <c r="AZ7" s="248"/>
      <c r="BA7" s="248"/>
      <c r="BB7" s="248"/>
      <c r="BC7" s="248"/>
      <c r="BD7" s="232"/>
      <c r="BE7" s="232"/>
      <c r="BF7" s="232"/>
      <c r="BG7" s="232"/>
      <c r="BH7" s="232"/>
      <c r="BI7" s="232"/>
      <c r="BJ7" s="232"/>
      <c r="BK7" s="232"/>
      <c r="BL7" s="232"/>
      <c r="BM7" s="232"/>
      <c r="BN7" s="232"/>
      <c r="BO7" s="232"/>
      <c r="BP7" s="232"/>
      <c r="BQ7" s="232"/>
      <c r="BR7" s="232"/>
      <c r="BS7" s="232"/>
      <c r="BT7" s="231" t="s">
        <v>159</v>
      </c>
      <c r="BU7" s="231" t="s">
        <v>161</v>
      </c>
      <c r="BV7" s="231" t="s">
        <v>162</v>
      </c>
      <c r="BW7" s="231" t="s">
        <v>163</v>
      </c>
      <c r="BX7" s="231" t="s">
        <v>966</v>
      </c>
      <c r="BY7" s="231" t="s">
        <v>154</v>
      </c>
      <c r="BZ7" s="231" t="s">
        <v>155</v>
      </c>
      <c r="CA7" s="231" t="s">
        <v>967</v>
      </c>
      <c r="CB7" s="231" t="s">
        <v>968</v>
      </c>
      <c r="CC7" s="231" t="s">
        <v>1175</v>
      </c>
      <c r="CD7" s="231" t="s">
        <v>1174</v>
      </c>
      <c r="CE7" s="241"/>
      <c r="CF7" s="241"/>
      <c r="CG7" s="241"/>
      <c r="CH7" s="241"/>
      <c r="CI7" s="241"/>
      <c r="CJ7" s="236"/>
      <c r="CK7" s="236"/>
      <c r="CL7" s="236"/>
      <c r="CM7" s="236"/>
      <c r="CN7" s="236"/>
      <c r="CO7" s="217"/>
      <c r="CP7" s="215"/>
      <c r="CQ7" s="215"/>
      <c r="CR7" s="234"/>
      <c r="CS7" s="234"/>
      <c r="CT7" s="234"/>
      <c r="CU7" s="234"/>
      <c r="CV7" s="234"/>
      <c r="CW7" s="234"/>
      <c r="CX7" s="234"/>
      <c r="CY7" s="234"/>
      <c r="CZ7" s="234"/>
      <c r="DA7" s="217"/>
      <c r="DB7" s="215"/>
      <c r="DC7" s="215"/>
      <c r="DD7" s="214"/>
      <c r="DE7" s="214"/>
      <c r="DF7" s="214"/>
      <c r="DG7" s="214"/>
      <c r="DH7" s="214"/>
      <c r="DI7" s="214"/>
      <c r="DJ7" s="214"/>
      <c r="DK7" s="214"/>
      <c r="DL7" s="214"/>
      <c r="DM7" s="217"/>
      <c r="DN7" s="213"/>
      <c r="DO7" s="213"/>
      <c r="DP7" s="213"/>
      <c r="DQ7" s="213"/>
      <c r="DR7" s="213"/>
      <c r="DS7" s="213"/>
      <c r="DT7" s="213"/>
      <c r="DU7" s="213"/>
      <c r="DV7" s="213"/>
      <c r="DW7" s="213"/>
      <c r="DX7" s="213"/>
      <c r="DY7" s="213"/>
      <c r="DZ7" s="213"/>
      <c r="EA7" s="213"/>
      <c r="EB7" s="213"/>
      <c r="EC7" s="213"/>
      <c r="ED7" s="213"/>
      <c r="EE7" s="213"/>
      <c r="EF7" s="213"/>
      <c r="EG7" s="213"/>
      <c r="EH7" s="213"/>
      <c r="EI7" s="230" t="s">
        <v>970</v>
      </c>
      <c r="EJ7" s="230" t="s">
        <v>971</v>
      </c>
      <c r="EK7" s="217"/>
      <c r="EL7" s="222"/>
      <c r="EM7" s="217"/>
    </row>
    <row r="8" spans="3:143" ht="11.5" customHeight="1" x14ac:dyDescent="0.15">
      <c r="C8" s="271"/>
      <c r="D8" s="271"/>
      <c r="E8" s="272"/>
      <c r="F8" s="260"/>
      <c r="G8" s="261"/>
      <c r="H8" s="261"/>
      <c r="I8" s="264"/>
      <c r="J8" s="265"/>
      <c r="K8" s="270"/>
      <c r="L8" s="270"/>
      <c r="M8" s="270"/>
      <c r="N8" s="270"/>
      <c r="O8" s="270"/>
      <c r="P8" s="270"/>
      <c r="Q8" s="243"/>
      <c r="R8" s="246"/>
      <c r="S8" s="243"/>
      <c r="T8" s="243"/>
      <c r="U8" s="246"/>
      <c r="V8" s="243"/>
      <c r="W8" s="243"/>
      <c r="X8" s="246"/>
      <c r="Y8" s="243"/>
      <c r="Z8" s="243"/>
      <c r="AA8" s="243"/>
      <c r="AB8" s="246"/>
      <c r="AC8" s="250"/>
      <c r="AD8" s="250"/>
      <c r="AE8" s="250"/>
      <c r="AF8" s="250"/>
      <c r="AG8" s="250"/>
      <c r="AH8" s="250"/>
      <c r="AI8" s="250"/>
      <c r="AJ8" s="250"/>
      <c r="AK8" s="217"/>
      <c r="AL8" s="255"/>
      <c r="AM8" s="255"/>
      <c r="AN8" s="248"/>
      <c r="AO8" s="248"/>
      <c r="AP8" s="248"/>
      <c r="AQ8" s="248"/>
      <c r="AR8" s="248"/>
      <c r="AS8" s="248"/>
      <c r="AT8" s="248"/>
      <c r="AU8" s="248"/>
      <c r="AV8" s="248"/>
      <c r="AW8" s="248"/>
      <c r="AX8" s="248"/>
      <c r="AY8" s="248"/>
      <c r="AZ8" s="248"/>
      <c r="BA8" s="248"/>
      <c r="BB8" s="248"/>
      <c r="BC8" s="248"/>
      <c r="BD8" s="232"/>
      <c r="BE8" s="232"/>
      <c r="BF8" s="232"/>
      <c r="BG8" s="232"/>
      <c r="BH8" s="232"/>
      <c r="BI8" s="232"/>
      <c r="BJ8" s="232"/>
      <c r="BK8" s="232"/>
      <c r="BL8" s="232"/>
      <c r="BM8" s="232"/>
      <c r="BN8" s="232"/>
      <c r="BO8" s="232"/>
      <c r="BP8" s="232"/>
      <c r="BQ8" s="232"/>
      <c r="BR8" s="232"/>
      <c r="BS8" s="232"/>
      <c r="BT8" s="232"/>
      <c r="BU8" s="232"/>
      <c r="BV8" s="232"/>
      <c r="BW8" s="232"/>
      <c r="BX8" s="232"/>
      <c r="BY8" s="232"/>
      <c r="BZ8" s="232"/>
      <c r="CA8" s="232"/>
      <c r="CB8" s="232"/>
      <c r="CC8" s="232"/>
      <c r="CD8" s="232"/>
      <c r="CE8" s="241"/>
      <c r="CF8" s="241"/>
      <c r="CG8" s="241"/>
      <c r="CH8" s="241"/>
      <c r="CI8" s="241"/>
      <c r="CJ8" s="236"/>
      <c r="CK8" s="236"/>
      <c r="CL8" s="236"/>
      <c r="CM8" s="236"/>
      <c r="CN8" s="236"/>
      <c r="CO8" s="217"/>
      <c r="CP8" s="215"/>
      <c r="CQ8" s="215"/>
      <c r="CR8" s="234"/>
      <c r="CS8" s="234"/>
      <c r="CT8" s="234"/>
      <c r="CU8" s="234"/>
      <c r="CV8" s="234"/>
      <c r="CW8" s="234"/>
      <c r="CX8" s="234"/>
      <c r="CY8" s="234"/>
      <c r="CZ8" s="234"/>
      <c r="DA8" s="217"/>
      <c r="DB8" s="215"/>
      <c r="DC8" s="215"/>
      <c r="DD8" s="214"/>
      <c r="DE8" s="214"/>
      <c r="DF8" s="214"/>
      <c r="DG8" s="214"/>
      <c r="DH8" s="214"/>
      <c r="DI8" s="214"/>
      <c r="DJ8" s="214"/>
      <c r="DK8" s="214"/>
      <c r="DL8" s="214"/>
      <c r="DM8" s="217"/>
      <c r="DN8" s="213"/>
      <c r="DO8" s="213"/>
      <c r="DP8" s="213"/>
      <c r="DQ8" s="213"/>
      <c r="DR8" s="213"/>
      <c r="DS8" s="213"/>
      <c r="DT8" s="213"/>
      <c r="DU8" s="213"/>
      <c r="DV8" s="213"/>
      <c r="DW8" s="213"/>
      <c r="DX8" s="213"/>
      <c r="DY8" s="213"/>
      <c r="DZ8" s="213"/>
      <c r="EA8" s="213"/>
      <c r="EB8" s="213"/>
      <c r="EC8" s="213"/>
      <c r="ED8" s="213"/>
      <c r="EE8" s="213"/>
      <c r="EF8" s="213"/>
      <c r="EG8" s="213"/>
      <c r="EH8" s="213"/>
      <c r="EI8" s="230"/>
      <c r="EJ8" s="230"/>
      <c r="EK8" s="217"/>
      <c r="EL8" s="222"/>
      <c r="EM8" s="217"/>
    </row>
    <row r="9" spans="3:143" s="120" customFormat="1" ht="11.5" customHeight="1" x14ac:dyDescent="0.35">
      <c r="C9" s="271"/>
      <c r="D9" s="271"/>
      <c r="E9" s="272"/>
      <c r="F9" s="260" t="s">
        <v>6</v>
      </c>
      <c r="G9" s="258" t="s">
        <v>1405</v>
      </c>
      <c r="H9" s="258"/>
      <c r="I9" s="264"/>
      <c r="J9" s="265"/>
      <c r="K9" s="270"/>
      <c r="L9" s="270"/>
      <c r="M9" s="270"/>
      <c r="N9" s="270"/>
      <c r="O9" s="270"/>
      <c r="P9" s="270"/>
      <c r="Q9" s="243"/>
      <c r="R9" s="246"/>
      <c r="S9" s="243"/>
      <c r="T9" s="243"/>
      <c r="U9" s="246"/>
      <c r="V9" s="243"/>
      <c r="W9" s="243"/>
      <c r="X9" s="246"/>
      <c r="Y9" s="243"/>
      <c r="Z9" s="243"/>
      <c r="AA9" s="243"/>
      <c r="AB9" s="246"/>
      <c r="AC9" s="250"/>
      <c r="AD9" s="250"/>
      <c r="AE9" s="250"/>
      <c r="AF9" s="250"/>
      <c r="AG9" s="250"/>
      <c r="AH9" s="250"/>
      <c r="AI9" s="250"/>
      <c r="AJ9" s="250"/>
      <c r="AK9" s="217"/>
      <c r="AL9" s="255"/>
      <c r="AM9" s="255"/>
      <c r="AN9" s="248"/>
      <c r="AO9" s="248"/>
      <c r="AP9" s="248"/>
      <c r="AQ9" s="248"/>
      <c r="AR9" s="248"/>
      <c r="AS9" s="248"/>
      <c r="AT9" s="248"/>
      <c r="AU9" s="248"/>
      <c r="AV9" s="248"/>
      <c r="AW9" s="248"/>
      <c r="AX9" s="248"/>
      <c r="AY9" s="248"/>
      <c r="AZ9" s="248"/>
      <c r="BA9" s="248"/>
      <c r="BB9" s="248"/>
      <c r="BC9" s="248"/>
      <c r="BD9" s="233"/>
      <c r="BE9" s="233"/>
      <c r="BF9" s="233"/>
      <c r="BG9" s="233"/>
      <c r="BH9" s="233"/>
      <c r="BI9" s="233"/>
      <c r="BJ9" s="233"/>
      <c r="BK9" s="233"/>
      <c r="BL9" s="233"/>
      <c r="BM9" s="233"/>
      <c r="BN9" s="233"/>
      <c r="BO9" s="233"/>
      <c r="BP9" s="233"/>
      <c r="BQ9" s="233"/>
      <c r="BR9" s="233"/>
      <c r="BS9" s="233"/>
      <c r="BT9" s="233"/>
      <c r="BU9" s="233"/>
      <c r="BV9" s="233"/>
      <c r="BW9" s="233"/>
      <c r="BX9" s="233"/>
      <c r="BY9" s="233"/>
      <c r="BZ9" s="233"/>
      <c r="CA9" s="233"/>
      <c r="CB9" s="233"/>
      <c r="CC9" s="233"/>
      <c r="CD9" s="233"/>
      <c r="CE9" s="241"/>
      <c r="CF9" s="241"/>
      <c r="CG9" s="241"/>
      <c r="CH9" s="241"/>
      <c r="CI9" s="241"/>
      <c r="CJ9" s="237"/>
      <c r="CK9" s="237"/>
      <c r="CL9" s="237"/>
      <c r="CM9" s="237"/>
      <c r="CN9" s="237"/>
      <c r="CO9" s="217"/>
      <c r="CP9" s="215"/>
      <c r="CQ9" s="215"/>
      <c r="CR9" s="234"/>
      <c r="CS9" s="234"/>
      <c r="CT9" s="234"/>
      <c r="CU9" s="234"/>
      <c r="CV9" s="234"/>
      <c r="CW9" s="234"/>
      <c r="CX9" s="234"/>
      <c r="CY9" s="234"/>
      <c r="CZ9" s="234"/>
      <c r="DA9" s="217"/>
      <c r="DB9" s="215"/>
      <c r="DC9" s="215"/>
      <c r="DD9" s="214"/>
      <c r="DE9" s="214"/>
      <c r="DF9" s="214"/>
      <c r="DG9" s="214"/>
      <c r="DH9" s="214"/>
      <c r="DI9" s="214"/>
      <c r="DJ9" s="214"/>
      <c r="DK9" s="214"/>
      <c r="DL9" s="214"/>
      <c r="DM9" s="217"/>
      <c r="DN9" s="220" t="s">
        <v>90</v>
      </c>
      <c r="DO9" s="220"/>
      <c r="DP9" s="220"/>
      <c r="DQ9" s="220"/>
      <c r="DR9" s="220"/>
      <c r="DS9" s="220"/>
      <c r="DT9" s="220"/>
      <c r="DU9" s="220"/>
      <c r="DV9" s="220"/>
      <c r="DW9" s="220"/>
      <c r="DX9" s="220" t="s">
        <v>91</v>
      </c>
      <c r="DY9" s="220"/>
      <c r="DZ9" s="220"/>
      <c r="EA9" s="220"/>
      <c r="EB9" s="220"/>
      <c r="EC9" s="224" t="s">
        <v>92</v>
      </c>
      <c r="ED9" s="225"/>
      <c r="EE9" s="225"/>
      <c r="EF9" s="225"/>
      <c r="EG9" s="225"/>
      <c r="EH9" s="226"/>
      <c r="EI9" s="211" t="s">
        <v>791</v>
      </c>
      <c r="EJ9" s="212"/>
      <c r="EK9" s="217"/>
      <c r="EL9" s="222"/>
      <c r="EM9" s="217"/>
    </row>
    <row r="10" spans="3:143" ht="11.5" customHeight="1" x14ac:dyDescent="0.15">
      <c r="C10" s="271"/>
      <c r="D10" s="271"/>
      <c r="E10" s="272"/>
      <c r="F10" s="260"/>
      <c r="G10" s="258"/>
      <c r="H10" s="258"/>
      <c r="I10" s="266"/>
      <c r="J10" s="267"/>
      <c r="K10" s="270"/>
      <c r="L10" s="270"/>
      <c r="M10" s="270"/>
      <c r="N10" s="270"/>
      <c r="O10" s="270"/>
      <c r="P10" s="270"/>
      <c r="Q10" s="243"/>
      <c r="R10" s="246"/>
      <c r="S10" s="243"/>
      <c r="T10" s="243"/>
      <c r="U10" s="246"/>
      <c r="V10" s="243"/>
      <c r="W10" s="243"/>
      <c r="X10" s="246"/>
      <c r="Y10" s="243"/>
      <c r="Z10" s="243"/>
      <c r="AA10" s="243"/>
      <c r="AB10" s="246"/>
      <c r="AC10" s="250"/>
      <c r="AD10" s="250"/>
      <c r="AE10" s="250"/>
      <c r="AF10" s="250"/>
      <c r="AG10" s="250"/>
      <c r="AH10" s="250"/>
      <c r="AI10" s="250"/>
      <c r="AJ10" s="250"/>
      <c r="AK10" s="217"/>
      <c r="AL10" s="276" t="s">
        <v>10</v>
      </c>
      <c r="AM10" s="276"/>
      <c r="AN10" s="273" t="s">
        <v>11</v>
      </c>
      <c r="AO10" s="274"/>
      <c r="AP10" s="274"/>
      <c r="AQ10" s="274"/>
      <c r="AR10" s="274"/>
      <c r="AS10" s="274"/>
      <c r="AT10" s="274"/>
      <c r="AU10" s="274"/>
      <c r="AV10" s="274"/>
      <c r="AW10" s="274"/>
      <c r="AX10" s="274"/>
      <c r="AY10" s="274"/>
      <c r="AZ10" s="274"/>
      <c r="BA10" s="274"/>
      <c r="BB10" s="274"/>
      <c r="BC10" s="275"/>
      <c r="BD10" s="253" t="s">
        <v>23</v>
      </c>
      <c r="BE10" s="254"/>
      <c r="BF10" s="254"/>
      <c r="BG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BX10" s="254"/>
      <c r="BY10" s="254"/>
      <c r="BZ10" s="254"/>
      <c r="CA10" s="254"/>
      <c r="CB10" s="254"/>
      <c r="CC10" s="254"/>
      <c r="CD10" s="254"/>
      <c r="CE10" s="252" t="s">
        <v>24</v>
      </c>
      <c r="CF10" s="252"/>
      <c r="CG10" s="252"/>
      <c r="CH10" s="252"/>
      <c r="CI10" s="252"/>
      <c r="CJ10" s="238" t="s">
        <v>20</v>
      </c>
      <c r="CK10" s="239"/>
      <c r="CL10" s="239"/>
      <c r="CM10" s="239"/>
      <c r="CN10" s="240"/>
      <c r="CO10" s="217"/>
      <c r="CP10" s="215"/>
      <c r="CQ10" s="215"/>
      <c r="CR10" s="234"/>
      <c r="CS10" s="234"/>
      <c r="CT10" s="234"/>
      <c r="CU10" s="234"/>
      <c r="CV10" s="234"/>
      <c r="CW10" s="234"/>
      <c r="CX10" s="234"/>
      <c r="CY10" s="234"/>
      <c r="CZ10" s="234"/>
      <c r="DA10" s="217"/>
      <c r="DB10" s="215"/>
      <c r="DC10" s="215"/>
      <c r="DD10" s="214"/>
      <c r="DE10" s="214"/>
      <c r="DF10" s="214"/>
      <c r="DG10" s="214"/>
      <c r="DH10" s="214"/>
      <c r="DI10" s="214"/>
      <c r="DJ10" s="214"/>
      <c r="DK10" s="214"/>
      <c r="DL10" s="214"/>
      <c r="DM10" s="217"/>
      <c r="DN10" s="227" t="s">
        <v>75</v>
      </c>
      <c r="DO10" s="228"/>
      <c r="DP10" s="228"/>
      <c r="DQ10" s="228"/>
      <c r="DR10" s="228"/>
      <c r="DS10" s="228"/>
      <c r="DT10" s="228"/>
      <c r="DU10" s="228"/>
      <c r="DV10" s="228"/>
      <c r="DW10" s="228"/>
      <c r="DX10" s="228"/>
      <c r="DY10" s="228"/>
      <c r="DZ10" s="228"/>
      <c r="EA10" s="228"/>
      <c r="EB10" s="228"/>
      <c r="EC10" s="228"/>
      <c r="ED10" s="228"/>
      <c r="EE10" s="228"/>
      <c r="EF10" s="228"/>
      <c r="EG10" s="228"/>
      <c r="EH10" s="228"/>
      <c r="EI10" s="228"/>
      <c r="EJ10" s="229"/>
      <c r="EK10" s="217"/>
      <c r="EL10" s="222"/>
      <c r="EM10" s="217"/>
    </row>
    <row r="11" spans="3:143" ht="23.5" customHeight="1" x14ac:dyDescent="0.15">
      <c r="C11" s="256" t="s">
        <v>4</v>
      </c>
      <c r="D11" s="256"/>
      <c r="E11" s="257"/>
      <c r="F11" s="258" t="s">
        <v>32</v>
      </c>
      <c r="G11" s="259"/>
      <c r="H11" s="2" t="s">
        <v>103</v>
      </c>
      <c r="I11" s="268" t="s">
        <v>9</v>
      </c>
      <c r="J11" s="269"/>
      <c r="K11" s="270"/>
      <c r="L11" s="270"/>
      <c r="M11" s="270"/>
      <c r="N11" s="270"/>
      <c r="O11" s="270"/>
      <c r="P11" s="270"/>
      <c r="Q11" s="244"/>
      <c r="R11" s="247"/>
      <c r="S11" s="244"/>
      <c r="T11" s="244"/>
      <c r="U11" s="247"/>
      <c r="V11" s="244"/>
      <c r="W11" s="244"/>
      <c r="X11" s="247"/>
      <c r="Y11" s="244"/>
      <c r="Z11" s="244"/>
      <c r="AA11" s="244"/>
      <c r="AB11" s="247"/>
      <c r="AC11" s="251"/>
      <c r="AD11" s="251"/>
      <c r="AE11" s="251"/>
      <c r="AF11" s="251"/>
      <c r="AG11" s="251"/>
      <c r="AH11" s="251"/>
      <c r="AI11" s="251"/>
      <c r="AJ11" s="251"/>
      <c r="AK11" s="218"/>
      <c r="AL11" s="5" t="s">
        <v>844</v>
      </c>
      <c r="AM11" s="5" t="s">
        <v>845</v>
      </c>
      <c r="AN11" s="5" t="s">
        <v>846</v>
      </c>
      <c r="AO11" s="5" t="s">
        <v>847</v>
      </c>
      <c r="AP11" s="5" t="s">
        <v>848</v>
      </c>
      <c r="AQ11" s="5" t="s">
        <v>849</v>
      </c>
      <c r="AR11" s="5" t="s">
        <v>850</v>
      </c>
      <c r="AS11" s="5" t="s">
        <v>851</v>
      </c>
      <c r="AT11" s="5" t="s">
        <v>852</v>
      </c>
      <c r="AU11" s="5" t="s">
        <v>853</v>
      </c>
      <c r="AV11" s="5" t="s">
        <v>854</v>
      </c>
      <c r="AW11" s="5" t="s">
        <v>855</v>
      </c>
      <c r="AX11" s="5" t="s">
        <v>856</v>
      </c>
      <c r="AY11" s="5" t="s">
        <v>857</v>
      </c>
      <c r="AZ11" s="5" t="s">
        <v>858</v>
      </c>
      <c r="BA11" s="5" t="s">
        <v>859</v>
      </c>
      <c r="BB11" s="5" t="s">
        <v>860</v>
      </c>
      <c r="BC11" s="5" t="s">
        <v>861</v>
      </c>
      <c r="BD11" s="94" t="s">
        <v>171</v>
      </c>
      <c r="BE11" s="94" t="s">
        <v>172</v>
      </c>
      <c r="BF11" s="94" t="s">
        <v>173</v>
      </c>
      <c r="BG11" s="94" t="s">
        <v>174</v>
      </c>
      <c r="BH11" s="94" t="s">
        <v>175</v>
      </c>
      <c r="BI11" s="94" t="s">
        <v>176</v>
      </c>
      <c r="BJ11" s="94" t="s">
        <v>177</v>
      </c>
      <c r="BK11" s="94" t="s">
        <v>178</v>
      </c>
      <c r="BL11" s="94" t="s">
        <v>179</v>
      </c>
      <c r="BM11" s="94" t="s">
        <v>180</v>
      </c>
      <c r="BN11" s="94" t="s">
        <v>181</v>
      </c>
      <c r="BO11" s="94" t="s">
        <v>182</v>
      </c>
      <c r="BP11" s="94" t="s">
        <v>183</v>
      </c>
      <c r="BQ11" s="94" t="s">
        <v>184</v>
      </c>
      <c r="BR11" s="94" t="s">
        <v>185</v>
      </c>
      <c r="BS11" s="94" t="s">
        <v>186</v>
      </c>
      <c r="BT11" s="115" t="s">
        <v>468</v>
      </c>
      <c r="BU11" s="115" t="s">
        <v>471</v>
      </c>
      <c r="BV11" s="115" t="s">
        <v>476</v>
      </c>
      <c r="BW11" s="115" t="s">
        <v>480</v>
      </c>
      <c r="BX11" s="185" t="s">
        <v>485</v>
      </c>
      <c r="BY11" s="185" t="s">
        <v>490</v>
      </c>
      <c r="BZ11" s="185" t="s">
        <v>495</v>
      </c>
      <c r="CA11" s="185" t="s">
        <v>501</v>
      </c>
      <c r="CB11" s="185" t="s">
        <v>1171</v>
      </c>
      <c r="CC11" s="185" t="s">
        <v>1172</v>
      </c>
      <c r="CD11" s="185" t="s">
        <v>1173</v>
      </c>
      <c r="CE11" s="93" t="s">
        <v>202</v>
      </c>
      <c r="CF11" s="93" t="s">
        <v>203</v>
      </c>
      <c r="CG11" s="93" t="s">
        <v>204</v>
      </c>
      <c r="CH11" s="93" t="s">
        <v>205</v>
      </c>
      <c r="CI11" s="93" t="s">
        <v>206</v>
      </c>
      <c r="CJ11" s="6" t="s">
        <v>192</v>
      </c>
      <c r="CK11" s="6" t="s">
        <v>193</v>
      </c>
      <c r="CL11" s="6" t="s">
        <v>194</v>
      </c>
      <c r="CM11" s="6" t="s">
        <v>195</v>
      </c>
      <c r="CN11" s="6" t="s">
        <v>196</v>
      </c>
      <c r="CO11" s="218"/>
      <c r="CP11" s="219" t="s">
        <v>40</v>
      </c>
      <c r="CQ11" s="219"/>
      <c r="CR11" s="277" t="s">
        <v>19</v>
      </c>
      <c r="CS11" s="277"/>
      <c r="CT11" s="277"/>
      <c r="CU11" s="277"/>
      <c r="CV11" s="277"/>
      <c r="CW11" s="277"/>
      <c r="CX11" s="277"/>
      <c r="CY11" s="277"/>
      <c r="CZ11" s="277"/>
      <c r="DA11" s="218"/>
      <c r="DB11" s="219" t="s">
        <v>40</v>
      </c>
      <c r="DC11" s="219"/>
      <c r="DD11" s="95"/>
      <c r="DE11" s="163"/>
      <c r="DF11" s="220" t="s">
        <v>47</v>
      </c>
      <c r="DG11" s="220"/>
      <c r="DH11" s="220"/>
      <c r="DI11" s="220"/>
      <c r="DJ11" s="220"/>
      <c r="DK11" s="220"/>
      <c r="DL11" s="101"/>
      <c r="DM11" s="218"/>
      <c r="DN11" s="1" t="s">
        <v>49</v>
      </c>
      <c r="DO11" s="1" t="s">
        <v>50</v>
      </c>
      <c r="DP11" s="1" t="s">
        <v>51</v>
      </c>
      <c r="DQ11" s="1" t="s">
        <v>52</v>
      </c>
      <c r="DR11" s="1" t="s">
        <v>53</v>
      </c>
      <c r="DS11" s="1" t="s">
        <v>54</v>
      </c>
      <c r="DT11" s="1" t="s">
        <v>55</v>
      </c>
      <c r="DU11" s="1" t="s">
        <v>56</v>
      </c>
      <c r="DV11" s="1" t="s">
        <v>57</v>
      </c>
      <c r="DW11" s="1" t="s">
        <v>58</v>
      </c>
      <c r="DX11" s="1" t="s">
        <v>59</v>
      </c>
      <c r="DY11" s="1" t="s">
        <v>60</v>
      </c>
      <c r="DZ11" s="1" t="s">
        <v>61</v>
      </c>
      <c r="EA11" s="1" t="s">
        <v>62</v>
      </c>
      <c r="EB11" s="1" t="s">
        <v>63</v>
      </c>
      <c r="EC11" s="1" t="s">
        <v>64</v>
      </c>
      <c r="ED11" s="1" t="s">
        <v>65</v>
      </c>
      <c r="EE11" s="1" t="s">
        <v>66</v>
      </c>
      <c r="EF11" s="1" t="s">
        <v>67</v>
      </c>
      <c r="EG11" s="1" t="s">
        <v>68</v>
      </c>
      <c r="EH11" s="1" t="s">
        <v>170</v>
      </c>
      <c r="EI11" s="1" t="s">
        <v>972</v>
      </c>
      <c r="EJ11" s="1" t="s">
        <v>973</v>
      </c>
      <c r="EK11" s="218"/>
      <c r="EL11" s="223"/>
      <c r="EM11" s="218"/>
    </row>
    <row r="12" spans="3:143" s="128" customFormat="1" ht="16.899999999999999" hidden="1" customHeight="1" x14ac:dyDescent="0.15">
      <c r="C12" s="136" t="str">
        <f>IFERROR(VLOOKUP(TEXT(InputData[[#This Row],[Date]],"yyyy-mm"),API_AccountingPeriod[text]:API_AccountingPeriod[Month],2,0),"Please Input Accounting Period")</f>
        <v>Please Input Accounting Period</v>
      </c>
      <c r="D12" s="136" t="e">
        <f>"Week_" &amp;WEEKNUM(InputData[[#This Row],[Date]])</f>
        <v>#VALUE!</v>
      </c>
      <c r="E12" s="137"/>
      <c r="F12" s="142"/>
      <c r="G12" s="161">
        <f>IFERROR(VLOOKUP(InputData[[#This Row],[Code Number]],API_CNUnit[text]:API_CNUnit[type],3,0),0)</f>
        <v>0</v>
      </c>
      <c r="H12" s="142"/>
      <c r="I12" s="142"/>
      <c r="J12" s="136" t="str">
        <f>IFERROR(VLOOKUP(InputData[[#This Row],[Code]],Classhours[[Column1]:[Code]],2,0),"")</f>
        <v/>
      </c>
      <c r="K12" s="139" t="e">
        <f>+InputData[[#This Row],[OB Activity]]</f>
        <v>#VALUE!</v>
      </c>
      <c r="L12" s="139" t="e">
        <f>+InputData[[#This Row],[Coal Activity]]</f>
        <v>#VALUE!</v>
      </c>
      <c r="M12" s="139" t="e">
        <f>SUM(InputData[[#This Row],[Travel Unit (Exca)]:[General Support]])</f>
        <v>#VALUE!</v>
      </c>
      <c r="N12" s="139" t="e">
        <f>SUM(InputData[[#This Row],[P2H]:[GANTI SHIFT]])</f>
        <v>#VALUE!</v>
      </c>
      <c r="O12" s="139" t="e">
        <f>SUM(InputData[[#This Row],[HUJAN]:[PROBLEM COSTUMER]])</f>
        <v>#VALUE!</v>
      </c>
      <c r="P12" s="139" t="e">
        <f>SUM(InputData[[#This Row],[SCHEDULE SERVICE]:[ACCIDENT BREAKDOWN]])</f>
        <v>#VALUE!</v>
      </c>
      <c r="Q12" s="139" t="e">
        <f>IF(InputData[[#This Row],[Code]]="",720-SUM(InputData[[#This Row],[OB]:[BD]]),60-SUM(InputData[[#This Row],[OB]:[BD]]))</f>
        <v>#VALUE!</v>
      </c>
      <c r="R12" s="138"/>
      <c r="S12" s="139" t="e">
        <f>+InputData[[#This Row],[Vol OB]]</f>
        <v>#VALUE!</v>
      </c>
      <c r="T12" s="139" t="e">
        <f>+InputData[[#This Row],[Distance]]</f>
        <v>#VALUE!</v>
      </c>
      <c r="U12" s="138"/>
      <c r="V12" s="139" t="e">
        <f>+InputData[[#This Row],[Ton.Co.V]]</f>
        <v>#VALUE!</v>
      </c>
      <c r="W12" s="139" t="e">
        <f>+InputData[[#This Row],[Distance]]</f>
        <v>#VALUE!</v>
      </c>
      <c r="X12" s="138"/>
      <c r="Y12" s="139" t="e">
        <f>+SUM(InputData[[#This Row],[HARD DIGGING ]:[DOUBLE BENCH ]])</f>
        <v>#VALUE!</v>
      </c>
      <c r="Z12" s="139" t="e">
        <f>SUM(InputData[[#This Row],[FATIGUE CHECK ]:[DAMAGED ROAD ]])</f>
        <v>#VALUE!</v>
      </c>
      <c r="AA12" s="139" t="e">
        <f>SUM(InputData[[#This Row],[NARROW ACCESS ]:[WAITING SUPPORT DISPOSAL ]])</f>
        <v>#VALUE!</v>
      </c>
      <c r="AB12" s="138"/>
      <c r="AC12" s="143"/>
      <c r="AD12" s="139" t="str">
        <f>IFERROR(INDEX(API_OperatorNIK[employee_name],MATCH(InputData[[#This Row],[NIK]],API_OperatorNIK[NIK+Name],0)),"")</f>
        <v/>
      </c>
      <c r="AE12" s="127"/>
      <c r="AF12" s="127"/>
      <c r="AG12" s="140" t="e">
        <f>+InputData[[#This Row],[HMSP]]-InputData[[#This Row],[HMST]]</f>
        <v>#VALUE!</v>
      </c>
      <c r="AH12" s="140" t="e">
        <f>+InputData[[#This Row],[D.HM]]*60</f>
        <v>#VALUE!</v>
      </c>
      <c r="AI12" s="143"/>
      <c r="AJ12" s="139" t="str">
        <f>IFERROR(_xlfn.XLOOKUP(InputData[[#This Row],[nikpengawas]],API_SupervisorNIK[NIK+Name],API_SupervisorNIK[employee_name]),"")</f>
        <v/>
      </c>
      <c r="AK12" s="127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/>
      <c r="AX12" s="130"/>
      <c r="AY12" s="130"/>
      <c r="AZ12" s="130"/>
      <c r="BA12" s="130"/>
      <c r="BB12" s="130"/>
      <c r="BC12" s="130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2"/>
      <c r="CF12" s="132"/>
      <c r="CG12" s="132"/>
      <c r="CH12" s="132"/>
      <c r="CI12" s="132"/>
      <c r="CJ12" s="133"/>
      <c r="CK12" s="133"/>
      <c r="CL12" s="133"/>
      <c r="CM12" s="133"/>
      <c r="CN12" s="133"/>
      <c r="CO12" s="127"/>
      <c r="CP12" s="172" t="s">
        <v>1207</v>
      </c>
      <c r="CQ12" s="143" t="s">
        <v>1161</v>
      </c>
      <c r="CR12" s="143"/>
      <c r="CS12" s="143"/>
      <c r="CT12" s="130"/>
      <c r="CU12" s="130"/>
      <c r="CV12" s="139" t="e">
        <f>SUMIF(API_CNUnit[text],InputData[[#This Row],[Code Number]],API_CNUnit[Capacity])*InputData[[#This Row],[Rit OB]]</f>
        <v>#VALUE!</v>
      </c>
      <c r="CW12" s="139" t="e">
        <f>SUMIFS(haulerpayload[Volume],haulerpayload[Hauler/loader],InputData[[#This Row],[Type Unit]],haulerpayload[Materi],InputData[[#This Row],[Mat.OB]])*InputData[[#This Row],[Rit Rehandling]]</f>
        <v>#VALUE!</v>
      </c>
      <c r="CX12" s="130"/>
      <c r="CY12" s="139">
        <f>IFERROR(InputData[[#This Row],[Vol OB]]/(InputData[[#This Row],[OB]]/60),0)</f>
        <v>0</v>
      </c>
      <c r="CZ12" s="139" t="e">
        <f>InputData[[#This Row],[Vol OB]]*InputData[[#This Row],[Distance]]</f>
        <v>#VALUE!</v>
      </c>
      <c r="DA12" s="127"/>
      <c r="DB12" s="143"/>
      <c r="DC12" s="143"/>
      <c r="DD12" s="143"/>
      <c r="DE12" s="143"/>
      <c r="DF12" s="130"/>
      <c r="DG12" s="143"/>
      <c r="DH12" s="139">
        <f>IFERROR(SUMIF(API_CNUnit[text],InputData[[#This Row],[Code Number]],API_CNUnit[Capacity])*InputData[[#This Row],[Rit.Co.V]],0)</f>
        <v>0</v>
      </c>
      <c r="DI12" s="130"/>
      <c r="DJ12" s="139">
        <f>+IFERROR((60/InputData[[#This Row],[Coal Activity]])*(InputData[[#This Row],[Ton.Co.V]]),0)</f>
        <v>0</v>
      </c>
      <c r="DK12" s="139" t="e">
        <f>+InputData[[#This Row],[Ton.Co.V]]*InputData[[#This Row],[Dist.Co.V]]</f>
        <v>#VALUE!</v>
      </c>
      <c r="DL12" s="139">
        <f>IFERROR(InputData[[#This Row],[Ton.Co.V]]/1.3,0)</f>
        <v>0</v>
      </c>
      <c r="DM12" s="127"/>
      <c r="DN12" s="134"/>
      <c r="DO12" s="134"/>
      <c r="DP12" s="134"/>
      <c r="DQ12" s="134"/>
      <c r="DR12" s="139" t="str">
        <f>IF($AP12="","",1)</f>
        <v/>
      </c>
      <c r="DS12" s="134"/>
      <c r="DT12" s="134"/>
      <c r="DU12" s="134"/>
      <c r="DV12" s="134"/>
      <c r="DW12" s="134"/>
      <c r="DX12" s="134"/>
      <c r="DY12" s="134"/>
      <c r="DZ12" s="134"/>
      <c r="EA12" s="134"/>
      <c r="EB12" s="134"/>
      <c r="EC12" s="134"/>
      <c r="ED12" s="134"/>
      <c r="EE12" s="134"/>
      <c r="EF12" s="134"/>
      <c r="EG12" s="134"/>
      <c r="EH12" s="134"/>
      <c r="EI12" s="134"/>
      <c r="EJ12" s="134"/>
      <c r="EK12" s="127"/>
      <c r="EL12" s="135"/>
      <c r="EM12" s="127"/>
    </row>
    <row r="13" spans="3:143" ht="18" x14ac:dyDescent="0.15">
      <c r="C13" s="91" t="s">
        <v>1152</v>
      </c>
      <c r="D13" s="91" t="s">
        <v>1</v>
      </c>
      <c r="E13" s="92" t="s">
        <v>2</v>
      </c>
      <c r="F13" s="92" t="s">
        <v>7</v>
      </c>
      <c r="G13" s="122" t="s">
        <v>8</v>
      </c>
      <c r="H13" s="123" t="s">
        <v>103</v>
      </c>
      <c r="I13" s="91" t="s">
        <v>232</v>
      </c>
      <c r="J13" s="122" t="s">
        <v>531</v>
      </c>
      <c r="K13" s="91" t="s">
        <v>25</v>
      </c>
      <c r="L13" s="91" t="s">
        <v>26</v>
      </c>
      <c r="M13" s="91" t="s">
        <v>31</v>
      </c>
      <c r="N13" s="91" t="s">
        <v>27</v>
      </c>
      <c r="O13" s="91" t="s">
        <v>28</v>
      </c>
      <c r="P13" s="91" t="s">
        <v>29</v>
      </c>
      <c r="Q13" s="91" t="s">
        <v>79</v>
      </c>
      <c r="R13" s="92" t="s">
        <v>148</v>
      </c>
      <c r="S13" s="92" t="s">
        <v>76</v>
      </c>
      <c r="T13" s="92" t="s">
        <v>96</v>
      </c>
      <c r="U13" s="92" t="s">
        <v>149</v>
      </c>
      <c r="V13" s="92" t="s">
        <v>77</v>
      </c>
      <c r="W13" s="92" t="s">
        <v>78</v>
      </c>
      <c r="X13" s="92" t="s">
        <v>150</v>
      </c>
      <c r="Y13" s="92" t="s">
        <v>84</v>
      </c>
      <c r="Z13" s="92" t="s">
        <v>85</v>
      </c>
      <c r="AA13" s="92" t="s">
        <v>86</v>
      </c>
      <c r="AB13" s="92" t="s">
        <v>151</v>
      </c>
      <c r="AC13" s="122" t="s">
        <v>3</v>
      </c>
      <c r="AD13" s="122" t="s">
        <v>105</v>
      </c>
      <c r="AE13" s="122" t="s">
        <v>106</v>
      </c>
      <c r="AF13" s="122" t="s">
        <v>107</v>
      </c>
      <c r="AG13" s="92" t="s">
        <v>108</v>
      </c>
      <c r="AH13" s="92" t="s">
        <v>12</v>
      </c>
      <c r="AI13" s="92" t="s">
        <v>534</v>
      </c>
      <c r="AJ13" s="92" t="s">
        <v>535</v>
      </c>
      <c r="AK13" s="92" t="s">
        <v>130</v>
      </c>
      <c r="AL13" s="92" t="s">
        <v>19</v>
      </c>
      <c r="AM13" s="92" t="s">
        <v>30</v>
      </c>
      <c r="AN13" s="92" t="s">
        <v>15</v>
      </c>
      <c r="AO13" s="92" t="s">
        <v>16</v>
      </c>
      <c r="AP13" s="92" t="s">
        <v>133</v>
      </c>
      <c r="AQ13" s="92" t="s">
        <v>134</v>
      </c>
      <c r="AR13" s="92" t="s">
        <v>143</v>
      </c>
      <c r="AS13" s="92" t="s">
        <v>136</v>
      </c>
      <c r="AT13" s="92" t="s">
        <v>137</v>
      </c>
      <c r="AU13" s="92" t="s">
        <v>138</v>
      </c>
      <c r="AV13" s="92" t="s">
        <v>139</v>
      </c>
      <c r="AW13" s="92" t="s">
        <v>140</v>
      </c>
      <c r="AX13" s="92" t="s">
        <v>141</v>
      </c>
      <c r="AY13" s="92" t="s">
        <v>142</v>
      </c>
      <c r="AZ13" s="92" t="s">
        <v>144</v>
      </c>
      <c r="BA13" s="92" t="s">
        <v>145</v>
      </c>
      <c r="BB13" s="92" t="s">
        <v>147</v>
      </c>
      <c r="BC13" s="92" t="s">
        <v>557</v>
      </c>
      <c r="BD13" s="92" t="s">
        <v>152</v>
      </c>
      <c r="BE13" s="92" t="s">
        <v>166</v>
      </c>
      <c r="BF13" s="92" t="s">
        <v>1165</v>
      </c>
      <c r="BG13" s="92" t="s">
        <v>158</v>
      </c>
      <c r="BH13" s="92" t="s">
        <v>1166</v>
      </c>
      <c r="BI13" s="92" t="s">
        <v>1167</v>
      </c>
      <c r="BJ13" s="92" t="s">
        <v>160</v>
      </c>
      <c r="BK13" s="92" t="s">
        <v>156</v>
      </c>
      <c r="BL13" s="92" t="s">
        <v>157</v>
      </c>
      <c r="BM13" s="92" t="s">
        <v>1168</v>
      </c>
      <c r="BN13" s="92" t="s">
        <v>1169</v>
      </c>
      <c r="BO13" s="92" t="s">
        <v>969</v>
      </c>
      <c r="BP13" s="92" t="s">
        <v>164</v>
      </c>
      <c r="BQ13" s="92" t="s">
        <v>167</v>
      </c>
      <c r="BR13" s="92" t="s">
        <v>1170</v>
      </c>
      <c r="BS13" s="92" t="s">
        <v>165</v>
      </c>
      <c r="BT13" s="92" t="s">
        <v>159</v>
      </c>
      <c r="BU13" s="92" t="s">
        <v>161</v>
      </c>
      <c r="BV13" s="92" t="s">
        <v>162</v>
      </c>
      <c r="BW13" s="92" t="s">
        <v>163</v>
      </c>
      <c r="BX13" s="92" t="s">
        <v>966</v>
      </c>
      <c r="BY13" s="92" t="s">
        <v>154</v>
      </c>
      <c r="BZ13" s="92" t="s">
        <v>155</v>
      </c>
      <c r="CA13" s="92" t="s">
        <v>967</v>
      </c>
      <c r="CB13" s="92" t="s">
        <v>968</v>
      </c>
      <c r="CC13" s="92" t="s">
        <v>1175</v>
      </c>
      <c r="CD13" s="92" t="s">
        <v>1174</v>
      </c>
      <c r="CE13" s="92" t="s">
        <v>197</v>
      </c>
      <c r="CF13" s="92" t="s">
        <v>198</v>
      </c>
      <c r="CG13" s="92" t="s">
        <v>199</v>
      </c>
      <c r="CH13" s="92" t="s">
        <v>200</v>
      </c>
      <c r="CI13" s="92" t="s">
        <v>201</v>
      </c>
      <c r="CJ13" s="92" t="s">
        <v>187</v>
      </c>
      <c r="CK13" s="92" t="s">
        <v>188</v>
      </c>
      <c r="CL13" s="92" t="s">
        <v>189</v>
      </c>
      <c r="CM13" s="92" t="s">
        <v>190</v>
      </c>
      <c r="CN13" s="92" t="s">
        <v>191</v>
      </c>
      <c r="CO13" s="92" t="s">
        <v>93</v>
      </c>
      <c r="CP13" s="92" t="s">
        <v>71</v>
      </c>
      <c r="CQ13" s="92" t="s">
        <v>72</v>
      </c>
      <c r="CR13" s="92" t="s">
        <v>73</v>
      </c>
      <c r="CS13" s="92" t="s">
        <v>74</v>
      </c>
      <c r="CT13" s="92" t="s">
        <v>35</v>
      </c>
      <c r="CU13" s="92" t="s">
        <v>974</v>
      </c>
      <c r="CV13" s="92" t="s">
        <v>36</v>
      </c>
      <c r="CW13" s="92" t="s">
        <v>975</v>
      </c>
      <c r="CX13" s="92" t="s">
        <v>37</v>
      </c>
      <c r="CY13" s="92" t="s">
        <v>38</v>
      </c>
      <c r="CZ13" s="92" t="s">
        <v>39</v>
      </c>
      <c r="DA13" s="92" t="s">
        <v>97</v>
      </c>
      <c r="DB13" s="92" t="s">
        <v>538</v>
      </c>
      <c r="DC13" s="92" t="s">
        <v>539</v>
      </c>
      <c r="DD13" s="92" t="s">
        <v>537</v>
      </c>
      <c r="DE13" s="92" t="s">
        <v>1133</v>
      </c>
      <c r="DF13" s="92" t="s">
        <v>41</v>
      </c>
      <c r="DG13" s="92" t="s">
        <v>46</v>
      </c>
      <c r="DH13" s="92" t="s">
        <v>42</v>
      </c>
      <c r="DI13" s="92" t="s">
        <v>43</v>
      </c>
      <c r="DJ13" s="92" t="s">
        <v>44</v>
      </c>
      <c r="DK13" s="92" t="s">
        <v>45</v>
      </c>
      <c r="DL13" s="92" t="s">
        <v>842</v>
      </c>
      <c r="DM13" s="92" t="s">
        <v>98</v>
      </c>
      <c r="DN13" s="92" t="s">
        <v>109</v>
      </c>
      <c r="DO13" s="92" t="s">
        <v>110</v>
      </c>
      <c r="DP13" s="92" t="s">
        <v>111</v>
      </c>
      <c r="DQ13" s="92" t="s">
        <v>112</v>
      </c>
      <c r="DR13" s="92" t="s">
        <v>113</v>
      </c>
      <c r="DS13" s="92" t="s">
        <v>114</v>
      </c>
      <c r="DT13" s="92" t="s">
        <v>115</v>
      </c>
      <c r="DU13" s="92" t="s">
        <v>116</v>
      </c>
      <c r="DV13" s="92" t="s">
        <v>117</v>
      </c>
      <c r="DW13" s="92" t="s">
        <v>118</v>
      </c>
      <c r="DX13" s="92" t="s">
        <v>119</v>
      </c>
      <c r="DY13" s="92" t="s">
        <v>120</v>
      </c>
      <c r="DZ13" s="92" t="s">
        <v>121</v>
      </c>
      <c r="EA13" s="92" t="s">
        <v>122</v>
      </c>
      <c r="EB13" s="92" t="s">
        <v>123</v>
      </c>
      <c r="EC13" s="92" t="s">
        <v>124</v>
      </c>
      <c r="ED13" s="92" t="s">
        <v>125</v>
      </c>
      <c r="EE13" s="92" t="s">
        <v>126</v>
      </c>
      <c r="EF13" s="92" t="s">
        <v>127</v>
      </c>
      <c r="EG13" s="92" t="s">
        <v>128</v>
      </c>
      <c r="EH13" s="92" t="s">
        <v>129</v>
      </c>
      <c r="EI13" s="92" t="s">
        <v>970</v>
      </c>
      <c r="EJ13" s="92" t="s">
        <v>971</v>
      </c>
      <c r="EK13" s="92" t="s">
        <v>94</v>
      </c>
      <c r="EL13" s="122" t="s">
        <v>555</v>
      </c>
      <c r="EM13" s="91" t="s">
        <v>556</v>
      </c>
    </row>
    <row r="14" spans="3:143" x14ac:dyDescent="0.15">
      <c r="C14" s="7">
        <f>IFERROR(VLOOKUP(TEXT(InputData[[#This Row],[Date]],"yyyy-mm"),API_AccountingPeriod[text]:API_AccountingPeriod[Month],2,0),"Please Input Accounting Period")</f>
        <v>7</v>
      </c>
      <c r="D14" s="136" t="str">
        <f>"Week_" &amp;WEEKNUM(InputData[[#This Row],[Date]])</f>
        <v>Week_43</v>
      </c>
      <c r="E14" s="147">
        <v>44491</v>
      </c>
      <c r="F14" s="148" t="s">
        <v>1206</v>
      </c>
      <c r="G14" s="149" t="str">
        <f>IFERROR(VLOOKUP(InputData[[#This Row],[Code Number]],API_CNUnit[text]:API_CNUnit[type],3,0),0)</f>
        <v>DUMP TRUCK CV.TMM</v>
      </c>
      <c r="H14" s="128" t="s">
        <v>209</v>
      </c>
      <c r="I14" s="128" t="s">
        <v>510</v>
      </c>
      <c r="J14" s="7" t="str">
        <f>IFERROR(VLOOKUP(InputData[[#This Row],[Code]],Classhours[[Column1]:[Code]],2,0),"")</f>
        <v>6:00-7:00</v>
      </c>
      <c r="K14" s="8">
        <f>+InputData[[#This Row],[OB Activity]]</f>
        <v>0</v>
      </c>
      <c r="L14" s="8">
        <f>+InputData[[#This Row],[Coal Activity]]</f>
        <v>0</v>
      </c>
      <c r="M14" s="8">
        <f>SUM(InputData[[#This Row],[Travel Unit (Exca)]:[General Support]])</f>
        <v>0</v>
      </c>
      <c r="N14" s="8">
        <f>SUM(InputData[[#This Row],[P2H]:[GANTI SHIFT]])</f>
        <v>0</v>
      </c>
      <c r="O14" s="8">
        <f>SUM(InputData[[#This Row],[HUJAN]:[PROBLEM COSTUMER]])</f>
        <v>0</v>
      </c>
      <c r="P14" s="8">
        <f>SUM(InputData[[#This Row],[SCHEDULE SERVICE]:[ACCIDENT BREAKDOWN]])</f>
        <v>0</v>
      </c>
      <c r="Q14" s="8">
        <f>IF(InputData[[#This Row],[Code]]="",720-SUM(InputData[[#This Row],[OB]:[BD]]),60-SUM(InputData[[#This Row],[OB]:[BD]]))</f>
        <v>60</v>
      </c>
      <c r="R14" s="9"/>
      <c r="S14" s="8">
        <f>+InputData[[#This Row],[Vol OB]]</f>
        <v>0</v>
      </c>
      <c r="T14" s="8">
        <f>+InputData[[#This Row],[Distance]]</f>
        <v>0</v>
      </c>
      <c r="U14" s="9"/>
      <c r="V14" s="8">
        <f>+InputData[[#This Row],[Ton.Co.V]]</f>
        <v>0</v>
      </c>
      <c r="W14" s="8">
        <f>+InputData[[#This Row],[Distance]]</f>
        <v>0</v>
      </c>
      <c r="X14" s="9"/>
      <c r="Y14" s="8">
        <f>+SUM(InputData[[#This Row],[HARD DIGGING ]:[DOUBLE BENCH ]])</f>
        <v>0</v>
      </c>
      <c r="Z14" s="8">
        <f>SUM(InputData[[#This Row],[FATIGUE CHECK ]:[DAMAGED ROAD ]])</f>
        <v>0</v>
      </c>
      <c r="AA14" s="8">
        <f>SUM(InputData[[#This Row],[NARROW ACCESS ]:[WAITING SUPPORT DISPOSAL ]])</f>
        <v>0</v>
      </c>
      <c r="AB14" s="9"/>
      <c r="AC14" s="10"/>
      <c r="AD14" s="8" t="str">
        <f>IFERROR(INDEX(API_OperatorNIK[employee_name],MATCH(InputData[[#This Row],[NIK]],API_OperatorNIK[NIK+Name],0)),"")</f>
        <v/>
      </c>
      <c r="AE14" s="10"/>
      <c r="AF14" s="10"/>
      <c r="AG14" s="105">
        <f>+InputData[[#This Row],[HMSP]]-InputData[[#This Row],[HMST]]</f>
        <v>0</v>
      </c>
      <c r="AH14" s="105">
        <f>+InputData[[#This Row],[D.HM]]*60</f>
        <v>0</v>
      </c>
      <c r="AI14" s="10"/>
      <c r="AJ14" s="8" t="str">
        <f>IFERROR(_xlfn.XLOOKUP(InputData[[#This Row],[nikpengawas]],API_SupervisorNIK[NIK+Name],API_SupervisorNIK[employee_name]),"")</f>
        <v/>
      </c>
      <c r="AK14" s="10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0"/>
      <c r="CP14" s="143"/>
      <c r="CQ14" s="143"/>
      <c r="CR14" s="143"/>
      <c r="CS14" s="162"/>
      <c r="CT14" s="12"/>
      <c r="CU14" s="12"/>
      <c r="CV14" s="8">
        <f>SUMIF(API_CNUnit[text],InputData[[#This Row],[Code Number]],API_CNUnit[Capacity])*InputData[[#This Row],[Rit OB]]</f>
        <v>0</v>
      </c>
      <c r="CW14" s="8">
        <f>SUMIF(API_CNUnit[text],InputData[[#This Row],[Code Number]],API_CNUnit[Capacity])*InputData[[#This Row],[Rit Rehandling]]</f>
        <v>0</v>
      </c>
      <c r="CX14" s="12"/>
      <c r="CY14" s="173">
        <f>IFERROR(InputData[[#This Row],[Vol OB]]/(InputData[[#This Row],[OB]]/60),0)</f>
        <v>0</v>
      </c>
      <c r="CZ14" s="8">
        <f>InputData[[#This Row],[Vol OB]]*InputData[[#This Row],[Distance]]</f>
        <v>0</v>
      </c>
      <c r="DA14" s="11"/>
      <c r="DB14" s="10"/>
      <c r="DC14" s="10"/>
      <c r="DD14" s="143"/>
      <c r="DE14" s="164"/>
      <c r="DF14" s="12"/>
      <c r="DG14" s="143"/>
      <c r="DH14" s="173">
        <f>IFERROR(SUMIF(API_CNUnit[text],InputData[[#This Row],[Code Number]],API_CNUnit[Capacity])*InputData[[#This Row],[Rit.Co.V]],0)</f>
        <v>0</v>
      </c>
      <c r="DI14" s="12"/>
      <c r="DJ14" s="8">
        <f>+IFERROR((60/InputData[[#This Row],[Coal Activity]])*(InputData[[#This Row],[Ton.Co.V]]),0)</f>
        <v>0</v>
      </c>
      <c r="DK14" s="8">
        <f>+InputData[[#This Row],[Ton.Co.V]]*InputData[[#This Row],[Dist.Co.V]]</f>
        <v>0</v>
      </c>
      <c r="DL14" s="8">
        <f>IFERROR(InputData[[#This Row],[Ton.Co.V]]/1.3,0)</f>
        <v>0</v>
      </c>
      <c r="DM14" s="11"/>
      <c r="DN14" s="12"/>
      <c r="DO14" s="12"/>
      <c r="DP14" s="12"/>
      <c r="DQ14" s="12"/>
      <c r="DR14" s="10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1"/>
      <c r="EL14" s="96"/>
      <c r="EM14" s="11"/>
    </row>
    <row r="15" spans="3:143" x14ac:dyDescent="0.15">
      <c r="C15" s="189">
        <f>IFERROR(VLOOKUP(TEXT(InputData[[#This Row],[Date]],"yyyy-mm"),API_AccountingPeriod[text]:API_AccountingPeriod[Month],2,0),"Please Input Accounting Period")</f>
        <v>7</v>
      </c>
      <c r="D15" s="194" t="str">
        <f>"Week_" &amp;WEEKNUM(InputData[[#This Row],[Date]])</f>
        <v>Week_43</v>
      </c>
      <c r="E15" s="147">
        <v>44491</v>
      </c>
      <c r="F15" s="148" t="s">
        <v>1206</v>
      </c>
      <c r="G15" s="195" t="str">
        <f>IFERROR(VLOOKUP(InputData[[#This Row],[Code Number]],API_CNUnit[text]:API_CNUnit[type],3,0),0)</f>
        <v>DUMP TRUCK CV.TMM</v>
      </c>
      <c r="H15" s="128" t="s">
        <v>209</v>
      </c>
      <c r="I15" s="128" t="s">
        <v>511</v>
      </c>
      <c r="J15" s="7" t="str">
        <f>IFERROR(VLOOKUP(InputData[[#This Row],[Code]],Classhours[[Column1]:[Code]],2,0),"")</f>
        <v>7:00-8:00</v>
      </c>
      <c r="K15" s="8">
        <f>+InputData[[#This Row],[OB Activity]]</f>
        <v>0</v>
      </c>
      <c r="L15" s="8">
        <f>+InputData[[#This Row],[Coal Activity]]</f>
        <v>0</v>
      </c>
      <c r="M15" s="8">
        <f>SUM(InputData[[#This Row],[Travel Unit (Exca)]:[General Support]])</f>
        <v>0</v>
      </c>
      <c r="N15" s="8">
        <f>SUM(InputData[[#This Row],[P2H]:[GANTI SHIFT]])</f>
        <v>0</v>
      </c>
      <c r="O15" s="8">
        <f>SUM(InputData[[#This Row],[HUJAN]:[PROBLEM COSTUMER]])</f>
        <v>0</v>
      </c>
      <c r="P15" s="8">
        <f>SUM(InputData[[#This Row],[SCHEDULE SERVICE]:[ACCIDENT BREAKDOWN]])</f>
        <v>0</v>
      </c>
      <c r="Q15" s="8">
        <f>IF(InputData[[#This Row],[Code]]="",720-SUM(InputData[[#This Row],[OB]:[BD]]),60-SUM(InputData[[#This Row],[OB]:[BD]]))</f>
        <v>60</v>
      </c>
      <c r="R15" s="9"/>
      <c r="S15" s="8">
        <f>+InputData[[#This Row],[Vol OB]]</f>
        <v>0</v>
      </c>
      <c r="T15" s="8">
        <f>+InputData[[#This Row],[Distance]]</f>
        <v>0</v>
      </c>
      <c r="U15" s="9"/>
      <c r="V15" s="8">
        <f>+InputData[[#This Row],[Ton.Co.V]]</f>
        <v>0</v>
      </c>
      <c r="W15" s="8">
        <f>+InputData[[#This Row],[Distance]]</f>
        <v>0</v>
      </c>
      <c r="X15" s="9"/>
      <c r="Y15" s="8">
        <f>+SUM(InputData[[#This Row],[HARD DIGGING ]:[DOUBLE BENCH ]])</f>
        <v>0</v>
      </c>
      <c r="Z15" s="8">
        <f>SUM(InputData[[#This Row],[FATIGUE CHECK ]:[DAMAGED ROAD ]])</f>
        <v>0</v>
      </c>
      <c r="AA15" s="8">
        <f>SUM(InputData[[#This Row],[NARROW ACCESS ]:[WAITING SUPPORT DISPOSAL ]])</f>
        <v>0</v>
      </c>
      <c r="AB15" s="9"/>
      <c r="AC15" s="10"/>
      <c r="AD15" s="8" t="str">
        <f>IFERROR(INDEX(API_OperatorNIK[employee_name],MATCH(InputData[[#This Row],[NIK]],API_OperatorNIK[NIK+Name],0)),"")</f>
        <v/>
      </c>
      <c r="AE15" s="10"/>
      <c r="AF15" s="10"/>
      <c r="AG15" s="105">
        <f>+InputData[[#This Row],[HMSP]]-InputData[[#This Row],[HMST]]</f>
        <v>0</v>
      </c>
      <c r="AH15" s="105">
        <f>+InputData[[#This Row],[D.HM]]*60</f>
        <v>0</v>
      </c>
      <c r="AI15" s="10"/>
      <c r="AJ15" s="8" t="str">
        <f>IFERROR(_xlfn.XLOOKUP(InputData[[#This Row],[nikpengawas]],API_SupervisorNIK[NIK+Name],API_SupervisorNIK[employee_name]),"")</f>
        <v/>
      </c>
      <c r="AK15" s="10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0"/>
      <c r="CP15" s="143"/>
      <c r="CQ15" s="143"/>
      <c r="CR15" s="143"/>
      <c r="CS15" s="162"/>
      <c r="CT15" s="196"/>
      <c r="CU15" s="12"/>
      <c r="CV15" s="8">
        <f>SUMIF(API_CNUnit[text],InputData[[#This Row],[Code Number]],API_CNUnit[Capacity])*InputData[[#This Row],[Rit OB]]</f>
        <v>0</v>
      </c>
      <c r="CW15" s="8">
        <f>SUMIF(API_CNUnit[text],InputData[[#This Row],[Code Number]],API_CNUnit[Capacity])*InputData[[#This Row],[Rit Rehandling]]</f>
        <v>0</v>
      </c>
      <c r="CX15" s="12"/>
      <c r="CY15" s="173">
        <f>IFERROR(InputData[[#This Row],[Vol OB]]/(InputData[[#This Row],[OB]]/60),0)</f>
        <v>0</v>
      </c>
      <c r="CZ15" s="8">
        <f>InputData[[#This Row],[Vol OB]]*InputData[[#This Row],[Distance]]</f>
        <v>0</v>
      </c>
      <c r="DA15" s="11"/>
      <c r="DB15" s="10"/>
      <c r="DC15" s="10"/>
      <c r="DD15" s="143"/>
      <c r="DE15" s="10"/>
      <c r="DF15" s="196"/>
      <c r="DG15" s="197"/>
      <c r="DH15" s="173">
        <f>IFERROR(SUMIF(API_CNUnit[text],InputData[[#This Row],[Code Number]],API_CNUnit[Capacity])*InputData[[#This Row],[Rit.Co.V]],0)</f>
        <v>0</v>
      </c>
      <c r="DI15" s="12"/>
      <c r="DJ15" s="8">
        <f>+IFERROR((60/InputData[[#This Row],[Coal Activity]])*(InputData[[#This Row],[Ton.Co.V]]),0)</f>
        <v>0</v>
      </c>
      <c r="DK15" s="8">
        <f>+InputData[[#This Row],[Ton.Co.V]]*InputData[[#This Row],[Dist.Co.V]]</f>
        <v>0</v>
      </c>
      <c r="DL15" s="8">
        <f>IFERROR(InputData[[#This Row],[Ton.Co.V]]/1.3,0)</f>
        <v>0</v>
      </c>
      <c r="DM15" s="11"/>
      <c r="DN15" s="12"/>
      <c r="DO15" s="12"/>
      <c r="DP15" s="12"/>
      <c r="DQ15" s="12"/>
      <c r="DR15" s="10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1"/>
      <c r="EL15" s="96"/>
      <c r="EM15" s="11"/>
    </row>
    <row r="16" spans="3:143" x14ac:dyDescent="0.15">
      <c r="C16" s="189">
        <f>IFERROR(VLOOKUP(TEXT(InputData[[#This Row],[Date]],"yyyy-mm"),API_AccountingPeriod[text]:API_AccountingPeriod[Month],2,0),"Please Input Accounting Period")</f>
        <v>7</v>
      </c>
      <c r="D16" s="194" t="str">
        <f>"Week_" &amp;WEEKNUM(InputData[[#This Row],[Date]])</f>
        <v>Week_43</v>
      </c>
      <c r="E16" s="147">
        <v>44491</v>
      </c>
      <c r="F16" s="148" t="s">
        <v>1206</v>
      </c>
      <c r="G16" s="195" t="str">
        <f>IFERROR(VLOOKUP(InputData[[#This Row],[Code Number]],API_CNUnit[text]:API_CNUnit[type],3,0),0)</f>
        <v>DUMP TRUCK CV.TMM</v>
      </c>
      <c r="H16" s="128" t="s">
        <v>209</v>
      </c>
      <c r="I16" s="128" t="s">
        <v>512</v>
      </c>
      <c r="J16" s="7" t="str">
        <f>IFERROR(VLOOKUP(InputData[[#This Row],[Code]],Classhours[[Column1]:[Code]],2,0),"")</f>
        <v>8:00-9:00</v>
      </c>
      <c r="K16" s="8">
        <f>+InputData[[#This Row],[OB Activity]]</f>
        <v>0</v>
      </c>
      <c r="L16" s="8">
        <f>+InputData[[#This Row],[Coal Activity]]</f>
        <v>0</v>
      </c>
      <c r="M16" s="8">
        <f>SUM(InputData[[#This Row],[Travel Unit (Exca)]:[General Support]])</f>
        <v>0</v>
      </c>
      <c r="N16" s="8">
        <f>SUM(InputData[[#This Row],[P2H]:[GANTI SHIFT]])</f>
        <v>0</v>
      </c>
      <c r="O16" s="8">
        <f>SUM(InputData[[#This Row],[HUJAN]:[PROBLEM COSTUMER]])</f>
        <v>0</v>
      </c>
      <c r="P16" s="8">
        <f>SUM(InputData[[#This Row],[SCHEDULE SERVICE]:[ACCIDENT BREAKDOWN]])</f>
        <v>0</v>
      </c>
      <c r="Q16" s="8">
        <f>IF(InputData[[#This Row],[Code]]="",720-SUM(InputData[[#This Row],[OB]:[BD]]),60-SUM(InputData[[#This Row],[OB]:[BD]]))</f>
        <v>60</v>
      </c>
      <c r="R16" s="9"/>
      <c r="S16" s="8">
        <f>+InputData[[#This Row],[Vol OB]]</f>
        <v>0</v>
      </c>
      <c r="T16" s="8">
        <f>+InputData[[#This Row],[Distance]]</f>
        <v>0</v>
      </c>
      <c r="U16" s="9"/>
      <c r="V16" s="8">
        <f>+InputData[[#This Row],[Ton.Co.V]]</f>
        <v>0</v>
      </c>
      <c r="W16" s="8">
        <f>+InputData[[#This Row],[Distance]]</f>
        <v>0</v>
      </c>
      <c r="X16" s="9"/>
      <c r="Y16" s="8">
        <f>+SUM(InputData[[#This Row],[HARD DIGGING ]:[DOUBLE BENCH ]])</f>
        <v>0</v>
      </c>
      <c r="Z16" s="8">
        <f>SUM(InputData[[#This Row],[FATIGUE CHECK ]:[DAMAGED ROAD ]])</f>
        <v>0</v>
      </c>
      <c r="AA16" s="8">
        <f>SUM(InputData[[#This Row],[NARROW ACCESS ]:[WAITING SUPPORT DISPOSAL ]])</f>
        <v>0</v>
      </c>
      <c r="AB16" s="9"/>
      <c r="AC16" s="10"/>
      <c r="AD16" s="8" t="str">
        <f>IFERROR(INDEX(API_OperatorNIK[employee_name],MATCH(InputData[[#This Row],[NIK]],API_OperatorNIK[NIK+Name],0)),"")</f>
        <v/>
      </c>
      <c r="AE16" s="10"/>
      <c r="AF16" s="10"/>
      <c r="AG16" s="105">
        <f>+InputData[[#This Row],[HMSP]]-InputData[[#This Row],[HMST]]</f>
        <v>0</v>
      </c>
      <c r="AH16" s="105">
        <f>+InputData[[#This Row],[D.HM]]*60</f>
        <v>0</v>
      </c>
      <c r="AI16" s="10"/>
      <c r="AJ16" s="8" t="str">
        <f>IFERROR(_xlfn.XLOOKUP(InputData[[#This Row],[nikpengawas]],API_SupervisorNIK[NIK+Name],API_SupervisorNIK[employee_name]),"")</f>
        <v/>
      </c>
      <c r="AK16" s="10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0"/>
      <c r="CP16" s="143"/>
      <c r="CQ16" s="143"/>
      <c r="CR16" s="143"/>
      <c r="CS16" s="162"/>
      <c r="CT16" s="196"/>
      <c r="CU16" s="12"/>
      <c r="CV16" s="8">
        <f>SUMIF(API_CNUnit[text],InputData[[#This Row],[Code Number]],API_CNUnit[Capacity])*InputData[[#This Row],[Rit OB]]</f>
        <v>0</v>
      </c>
      <c r="CW16" s="8">
        <f>SUMIF(API_CNUnit[text],InputData[[#This Row],[Code Number]],API_CNUnit[Capacity])*InputData[[#This Row],[Rit Rehandling]]</f>
        <v>0</v>
      </c>
      <c r="CX16" s="12"/>
      <c r="CY16" s="173">
        <f>IFERROR(InputData[[#This Row],[Vol OB]]/(InputData[[#This Row],[OB]]/60),0)</f>
        <v>0</v>
      </c>
      <c r="CZ16" s="8">
        <f>InputData[[#This Row],[Vol OB]]*InputData[[#This Row],[Distance]]</f>
        <v>0</v>
      </c>
      <c r="DA16" s="11"/>
      <c r="DB16" s="10"/>
      <c r="DC16" s="10"/>
      <c r="DD16" s="143"/>
      <c r="DE16" s="10"/>
      <c r="DF16" s="196"/>
      <c r="DG16" s="197"/>
      <c r="DH16" s="173">
        <f>IFERROR(SUMIF(API_CNUnit[text],InputData[[#This Row],[Code Number]],API_CNUnit[Capacity])*InputData[[#This Row],[Rit.Co.V]],0)</f>
        <v>0</v>
      </c>
      <c r="DI16" s="12"/>
      <c r="DJ16" s="8">
        <f>+IFERROR((60/InputData[[#This Row],[Coal Activity]])*(InputData[[#This Row],[Ton.Co.V]]),0)</f>
        <v>0</v>
      </c>
      <c r="DK16" s="8">
        <f>+InputData[[#This Row],[Ton.Co.V]]*InputData[[#This Row],[Dist.Co.V]]</f>
        <v>0</v>
      </c>
      <c r="DL16" s="8">
        <f>IFERROR(InputData[[#This Row],[Ton.Co.V]]/1.3,0)</f>
        <v>0</v>
      </c>
      <c r="DM16" s="11"/>
      <c r="DN16" s="12"/>
      <c r="DO16" s="12"/>
      <c r="DP16" s="12"/>
      <c r="DQ16" s="12"/>
      <c r="DR16" s="10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1"/>
      <c r="EL16" s="96"/>
      <c r="EM16" s="11"/>
    </row>
    <row r="17" spans="3:143" x14ac:dyDescent="0.15">
      <c r="C17" s="189">
        <f>IFERROR(VLOOKUP(TEXT(InputData[[#This Row],[Date]],"yyyy-mm"),API_AccountingPeriod[text]:API_AccountingPeriod[Month],2,0),"Please Input Accounting Period")</f>
        <v>7</v>
      </c>
      <c r="D17" s="194" t="str">
        <f>"Week_" &amp;WEEKNUM(InputData[[#This Row],[Date]])</f>
        <v>Week_43</v>
      </c>
      <c r="E17" s="147">
        <v>44491</v>
      </c>
      <c r="F17" s="148" t="s">
        <v>1206</v>
      </c>
      <c r="G17" s="195" t="str">
        <f>IFERROR(VLOOKUP(InputData[[#This Row],[Code Number]],API_CNUnit[text]:API_CNUnit[type],3,0),0)</f>
        <v>DUMP TRUCK CV.TMM</v>
      </c>
      <c r="H17" s="128" t="s">
        <v>209</v>
      </c>
      <c r="I17" s="128" t="s">
        <v>513</v>
      </c>
      <c r="J17" s="7" t="str">
        <f>IFERROR(VLOOKUP(InputData[[#This Row],[Code]],Classhours[[Column1]:[Code]],2,0),"")</f>
        <v>9:00-10:00</v>
      </c>
      <c r="K17" s="8">
        <f>+InputData[[#This Row],[OB Activity]]</f>
        <v>0</v>
      </c>
      <c r="L17" s="8">
        <f>+InputData[[#This Row],[Coal Activity]]</f>
        <v>0</v>
      </c>
      <c r="M17" s="8">
        <f>SUM(InputData[[#This Row],[Travel Unit (Exca)]:[General Support]])</f>
        <v>0</v>
      </c>
      <c r="N17" s="8">
        <f>SUM(InputData[[#This Row],[P2H]:[GANTI SHIFT]])</f>
        <v>0</v>
      </c>
      <c r="O17" s="8">
        <f>SUM(InputData[[#This Row],[HUJAN]:[PROBLEM COSTUMER]])</f>
        <v>0</v>
      </c>
      <c r="P17" s="8">
        <f>SUM(InputData[[#This Row],[SCHEDULE SERVICE]:[ACCIDENT BREAKDOWN]])</f>
        <v>0</v>
      </c>
      <c r="Q17" s="8">
        <f>IF(InputData[[#This Row],[Code]]="",720-SUM(InputData[[#This Row],[OB]:[BD]]),60-SUM(InputData[[#This Row],[OB]:[BD]]))</f>
        <v>60</v>
      </c>
      <c r="R17" s="9"/>
      <c r="S17" s="8">
        <f>+InputData[[#This Row],[Vol OB]]</f>
        <v>0</v>
      </c>
      <c r="T17" s="8">
        <f>+InputData[[#This Row],[Distance]]</f>
        <v>0</v>
      </c>
      <c r="U17" s="9"/>
      <c r="V17" s="8">
        <f>+InputData[[#This Row],[Ton.Co.V]]</f>
        <v>0</v>
      </c>
      <c r="W17" s="8">
        <f>+InputData[[#This Row],[Distance]]</f>
        <v>0</v>
      </c>
      <c r="X17" s="9"/>
      <c r="Y17" s="8">
        <f>+SUM(InputData[[#This Row],[HARD DIGGING ]:[DOUBLE BENCH ]])</f>
        <v>0</v>
      </c>
      <c r="Z17" s="8">
        <f>SUM(InputData[[#This Row],[FATIGUE CHECK ]:[DAMAGED ROAD ]])</f>
        <v>0</v>
      </c>
      <c r="AA17" s="8">
        <f>SUM(InputData[[#This Row],[NARROW ACCESS ]:[WAITING SUPPORT DISPOSAL ]])</f>
        <v>0</v>
      </c>
      <c r="AB17" s="9"/>
      <c r="AC17" s="10"/>
      <c r="AD17" s="8" t="str">
        <f>IFERROR(INDEX(API_OperatorNIK[employee_name],MATCH(InputData[[#This Row],[NIK]],API_OperatorNIK[NIK+Name],0)),"")</f>
        <v/>
      </c>
      <c r="AE17" s="10"/>
      <c r="AF17" s="10"/>
      <c r="AG17" s="105">
        <f>+InputData[[#This Row],[HMSP]]-InputData[[#This Row],[HMST]]</f>
        <v>0</v>
      </c>
      <c r="AH17" s="105">
        <f>+InputData[[#This Row],[D.HM]]*60</f>
        <v>0</v>
      </c>
      <c r="AI17" s="10"/>
      <c r="AJ17" s="8" t="str">
        <f>IFERROR(_xlfn.XLOOKUP(InputData[[#This Row],[nikpengawas]],API_SupervisorNIK[NIK+Name],API_SupervisorNIK[employee_name]),"")</f>
        <v/>
      </c>
      <c r="AK17" s="10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0"/>
      <c r="CP17" s="143"/>
      <c r="CQ17" s="143"/>
      <c r="CR17" s="143"/>
      <c r="CS17" s="162"/>
      <c r="CT17" s="196"/>
      <c r="CU17" s="12"/>
      <c r="CV17" s="8">
        <f>SUMIF(API_CNUnit[text],InputData[[#This Row],[Code Number]],API_CNUnit[Capacity])*InputData[[#This Row],[Rit OB]]</f>
        <v>0</v>
      </c>
      <c r="CW17" s="8">
        <f>SUMIF(API_CNUnit[text],InputData[[#This Row],[Code Number]],API_CNUnit[Capacity])*InputData[[#This Row],[Rit Rehandling]]</f>
        <v>0</v>
      </c>
      <c r="CX17" s="12"/>
      <c r="CY17" s="173">
        <f>IFERROR(InputData[[#This Row],[Vol OB]]/(InputData[[#This Row],[OB]]/60),0)</f>
        <v>0</v>
      </c>
      <c r="CZ17" s="8">
        <f>InputData[[#This Row],[Vol OB]]*InputData[[#This Row],[Distance]]</f>
        <v>0</v>
      </c>
      <c r="DA17" s="11"/>
      <c r="DB17" s="10"/>
      <c r="DC17" s="10"/>
      <c r="DD17" s="143"/>
      <c r="DE17" s="10"/>
      <c r="DF17" s="196"/>
      <c r="DG17" s="197" t="s">
        <v>1750</v>
      </c>
      <c r="DH17" s="173">
        <f>IFERROR(SUMIF(API_CNUnit[text],InputData[[#This Row],[Code Number]],API_CNUnit[Capacity])*InputData[[#This Row],[Rit.Co.V]],0)</f>
        <v>0</v>
      </c>
      <c r="DI17" s="12"/>
      <c r="DJ17" s="8">
        <f>+IFERROR((60/InputData[[#This Row],[Coal Activity]])*(InputData[[#This Row],[Ton.Co.V]]),0)</f>
        <v>0</v>
      </c>
      <c r="DK17" s="8">
        <f>+InputData[[#This Row],[Ton.Co.V]]*InputData[[#This Row],[Dist.Co.V]]</f>
        <v>0</v>
      </c>
      <c r="DL17" s="8">
        <f>IFERROR(InputData[[#This Row],[Ton.Co.V]]/1.3,0)</f>
        <v>0</v>
      </c>
      <c r="DM17" s="11"/>
      <c r="DN17" s="12"/>
      <c r="DO17" s="12"/>
      <c r="DP17" s="12"/>
      <c r="DQ17" s="12"/>
      <c r="DR17" s="10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1"/>
      <c r="EL17" s="96"/>
      <c r="EM17" s="11"/>
    </row>
    <row r="18" spans="3:143" x14ac:dyDescent="0.15">
      <c r="C18" s="189">
        <f>IFERROR(VLOOKUP(TEXT(InputData[[#This Row],[Date]],"yyyy-mm"),API_AccountingPeriod[text]:API_AccountingPeriod[Month],2,0),"Please Input Accounting Period")</f>
        <v>7</v>
      </c>
      <c r="D18" s="194" t="str">
        <f>"Week_" &amp;WEEKNUM(InputData[[#This Row],[Date]])</f>
        <v>Week_43</v>
      </c>
      <c r="E18" s="147">
        <v>44491</v>
      </c>
      <c r="F18" s="148" t="s">
        <v>1206</v>
      </c>
      <c r="G18" s="195" t="str">
        <f>IFERROR(VLOOKUP(InputData[[#This Row],[Code Number]],API_CNUnit[text]:API_CNUnit[type],3,0),0)</f>
        <v>DUMP TRUCK CV.TMM</v>
      </c>
      <c r="H18" s="128" t="s">
        <v>209</v>
      </c>
      <c r="I18" s="128" t="s">
        <v>514</v>
      </c>
      <c r="J18" s="7" t="str">
        <f>IFERROR(VLOOKUP(InputData[[#This Row],[Code]],Classhours[[Column1]:[Code]],2,0),"")</f>
        <v>10:00-11:00</v>
      </c>
      <c r="K18" s="8">
        <f>+InputData[[#This Row],[OB Activity]]</f>
        <v>0</v>
      </c>
      <c r="L18" s="8">
        <f>+InputData[[#This Row],[Coal Activity]]</f>
        <v>0</v>
      </c>
      <c r="M18" s="8">
        <f>SUM(InputData[[#This Row],[Travel Unit (Exca)]:[General Support]])</f>
        <v>0</v>
      </c>
      <c r="N18" s="8">
        <f>SUM(InputData[[#This Row],[P2H]:[GANTI SHIFT]])</f>
        <v>0</v>
      </c>
      <c r="O18" s="8">
        <f>SUM(InputData[[#This Row],[HUJAN]:[PROBLEM COSTUMER]])</f>
        <v>0</v>
      </c>
      <c r="P18" s="8">
        <f>SUM(InputData[[#This Row],[SCHEDULE SERVICE]:[ACCIDENT BREAKDOWN]])</f>
        <v>0</v>
      </c>
      <c r="Q18" s="8">
        <f>IF(InputData[[#This Row],[Code]]="",720-SUM(InputData[[#This Row],[OB]:[BD]]),60-SUM(InputData[[#This Row],[OB]:[BD]]))</f>
        <v>60</v>
      </c>
      <c r="R18" s="9"/>
      <c r="S18" s="8">
        <f>+InputData[[#This Row],[Vol OB]]</f>
        <v>0</v>
      </c>
      <c r="T18" s="8">
        <f>+InputData[[#This Row],[Distance]]</f>
        <v>0</v>
      </c>
      <c r="U18" s="9"/>
      <c r="V18" s="8">
        <f>+InputData[[#This Row],[Ton.Co.V]]</f>
        <v>0</v>
      </c>
      <c r="W18" s="8">
        <f>+InputData[[#This Row],[Distance]]</f>
        <v>0</v>
      </c>
      <c r="X18" s="9"/>
      <c r="Y18" s="8">
        <f>+SUM(InputData[[#This Row],[HARD DIGGING ]:[DOUBLE BENCH ]])</f>
        <v>0</v>
      </c>
      <c r="Z18" s="8">
        <f>SUM(InputData[[#This Row],[FATIGUE CHECK ]:[DAMAGED ROAD ]])</f>
        <v>0</v>
      </c>
      <c r="AA18" s="8">
        <f>SUM(InputData[[#This Row],[NARROW ACCESS ]:[WAITING SUPPORT DISPOSAL ]])</f>
        <v>0</v>
      </c>
      <c r="AB18" s="9"/>
      <c r="AC18" s="10"/>
      <c r="AD18" s="8" t="str">
        <f>IFERROR(INDEX(API_OperatorNIK[employee_name],MATCH(InputData[[#This Row],[NIK]],API_OperatorNIK[NIK+Name],0)),"")</f>
        <v/>
      </c>
      <c r="AE18" s="10"/>
      <c r="AF18" s="10"/>
      <c r="AG18" s="105">
        <f>+InputData[[#This Row],[HMSP]]-InputData[[#This Row],[HMST]]</f>
        <v>0</v>
      </c>
      <c r="AH18" s="105">
        <f>+InputData[[#This Row],[D.HM]]*60</f>
        <v>0</v>
      </c>
      <c r="AI18" s="10"/>
      <c r="AJ18" s="8" t="str">
        <f>IFERROR(_xlfn.XLOOKUP(InputData[[#This Row],[nikpengawas]],API_SupervisorNIK[NIK+Name],API_SupervisorNIK[employee_name]),"")</f>
        <v/>
      </c>
      <c r="AK18" s="10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0"/>
      <c r="CP18" s="143"/>
      <c r="CQ18" s="143"/>
      <c r="CR18" s="143"/>
      <c r="CS18" s="162"/>
      <c r="CT18" s="196"/>
      <c r="CU18" s="12"/>
      <c r="CV18" s="8">
        <f>SUMIF(API_CNUnit[text],InputData[[#This Row],[Code Number]],API_CNUnit[Capacity])*InputData[[#This Row],[Rit OB]]</f>
        <v>0</v>
      </c>
      <c r="CW18" s="8">
        <f>SUMIF(API_CNUnit[text],InputData[[#This Row],[Code Number]],API_CNUnit[Capacity])*InputData[[#This Row],[Rit Rehandling]]</f>
        <v>0</v>
      </c>
      <c r="CX18" s="12"/>
      <c r="CY18" s="173">
        <f>IFERROR(InputData[[#This Row],[Vol OB]]/(InputData[[#This Row],[OB]]/60),0)</f>
        <v>0</v>
      </c>
      <c r="CZ18" s="8">
        <f>InputData[[#This Row],[Vol OB]]*InputData[[#This Row],[Distance]]</f>
        <v>0</v>
      </c>
      <c r="DA18" s="11"/>
      <c r="DB18" s="10"/>
      <c r="DC18" s="10"/>
      <c r="DD18" s="143"/>
      <c r="DE18" s="10"/>
      <c r="DF18" s="196"/>
      <c r="DG18" s="197"/>
      <c r="DH18" s="173">
        <f>IFERROR(SUMIF(API_CNUnit[text],InputData[[#This Row],[Code Number]],API_CNUnit[Capacity])*InputData[[#This Row],[Rit.Co.V]],0)</f>
        <v>0</v>
      </c>
      <c r="DI18" s="12"/>
      <c r="DJ18" s="8">
        <f>+IFERROR((60/InputData[[#This Row],[Coal Activity]])*(InputData[[#This Row],[Ton.Co.V]]),0)</f>
        <v>0</v>
      </c>
      <c r="DK18" s="8">
        <f>+InputData[[#This Row],[Ton.Co.V]]*InputData[[#This Row],[Dist.Co.V]]</f>
        <v>0</v>
      </c>
      <c r="DL18" s="8">
        <f>IFERROR(InputData[[#This Row],[Ton.Co.V]]/1.3,0)</f>
        <v>0</v>
      </c>
      <c r="DM18" s="11"/>
      <c r="DN18" s="12"/>
      <c r="DO18" s="12"/>
      <c r="DP18" s="12"/>
      <c r="DQ18" s="12"/>
      <c r="DR18" s="10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1"/>
      <c r="EL18" s="96"/>
      <c r="EM18" s="11"/>
    </row>
    <row r="19" spans="3:143" x14ac:dyDescent="0.15">
      <c r="C19" s="189">
        <f>IFERROR(VLOOKUP(TEXT(InputData[[#This Row],[Date]],"yyyy-mm"),API_AccountingPeriod[text]:API_AccountingPeriod[Month],2,0),"Please Input Accounting Period")</f>
        <v>7</v>
      </c>
      <c r="D19" s="194" t="str">
        <f>"Week_" &amp;WEEKNUM(InputData[[#This Row],[Date]])</f>
        <v>Week_43</v>
      </c>
      <c r="E19" s="147">
        <v>44491</v>
      </c>
      <c r="F19" s="148" t="s">
        <v>1206</v>
      </c>
      <c r="G19" s="195" t="str">
        <f>IFERROR(VLOOKUP(InputData[[#This Row],[Code Number]],API_CNUnit[text]:API_CNUnit[type],3,0),0)</f>
        <v>DUMP TRUCK CV.TMM</v>
      </c>
      <c r="H19" s="128" t="s">
        <v>209</v>
      </c>
      <c r="I19" s="128" t="s">
        <v>515</v>
      </c>
      <c r="J19" s="7" t="str">
        <f>IFERROR(VLOOKUP(InputData[[#This Row],[Code]],Classhours[[Column1]:[Code]],2,0),"")</f>
        <v>11:00-12:00</v>
      </c>
      <c r="K19" s="8">
        <f>+InputData[[#This Row],[OB Activity]]</f>
        <v>0</v>
      </c>
      <c r="L19" s="8">
        <f>+InputData[[#This Row],[Coal Activity]]</f>
        <v>0</v>
      </c>
      <c r="M19" s="8">
        <f>SUM(InputData[[#This Row],[Travel Unit (Exca)]:[General Support]])</f>
        <v>0</v>
      </c>
      <c r="N19" s="8">
        <f>SUM(InputData[[#This Row],[P2H]:[GANTI SHIFT]])</f>
        <v>0</v>
      </c>
      <c r="O19" s="8">
        <f>SUM(InputData[[#This Row],[HUJAN]:[PROBLEM COSTUMER]])</f>
        <v>0</v>
      </c>
      <c r="P19" s="8">
        <f>SUM(InputData[[#This Row],[SCHEDULE SERVICE]:[ACCIDENT BREAKDOWN]])</f>
        <v>0</v>
      </c>
      <c r="Q19" s="8">
        <f>IF(InputData[[#This Row],[Code]]="",720-SUM(InputData[[#This Row],[OB]:[BD]]),60-SUM(InputData[[#This Row],[OB]:[BD]]))</f>
        <v>60</v>
      </c>
      <c r="R19" s="9"/>
      <c r="S19" s="8">
        <f>+InputData[[#This Row],[Vol OB]]</f>
        <v>0</v>
      </c>
      <c r="T19" s="8">
        <f>+InputData[[#This Row],[Distance]]</f>
        <v>0</v>
      </c>
      <c r="U19" s="9"/>
      <c r="V19" s="8">
        <f>+InputData[[#This Row],[Ton.Co.V]]</f>
        <v>0</v>
      </c>
      <c r="W19" s="8">
        <f>+InputData[[#This Row],[Distance]]</f>
        <v>0</v>
      </c>
      <c r="X19" s="9"/>
      <c r="Y19" s="8">
        <f>+SUM(InputData[[#This Row],[HARD DIGGING ]:[DOUBLE BENCH ]])</f>
        <v>0</v>
      </c>
      <c r="Z19" s="8">
        <f>SUM(InputData[[#This Row],[FATIGUE CHECK ]:[DAMAGED ROAD ]])</f>
        <v>0</v>
      </c>
      <c r="AA19" s="8">
        <f>SUM(InputData[[#This Row],[NARROW ACCESS ]:[WAITING SUPPORT DISPOSAL ]])</f>
        <v>0</v>
      </c>
      <c r="AB19" s="9"/>
      <c r="AC19" s="10"/>
      <c r="AD19" s="8" t="str">
        <f>IFERROR(INDEX(API_OperatorNIK[employee_name],MATCH(InputData[[#This Row],[NIK]],API_OperatorNIK[NIK+Name],0)),"")</f>
        <v/>
      </c>
      <c r="AE19" s="10"/>
      <c r="AF19" s="10"/>
      <c r="AG19" s="105">
        <f>+InputData[[#This Row],[HMSP]]-InputData[[#This Row],[HMST]]</f>
        <v>0</v>
      </c>
      <c r="AH19" s="105">
        <f>+InputData[[#This Row],[D.HM]]*60</f>
        <v>0</v>
      </c>
      <c r="AI19" s="10"/>
      <c r="AJ19" s="8" t="str">
        <f>IFERROR(_xlfn.XLOOKUP(InputData[[#This Row],[nikpengawas]],API_SupervisorNIK[NIK+Name],API_SupervisorNIK[employee_name]),"")</f>
        <v/>
      </c>
      <c r="AK19" s="10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0"/>
      <c r="CP19" s="143"/>
      <c r="CQ19" s="143"/>
      <c r="CR19" s="143"/>
      <c r="CS19" s="162"/>
      <c r="CT19" s="196"/>
      <c r="CU19" s="12"/>
      <c r="CV19" s="8">
        <f>SUMIF(API_CNUnit[text],InputData[[#This Row],[Code Number]],API_CNUnit[Capacity])*InputData[[#This Row],[Rit OB]]</f>
        <v>0</v>
      </c>
      <c r="CW19" s="8">
        <f>SUMIF(API_CNUnit[text],InputData[[#This Row],[Code Number]],API_CNUnit[Capacity])*InputData[[#This Row],[Rit Rehandling]]</f>
        <v>0</v>
      </c>
      <c r="CX19" s="12"/>
      <c r="CY19" s="173">
        <f>IFERROR(InputData[[#This Row],[Vol OB]]/(InputData[[#This Row],[OB]]/60),0)</f>
        <v>0</v>
      </c>
      <c r="CZ19" s="8">
        <f>InputData[[#This Row],[Vol OB]]*InputData[[#This Row],[Distance]]</f>
        <v>0</v>
      </c>
      <c r="DA19" s="11"/>
      <c r="DB19" s="10"/>
      <c r="DC19" s="10"/>
      <c r="DD19" s="143"/>
      <c r="DE19" s="10"/>
      <c r="DF19" s="196"/>
      <c r="DG19" s="197"/>
      <c r="DH19" s="173">
        <f>IFERROR(SUMIF(API_CNUnit[text],InputData[[#This Row],[Code Number]],API_CNUnit[Capacity])*InputData[[#This Row],[Rit.Co.V]],0)</f>
        <v>0</v>
      </c>
      <c r="DI19" s="12"/>
      <c r="DJ19" s="8">
        <f>+IFERROR((60/InputData[[#This Row],[Coal Activity]])*(InputData[[#This Row],[Ton.Co.V]]),0)</f>
        <v>0</v>
      </c>
      <c r="DK19" s="8">
        <f>+InputData[[#This Row],[Ton.Co.V]]*InputData[[#This Row],[Dist.Co.V]]</f>
        <v>0</v>
      </c>
      <c r="DL19" s="8">
        <f>IFERROR(InputData[[#This Row],[Ton.Co.V]]/1.3,0)</f>
        <v>0</v>
      </c>
      <c r="DM19" s="11"/>
      <c r="DN19" s="12"/>
      <c r="DO19" s="12"/>
      <c r="DP19" s="12"/>
      <c r="DQ19" s="12"/>
      <c r="DR19" s="10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1"/>
      <c r="EL19" s="96"/>
      <c r="EM19" s="11"/>
    </row>
    <row r="20" spans="3:143" x14ac:dyDescent="0.15">
      <c r="C20" s="189">
        <f>IFERROR(VLOOKUP(TEXT(InputData[[#This Row],[Date]],"yyyy-mm"),API_AccountingPeriod[text]:API_AccountingPeriod[Month],2,0),"Please Input Accounting Period")</f>
        <v>7</v>
      </c>
      <c r="D20" s="194" t="str">
        <f>"Week_" &amp;WEEKNUM(InputData[[#This Row],[Date]])</f>
        <v>Week_43</v>
      </c>
      <c r="E20" s="147">
        <v>44491</v>
      </c>
      <c r="F20" s="148" t="s">
        <v>1206</v>
      </c>
      <c r="G20" s="195" t="str">
        <f>IFERROR(VLOOKUP(InputData[[#This Row],[Code Number]],API_CNUnit[text]:API_CNUnit[type],3,0),0)</f>
        <v>DUMP TRUCK CV.TMM</v>
      </c>
      <c r="H20" s="128" t="s">
        <v>209</v>
      </c>
      <c r="I20" s="128" t="s">
        <v>516</v>
      </c>
      <c r="J20" s="7" t="str">
        <f>IFERROR(VLOOKUP(InputData[[#This Row],[Code]],Classhours[[Column1]:[Code]],2,0),"")</f>
        <v>12:00-13:00</v>
      </c>
      <c r="K20" s="8">
        <f>+InputData[[#This Row],[OB Activity]]</f>
        <v>0</v>
      </c>
      <c r="L20" s="8">
        <f>+InputData[[#This Row],[Coal Activity]]</f>
        <v>0</v>
      </c>
      <c r="M20" s="8">
        <f>SUM(InputData[[#This Row],[Travel Unit (Exca)]:[General Support]])</f>
        <v>0</v>
      </c>
      <c r="N20" s="8">
        <f>SUM(InputData[[#This Row],[P2H]:[GANTI SHIFT]])</f>
        <v>0</v>
      </c>
      <c r="O20" s="8">
        <f>SUM(InputData[[#This Row],[HUJAN]:[PROBLEM COSTUMER]])</f>
        <v>0</v>
      </c>
      <c r="P20" s="8">
        <f>SUM(InputData[[#This Row],[SCHEDULE SERVICE]:[ACCIDENT BREAKDOWN]])</f>
        <v>0</v>
      </c>
      <c r="Q20" s="8">
        <f>IF(InputData[[#This Row],[Code]]="",720-SUM(InputData[[#This Row],[OB]:[BD]]),60-SUM(InputData[[#This Row],[OB]:[BD]]))</f>
        <v>60</v>
      </c>
      <c r="R20" s="9"/>
      <c r="S20" s="8">
        <f>+InputData[[#This Row],[Vol OB]]</f>
        <v>0</v>
      </c>
      <c r="T20" s="8">
        <f>+InputData[[#This Row],[Distance]]</f>
        <v>0</v>
      </c>
      <c r="U20" s="9"/>
      <c r="V20" s="8">
        <f>+InputData[[#This Row],[Ton.Co.V]]</f>
        <v>0</v>
      </c>
      <c r="W20" s="8">
        <f>+InputData[[#This Row],[Distance]]</f>
        <v>0</v>
      </c>
      <c r="X20" s="9"/>
      <c r="Y20" s="8">
        <f>+SUM(InputData[[#This Row],[HARD DIGGING ]:[DOUBLE BENCH ]])</f>
        <v>0</v>
      </c>
      <c r="Z20" s="8">
        <f>SUM(InputData[[#This Row],[FATIGUE CHECK ]:[DAMAGED ROAD ]])</f>
        <v>0</v>
      </c>
      <c r="AA20" s="8">
        <f>SUM(InputData[[#This Row],[NARROW ACCESS ]:[WAITING SUPPORT DISPOSAL ]])</f>
        <v>0</v>
      </c>
      <c r="AB20" s="9"/>
      <c r="AC20" s="10"/>
      <c r="AD20" s="8" t="str">
        <f>IFERROR(INDEX(API_OperatorNIK[employee_name],MATCH(InputData[[#This Row],[NIK]],API_OperatorNIK[NIK+Name],0)),"")</f>
        <v/>
      </c>
      <c r="AE20" s="10"/>
      <c r="AF20" s="10"/>
      <c r="AG20" s="105">
        <f>+InputData[[#This Row],[HMSP]]-InputData[[#This Row],[HMST]]</f>
        <v>0</v>
      </c>
      <c r="AH20" s="105">
        <f>+InputData[[#This Row],[D.HM]]*60</f>
        <v>0</v>
      </c>
      <c r="AI20" s="10"/>
      <c r="AJ20" s="8" t="str">
        <f>IFERROR(_xlfn.XLOOKUP(InputData[[#This Row],[nikpengawas]],API_SupervisorNIK[NIK+Name],API_SupervisorNIK[employee_name]),"")</f>
        <v/>
      </c>
      <c r="AK20" s="10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0"/>
      <c r="CP20" s="143"/>
      <c r="CQ20" s="143"/>
      <c r="CR20" s="143"/>
      <c r="CS20" s="162"/>
      <c r="CT20" s="196"/>
      <c r="CU20" s="12"/>
      <c r="CV20" s="8">
        <f>SUMIF(API_CNUnit[text],InputData[[#This Row],[Code Number]],API_CNUnit[Capacity])*InputData[[#This Row],[Rit OB]]</f>
        <v>0</v>
      </c>
      <c r="CW20" s="8">
        <f>SUMIF(API_CNUnit[text],InputData[[#This Row],[Code Number]],API_CNUnit[Capacity])*InputData[[#This Row],[Rit Rehandling]]</f>
        <v>0</v>
      </c>
      <c r="CX20" s="12"/>
      <c r="CY20" s="173">
        <f>IFERROR(InputData[[#This Row],[Vol OB]]/(InputData[[#This Row],[OB]]/60),0)</f>
        <v>0</v>
      </c>
      <c r="CZ20" s="8">
        <f>InputData[[#This Row],[Vol OB]]*InputData[[#This Row],[Distance]]</f>
        <v>0</v>
      </c>
      <c r="DA20" s="11"/>
      <c r="DB20" s="10"/>
      <c r="DC20" s="10"/>
      <c r="DD20" s="143"/>
      <c r="DE20" s="10"/>
      <c r="DF20" s="196"/>
      <c r="DG20" s="197"/>
      <c r="DH20" s="173">
        <f>IFERROR(SUMIF(API_CNUnit[text],InputData[[#This Row],[Code Number]],API_CNUnit[Capacity])*InputData[[#This Row],[Rit.Co.V]],0)</f>
        <v>0</v>
      </c>
      <c r="DI20" s="12"/>
      <c r="DJ20" s="8">
        <f>+IFERROR((60/InputData[[#This Row],[Coal Activity]])*(InputData[[#This Row],[Ton.Co.V]]),0)</f>
        <v>0</v>
      </c>
      <c r="DK20" s="8">
        <f>+InputData[[#This Row],[Ton.Co.V]]*InputData[[#This Row],[Dist.Co.V]]</f>
        <v>0</v>
      </c>
      <c r="DL20" s="8">
        <f>IFERROR(InputData[[#This Row],[Ton.Co.V]]/1.3,0)</f>
        <v>0</v>
      </c>
      <c r="DM20" s="11"/>
      <c r="DN20" s="12"/>
      <c r="DO20" s="12"/>
      <c r="DP20" s="12"/>
      <c r="DQ20" s="12"/>
      <c r="DR20" s="10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1"/>
      <c r="EL20" s="96"/>
      <c r="EM20" s="11"/>
    </row>
    <row r="21" spans="3:143" x14ac:dyDescent="0.15">
      <c r="C21" s="189">
        <f>IFERROR(VLOOKUP(TEXT(InputData[[#This Row],[Date]],"yyyy-mm"),API_AccountingPeriod[text]:API_AccountingPeriod[Month],2,0),"Please Input Accounting Period")</f>
        <v>7</v>
      </c>
      <c r="D21" s="194" t="str">
        <f>"Week_" &amp;WEEKNUM(InputData[[#This Row],[Date]])</f>
        <v>Week_43</v>
      </c>
      <c r="E21" s="147">
        <v>44491</v>
      </c>
      <c r="F21" s="148" t="s">
        <v>1206</v>
      </c>
      <c r="G21" s="195" t="str">
        <f>IFERROR(VLOOKUP(InputData[[#This Row],[Code Number]],API_CNUnit[text]:API_CNUnit[type],3,0),0)</f>
        <v>DUMP TRUCK CV.TMM</v>
      </c>
      <c r="H21" s="128" t="s">
        <v>209</v>
      </c>
      <c r="I21" s="128" t="s">
        <v>517</v>
      </c>
      <c r="J21" s="7" t="str">
        <f>IFERROR(VLOOKUP(InputData[[#This Row],[Code]],Classhours[[Column1]:[Code]],2,0),"")</f>
        <v>13:00-14:00</v>
      </c>
      <c r="K21" s="8">
        <f>+InputData[[#This Row],[OB Activity]]</f>
        <v>0</v>
      </c>
      <c r="L21" s="8">
        <f>+InputData[[#This Row],[Coal Activity]]</f>
        <v>0</v>
      </c>
      <c r="M21" s="8">
        <f>SUM(InputData[[#This Row],[Travel Unit (Exca)]:[General Support]])</f>
        <v>0</v>
      </c>
      <c r="N21" s="8">
        <f>SUM(InputData[[#This Row],[P2H]:[GANTI SHIFT]])</f>
        <v>0</v>
      </c>
      <c r="O21" s="8">
        <f>SUM(InputData[[#This Row],[HUJAN]:[PROBLEM COSTUMER]])</f>
        <v>0</v>
      </c>
      <c r="P21" s="8">
        <f>SUM(InputData[[#This Row],[SCHEDULE SERVICE]:[ACCIDENT BREAKDOWN]])</f>
        <v>0</v>
      </c>
      <c r="Q21" s="8">
        <f>IF(InputData[[#This Row],[Code]]="",720-SUM(InputData[[#This Row],[OB]:[BD]]),60-SUM(InputData[[#This Row],[OB]:[BD]]))</f>
        <v>60</v>
      </c>
      <c r="R21" s="9"/>
      <c r="S21" s="8">
        <f>+InputData[[#This Row],[Vol OB]]</f>
        <v>0</v>
      </c>
      <c r="T21" s="8">
        <f>+InputData[[#This Row],[Distance]]</f>
        <v>0</v>
      </c>
      <c r="U21" s="9"/>
      <c r="V21" s="8">
        <f>+InputData[[#This Row],[Ton.Co.V]]</f>
        <v>0</v>
      </c>
      <c r="W21" s="8">
        <f>+InputData[[#This Row],[Distance]]</f>
        <v>0</v>
      </c>
      <c r="X21" s="9"/>
      <c r="Y21" s="8">
        <f>+SUM(InputData[[#This Row],[HARD DIGGING ]:[DOUBLE BENCH ]])</f>
        <v>0</v>
      </c>
      <c r="Z21" s="8">
        <f>SUM(InputData[[#This Row],[FATIGUE CHECK ]:[DAMAGED ROAD ]])</f>
        <v>0</v>
      </c>
      <c r="AA21" s="8">
        <f>SUM(InputData[[#This Row],[NARROW ACCESS ]:[WAITING SUPPORT DISPOSAL ]])</f>
        <v>0</v>
      </c>
      <c r="AB21" s="9"/>
      <c r="AC21" s="10"/>
      <c r="AD21" s="8" t="str">
        <f>IFERROR(INDEX(API_OperatorNIK[employee_name],MATCH(InputData[[#This Row],[NIK]],API_OperatorNIK[NIK+Name],0)),"")</f>
        <v/>
      </c>
      <c r="AE21" s="10"/>
      <c r="AF21" s="10"/>
      <c r="AG21" s="105">
        <f>+InputData[[#This Row],[HMSP]]-InputData[[#This Row],[HMST]]</f>
        <v>0</v>
      </c>
      <c r="AH21" s="105">
        <f>+InputData[[#This Row],[D.HM]]*60</f>
        <v>0</v>
      </c>
      <c r="AI21" s="10"/>
      <c r="AJ21" s="8" t="str">
        <f>IFERROR(_xlfn.XLOOKUP(InputData[[#This Row],[nikpengawas]],API_SupervisorNIK[NIK+Name],API_SupervisorNIK[employee_name]),"")</f>
        <v/>
      </c>
      <c r="AK21" s="10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0"/>
      <c r="CP21" s="143"/>
      <c r="CQ21" s="143"/>
      <c r="CR21" s="143"/>
      <c r="CS21" s="162"/>
      <c r="CT21" s="196"/>
      <c r="CU21" s="12"/>
      <c r="CV21" s="8">
        <f>SUMIF(API_CNUnit[text],InputData[[#This Row],[Code Number]],API_CNUnit[Capacity])*InputData[[#This Row],[Rit OB]]</f>
        <v>0</v>
      </c>
      <c r="CW21" s="8">
        <f>SUMIF(API_CNUnit[text],InputData[[#This Row],[Code Number]],API_CNUnit[Capacity])*InputData[[#This Row],[Rit Rehandling]]</f>
        <v>0</v>
      </c>
      <c r="CX21" s="12"/>
      <c r="CY21" s="173">
        <f>IFERROR(InputData[[#This Row],[Vol OB]]/(InputData[[#This Row],[OB]]/60),0)</f>
        <v>0</v>
      </c>
      <c r="CZ21" s="8">
        <f>InputData[[#This Row],[Vol OB]]*InputData[[#This Row],[Distance]]</f>
        <v>0</v>
      </c>
      <c r="DA21" s="11"/>
      <c r="DB21" s="10"/>
      <c r="DC21" s="10"/>
      <c r="DD21" s="143"/>
      <c r="DE21" s="10"/>
      <c r="DF21" s="196"/>
      <c r="DG21" s="197" t="s">
        <v>2050</v>
      </c>
      <c r="DH21" s="173">
        <f>IFERROR(SUMIF(API_CNUnit[text],InputData[[#This Row],[Code Number]],API_CNUnit[Capacity])*InputData[[#This Row],[Rit.Co.V]],0)</f>
        <v>0</v>
      </c>
      <c r="DI21" s="12"/>
      <c r="DJ21" s="8">
        <f>+IFERROR((60/InputData[[#This Row],[Coal Activity]])*(InputData[[#This Row],[Ton.Co.V]]),0)</f>
        <v>0</v>
      </c>
      <c r="DK21" s="8">
        <f>+InputData[[#This Row],[Ton.Co.V]]*InputData[[#This Row],[Dist.Co.V]]</f>
        <v>0</v>
      </c>
      <c r="DL21" s="8">
        <f>IFERROR(InputData[[#This Row],[Ton.Co.V]]/1.3,0)</f>
        <v>0</v>
      </c>
      <c r="DM21" s="11"/>
      <c r="DN21" s="12"/>
      <c r="DO21" s="12"/>
      <c r="DP21" s="12"/>
      <c r="DQ21" s="12"/>
      <c r="DR21" s="10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1"/>
      <c r="EL21" s="96"/>
      <c r="EM21" s="11"/>
    </row>
    <row r="22" spans="3:143" x14ac:dyDescent="0.15">
      <c r="C22" s="189">
        <f>IFERROR(VLOOKUP(TEXT(InputData[[#This Row],[Date]],"yyyy-mm"),API_AccountingPeriod[text]:API_AccountingPeriod[Month],2,0),"Please Input Accounting Period")</f>
        <v>7</v>
      </c>
      <c r="D22" s="194" t="str">
        <f>"Week_" &amp;WEEKNUM(InputData[[#This Row],[Date]])</f>
        <v>Week_43</v>
      </c>
      <c r="E22" s="147">
        <v>44491</v>
      </c>
      <c r="F22" s="148" t="s">
        <v>1206</v>
      </c>
      <c r="G22" s="195" t="str">
        <f>IFERROR(VLOOKUP(InputData[[#This Row],[Code Number]],API_CNUnit[text]:API_CNUnit[type],3,0),0)</f>
        <v>DUMP TRUCK CV.TMM</v>
      </c>
      <c r="H22" s="128" t="s">
        <v>209</v>
      </c>
      <c r="I22" s="128" t="s">
        <v>518</v>
      </c>
      <c r="J22" s="7" t="str">
        <f>IFERROR(VLOOKUP(InputData[[#This Row],[Code]],Classhours[[Column1]:[Code]],2,0),"")</f>
        <v>14:00-15:00</v>
      </c>
      <c r="K22" s="8">
        <f>+InputData[[#This Row],[OB Activity]]</f>
        <v>0</v>
      </c>
      <c r="L22" s="8">
        <f>+InputData[[#This Row],[Coal Activity]]</f>
        <v>0</v>
      </c>
      <c r="M22" s="8">
        <f>SUM(InputData[[#This Row],[Travel Unit (Exca)]:[General Support]])</f>
        <v>0</v>
      </c>
      <c r="N22" s="8">
        <f>SUM(InputData[[#This Row],[P2H]:[GANTI SHIFT]])</f>
        <v>0</v>
      </c>
      <c r="O22" s="8">
        <f>SUM(InputData[[#This Row],[HUJAN]:[PROBLEM COSTUMER]])</f>
        <v>0</v>
      </c>
      <c r="P22" s="8">
        <f>SUM(InputData[[#This Row],[SCHEDULE SERVICE]:[ACCIDENT BREAKDOWN]])</f>
        <v>0</v>
      </c>
      <c r="Q22" s="8">
        <f>IF(InputData[[#This Row],[Code]]="",720-SUM(InputData[[#This Row],[OB]:[BD]]),60-SUM(InputData[[#This Row],[OB]:[BD]]))</f>
        <v>60</v>
      </c>
      <c r="R22" s="9"/>
      <c r="S22" s="8">
        <f>+InputData[[#This Row],[Vol OB]]</f>
        <v>0</v>
      </c>
      <c r="T22" s="8">
        <f>+InputData[[#This Row],[Distance]]</f>
        <v>0</v>
      </c>
      <c r="U22" s="9"/>
      <c r="V22" s="8">
        <f>+InputData[[#This Row],[Ton.Co.V]]</f>
        <v>0</v>
      </c>
      <c r="W22" s="8">
        <f>+InputData[[#This Row],[Distance]]</f>
        <v>0</v>
      </c>
      <c r="X22" s="9"/>
      <c r="Y22" s="8">
        <f>+SUM(InputData[[#This Row],[HARD DIGGING ]:[DOUBLE BENCH ]])</f>
        <v>0</v>
      </c>
      <c r="Z22" s="8">
        <f>SUM(InputData[[#This Row],[FATIGUE CHECK ]:[DAMAGED ROAD ]])</f>
        <v>0</v>
      </c>
      <c r="AA22" s="8">
        <f>SUM(InputData[[#This Row],[NARROW ACCESS ]:[WAITING SUPPORT DISPOSAL ]])</f>
        <v>0</v>
      </c>
      <c r="AB22" s="9"/>
      <c r="AC22" s="10"/>
      <c r="AD22" s="8" t="str">
        <f>IFERROR(INDEX(API_OperatorNIK[employee_name],MATCH(InputData[[#This Row],[NIK]],API_OperatorNIK[NIK+Name],0)),"")</f>
        <v/>
      </c>
      <c r="AE22" s="10"/>
      <c r="AF22" s="10"/>
      <c r="AG22" s="105">
        <f>+InputData[[#This Row],[HMSP]]-InputData[[#This Row],[HMST]]</f>
        <v>0</v>
      </c>
      <c r="AH22" s="105">
        <f>+InputData[[#This Row],[D.HM]]*60</f>
        <v>0</v>
      </c>
      <c r="AI22" s="10"/>
      <c r="AJ22" s="8" t="str">
        <f>IFERROR(_xlfn.XLOOKUP(InputData[[#This Row],[nikpengawas]],API_SupervisorNIK[NIK+Name],API_SupervisorNIK[employee_name]),"")</f>
        <v/>
      </c>
      <c r="AK22" s="10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0"/>
      <c r="CP22" s="143"/>
      <c r="CQ22" s="143"/>
      <c r="CR22" s="143"/>
      <c r="CS22" s="162"/>
      <c r="CT22" s="196"/>
      <c r="CU22" s="12"/>
      <c r="CV22" s="8">
        <f>SUMIF(API_CNUnit[text],InputData[[#This Row],[Code Number]],API_CNUnit[Capacity])*InputData[[#This Row],[Rit OB]]</f>
        <v>0</v>
      </c>
      <c r="CW22" s="8">
        <f>SUMIF(API_CNUnit[text],InputData[[#This Row],[Code Number]],API_CNUnit[Capacity])*InputData[[#This Row],[Rit Rehandling]]</f>
        <v>0</v>
      </c>
      <c r="CX22" s="12"/>
      <c r="CY22" s="173">
        <f>IFERROR(InputData[[#This Row],[Vol OB]]/(InputData[[#This Row],[OB]]/60),0)</f>
        <v>0</v>
      </c>
      <c r="CZ22" s="8">
        <f>InputData[[#This Row],[Vol OB]]*InputData[[#This Row],[Distance]]</f>
        <v>0</v>
      </c>
      <c r="DA22" s="11"/>
      <c r="DB22" s="10"/>
      <c r="DC22" s="10"/>
      <c r="DD22" s="143"/>
      <c r="DE22" s="10"/>
      <c r="DF22" s="196"/>
      <c r="DG22" s="197"/>
      <c r="DH22" s="173">
        <f>IFERROR(SUMIF(API_CNUnit[text],InputData[[#This Row],[Code Number]],API_CNUnit[Capacity])*InputData[[#This Row],[Rit.Co.V]],0)</f>
        <v>0</v>
      </c>
      <c r="DI22" s="12"/>
      <c r="DJ22" s="8">
        <f>+IFERROR((60/InputData[[#This Row],[Coal Activity]])*(InputData[[#This Row],[Ton.Co.V]]),0)</f>
        <v>0</v>
      </c>
      <c r="DK22" s="8">
        <f>+InputData[[#This Row],[Ton.Co.V]]*InputData[[#This Row],[Dist.Co.V]]</f>
        <v>0</v>
      </c>
      <c r="DL22" s="8">
        <f>IFERROR(InputData[[#This Row],[Ton.Co.V]]/1.3,0)</f>
        <v>0</v>
      </c>
      <c r="DM22" s="11"/>
      <c r="DN22" s="12"/>
      <c r="DO22" s="12"/>
      <c r="DP22" s="12"/>
      <c r="DQ22" s="12"/>
      <c r="DR22" s="10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1"/>
      <c r="EL22" s="96"/>
      <c r="EM22" s="11"/>
    </row>
    <row r="23" spans="3:143" x14ac:dyDescent="0.15">
      <c r="C23" s="189">
        <f>IFERROR(VLOOKUP(TEXT(InputData[[#This Row],[Date]],"yyyy-mm"),API_AccountingPeriod[text]:API_AccountingPeriod[Month],2,0),"Please Input Accounting Period")</f>
        <v>7</v>
      </c>
      <c r="D23" s="194" t="str">
        <f>"Week_" &amp;WEEKNUM(InputData[[#This Row],[Date]])</f>
        <v>Week_43</v>
      </c>
      <c r="E23" s="147">
        <v>44491</v>
      </c>
      <c r="F23" s="148" t="s">
        <v>1206</v>
      </c>
      <c r="G23" s="195" t="str">
        <f>IFERROR(VLOOKUP(InputData[[#This Row],[Code Number]],API_CNUnit[text]:API_CNUnit[type],3,0),0)</f>
        <v>DUMP TRUCK CV.TMM</v>
      </c>
      <c r="H23" s="128" t="s">
        <v>209</v>
      </c>
      <c r="I23" s="128" t="s">
        <v>21</v>
      </c>
      <c r="J23" s="7" t="str">
        <f>IFERROR(VLOOKUP(InputData[[#This Row],[Code]],Classhours[[Column1]:[Code]],2,0),"")</f>
        <v>15:00-16:00</v>
      </c>
      <c r="K23" s="8">
        <f>+InputData[[#This Row],[OB Activity]]</f>
        <v>0</v>
      </c>
      <c r="L23" s="8">
        <f>+InputData[[#This Row],[Coal Activity]]</f>
        <v>0</v>
      </c>
      <c r="M23" s="8">
        <f>SUM(InputData[[#This Row],[Travel Unit (Exca)]:[General Support]])</f>
        <v>0</v>
      </c>
      <c r="N23" s="8">
        <f>SUM(InputData[[#This Row],[P2H]:[GANTI SHIFT]])</f>
        <v>0</v>
      </c>
      <c r="O23" s="8">
        <f>SUM(InputData[[#This Row],[HUJAN]:[PROBLEM COSTUMER]])</f>
        <v>0</v>
      </c>
      <c r="P23" s="8">
        <f>SUM(InputData[[#This Row],[SCHEDULE SERVICE]:[ACCIDENT BREAKDOWN]])</f>
        <v>0</v>
      </c>
      <c r="Q23" s="8">
        <f>IF(InputData[[#This Row],[Code]]="",720-SUM(InputData[[#This Row],[OB]:[BD]]),60-SUM(InputData[[#This Row],[OB]:[BD]]))</f>
        <v>60</v>
      </c>
      <c r="R23" s="9"/>
      <c r="S23" s="8">
        <f>+InputData[[#This Row],[Vol OB]]</f>
        <v>0</v>
      </c>
      <c r="T23" s="8">
        <f>+InputData[[#This Row],[Distance]]</f>
        <v>0</v>
      </c>
      <c r="U23" s="9"/>
      <c r="V23" s="8">
        <f>+InputData[[#This Row],[Ton.Co.V]]</f>
        <v>0</v>
      </c>
      <c r="W23" s="8">
        <f>+InputData[[#This Row],[Distance]]</f>
        <v>0</v>
      </c>
      <c r="X23" s="9"/>
      <c r="Y23" s="8">
        <f>+SUM(InputData[[#This Row],[HARD DIGGING ]:[DOUBLE BENCH ]])</f>
        <v>0</v>
      </c>
      <c r="Z23" s="8">
        <f>SUM(InputData[[#This Row],[FATIGUE CHECK ]:[DAMAGED ROAD ]])</f>
        <v>0</v>
      </c>
      <c r="AA23" s="8">
        <f>SUM(InputData[[#This Row],[NARROW ACCESS ]:[WAITING SUPPORT DISPOSAL ]])</f>
        <v>0</v>
      </c>
      <c r="AB23" s="9"/>
      <c r="AC23" s="10"/>
      <c r="AD23" s="8" t="str">
        <f>IFERROR(INDEX(API_OperatorNIK[employee_name],MATCH(InputData[[#This Row],[NIK]],API_OperatorNIK[NIK+Name],0)),"")</f>
        <v/>
      </c>
      <c r="AE23" s="10"/>
      <c r="AF23" s="10"/>
      <c r="AG23" s="105">
        <f>+InputData[[#This Row],[HMSP]]-InputData[[#This Row],[HMST]]</f>
        <v>0</v>
      </c>
      <c r="AH23" s="105">
        <f>+InputData[[#This Row],[D.HM]]*60</f>
        <v>0</v>
      </c>
      <c r="AI23" s="10"/>
      <c r="AJ23" s="8" t="str">
        <f>IFERROR(_xlfn.XLOOKUP(InputData[[#This Row],[nikpengawas]],API_SupervisorNIK[NIK+Name],API_SupervisorNIK[employee_name]),"")</f>
        <v/>
      </c>
      <c r="AK23" s="10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0"/>
      <c r="CP23" s="143"/>
      <c r="CQ23" s="143"/>
      <c r="CR23" s="143"/>
      <c r="CS23" s="162"/>
      <c r="CT23" s="196"/>
      <c r="CU23" s="12"/>
      <c r="CV23" s="8">
        <f>SUMIF(API_CNUnit[text],InputData[[#This Row],[Code Number]],API_CNUnit[Capacity])*InputData[[#This Row],[Rit OB]]</f>
        <v>0</v>
      </c>
      <c r="CW23" s="8">
        <f>SUMIF(API_CNUnit[text],InputData[[#This Row],[Code Number]],API_CNUnit[Capacity])*InputData[[#This Row],[Rit Rehandling]]</f>
        <v>0</v>
      </c>
      <c r="CX23" s="12"/>
      <c r="CY23" s="173">
        <f>IFERROR(InputData[[#This Row],[Vol OB]]/(InputData[[#This Row],[OB]]/60),0)</f>
        <v>0</v>
      </c>
      <c r="CZ23" s="8">
        <f>InputData[[#This Row],[Vol OB]]*InputData[[#This Row],[Distance]]</f>
        <v>0</v>
      </c>
      <c r="DA23" s="11"/>
      <c r="DB23" s="10"/>
      <c r="DC23" s="10"/>
      <c r="DD23" s="143"/>
      <c r="DE23" s="10"/>
      <c r="DF23" s="196"/>
      <c r="DG23" s="197"/>
      <c r="DH23" s="173">
        <f>IFERROR(SUMIF(API_CNUnit[text],InputData[[#This Row],[Code Number]],API_CNUnit[Capacity])*InputData[[#This Row],[Rit.Co.V]],0)</f>
        <v>0</v>
      </c>
      <c r="DI23" s="12"/>
      <c r="DJ23" s="8">
        <f>+IFERROR((60/InputData[[#This Row],[Coal Activity]])*(InputData[[#This Row],[Ton.Co.V]]),0)</f>
        <v>0</v>
      </c>
      <c r="DK23" s="8">
        <f>+InputData[[#This Row],[Ton.Co.V]]*InputData[[#This Row],[Dist.Co.V]]</f>
        <v>0</v>
      </c>
      <c r="DL23" s="8">
        <f>IFERROR(InputData[[#This Row],[Ton.Co.V]]/1.3,0)</f>
        <v>0</v>
      </c>
      <c r="DM23" s="11"/>
      <c r="DN23" s="12"/>
      <c r="DO23" s="12"/>
      <c r="DP23" s="12"/>
      <c r="DQ23" s="12"/>
      <c r="DR23" s="10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1"/>
      <c r="EL23" s="96"/>
      <c r="EM23" s="11"/>
    </row>
    <row r="24" spans="3:143" x14ac:dyDescent="0.15">
      <c r="C24" s="189">
        <f>IFERROR(VLOOKUP(TEXT(InputData[[#This Row],[Date]],"yyyy-mm"),API_AccountingPeriod[text]:API_AccountingPeriod[Month],2,0),"Please Input Accounting Period")</f>
        <v>7</v>
      </c>
      <c r="D24" s="194" t="str">
        <f>"Week_" &amp;WEEKNUM(InputData[[#This Row],[Date]])</f>
        <v>Week_43</v>
      </c>
      <c r="E24" s="147">
        <v>44491</v>
      </c>
      <c r="F24" s="148" t="s">
        <v>1206</v>
      </c>
      <c r="G24" s="195" t="str">
        <f>IFERROR(VLOOKUP(InputData[[#This Row],[Code Number]],API_CNUnit[text]:API_CNUnit[type],3,0),0)</f>
        <v>DUMP TRUCK CV.TMM</v>
      </c>
      <c r="H24" s="128" t="s">
        <v>209</v>
      </c>
      <c r="I24" s="128" t="s">
        <v>22</v>
      </c>
      <c r="J24" s="7" t="str">
        <f>IFERROR(VLOOKUP(InputData[[#This Row],[Code]],Classhours[[Column1]:[Code]],2,0),"")</f>
        <v>16:00-17:00</v>
      </c>
      <c r="K24" s="8">
        <f>+InputData[[#This Row],[OB Activity]]</f>
        <v>0</v>
      </c>
      <c r="L24" s="8">
        <f>+InputData[[#This Row],[Coal Activity]]</f>
        <v>0</v>
      </c>
      <c r="M24" s="8">
        <f>SUM(InputData[[#This Row],[Travel Unit (Exca)]:[General Support]])</f>
        <v>0</v>
      </c>
      <c r="N24" s="8">
        <f>SUM(InputData[[#This Row],[P2H]:[GANTI SHIFT]])</f>
        <v>0</v>
      </c>
      <c r="O24" s="8">
        <f>SUM(InputData[[#This Row],[HUJAN]:[PROBLEM COSTUMER]])</f>
        <v>0</v>
      </c>
      <c r="P24" s="8">
        <f>SUM(InputData[[#This Row],[SCHEDULE SERVICE]:[ACCIDENT BREAKDOWN]])</f>
        <v>0</v>
      </c>
      <c r="Q24" s="8">
        <f>IF(InputData[[#This Row],[Code]]="",720-SUM(InputData[[#This Row],[OB]:[BD]]),60-SUM(InputData[[#This Row],[OB]:[BD]]))</f>
        <v>60</v>
      </c>
      <c r="R24" s="9"/>
      <c r="S24" s="8">
        <f>+InputData[[#This Row],[Vol OB]]</f>
        <v>0</v>
      </c>
      <c r="T24" s="8">
        <f>+InputData[[#This Row],[Distance]]</f>
        <v>0</v>
      </c>
      <c r="U24" s="9"/>
      <c r="V24" s="8">
        <f>+InputData[[#This Row],[Ton.Co.V]]</f>
        <v>0</v>
      </c>
      <c r="W24" s="8">
        <f>+InputData[[#This Row],[Distance]]</f>
        <v>0</v>
      </c>
      <c r="X24" s="9"/>
      <c r="Y24" s="8">
        <f>+SUM(InputData[[#This Row],[HARD DIGGING ]:[DOUBLE BENCH ]])</f>
        <v>0</v>
      </c>
      <c r="Z24" s="8">
        <f>SUM(InputData[[#This Row],[FATIGUE CHECK ]:[DAMAGED ROAD ]])</f>
        <v>0</v>
      </c>
      <c r="AA24" s="8">
        <f>SUM(InputData[[#This Row],[NARROW ACCESS ]:[WAITING SUPPORT DISPOSAL ]])</f>
        <v>0</v>
      </c>
      <c r="AB24" s="9"/>
      <c r="AC24" s="10"/>
      <c r="AD24" s="8" t="str">
        <f>IFERROR(INDEX(API_OperatorNIK[employee_name],MATCH(InputData[[#This Row],[NIK]],API_OperatorNIK[NIK+Name],0)),"")</f>
        <v/>
      </c>
      <c r="AE24" s="10"/>
      <c r="AF24" s="10"/>
      <c r="AG24" s="105">
        <f>+InputData[[#This Row],[HMSP]]-InputData[[#This Row],[HMST]]</f>
        <v>0</v>
      </c>
      <c r="AH24" s="105">
        <f>+InputData[[#This Row],[D.HM]]*60</f>
        <v>0</v>
      </c>
      <c r="AI24" s="10"/>
      <c r="AJ24" s="8" t="str">
        <f>IFERROR(_xlfn.XLOOKUP(InputData[[#This Row],[nikpengawas]],API_SupervisorNIK[NIK+Name],API_SupervisorNIK[employee_name]),"")</f>
        <v/>
      </c>
      <c r="AK24" s="10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0"/>
      <c r="CP24" s="143"/>
      <c r="CQ24" s="143"/>
      <c r="CR24" s="143"/>
      <c r="CS24" s="162"/>
      <c r="CT24" s="196"/>
      <c r="CU24" s="12"/>
      <c r="CV24" s="8">
        <f>SUMIF(API_CNUnit[text],InputData[[#This Row],[Code Number]],API_CNUnit[Capacity])*InputData[[#This Row],[Rit OB]]</f>
        <v>0</v>
      </c>
      <c r="CW24" s="8">
        <f>SUMIF(API_CNUnit[text],InputData[[#This Row],[Code Number]],API_CNUnit[Capacity])*InputData[[#This Row],[Rit Rehandling]]</f>
        <v>0</v>
      </c>
      <c r="CX24" s="12"/>
      <c r="CY24" s="173">
        <f>IFERROR(InputData[[#This Row],[Vol OB]]/(InputData[[#This Row],[OB]]/60),0)</f>
        <v>0</v>
      </c>
      <c r="CZ24" s="8">
        <f>InputData[[#This Row],[Vol OB]]*InputData[[#This Row],[Distance]]</f>
        <v>0</v>
      </c>
      <c r="DA24" s="11"/>
      <c r="DB24" s="10"/>
      <c r="DC24" s="10"/>
      <c r="DD24" s="143"/>
      <c r="DE24" s="10"/>
      <c r="DF24" s="196"/>
      <c r="DG24" s="197"/>
      <c r="DH24" s="173">
        <f>IFERROR(SUMIF(API_CNUnit[text],InputData[[#This Row],[Code Number]],API_CNUnit[Capacity])*InputData[[#This Row],[Rit.Co.V]],0)</f>
        <v>0</v>
      </c>
      <c r="DI24" s="12"/>
      <c r="DJ24" s="8">
        <f>+IFERROR((60/InputData[[#This Row],[Coal Activity]])*(InputData[[#This Row],[Ton.Co.V]]),0)</f>
        <v>0</v>
      </c>
      <c r="DK24" s="8">
        <f>+InputData[[#This Row],[Ton.Co.V]]*InputData[[#This Row],[Dist.Co.V]]</f>
        <v>0</v>
      </c>
      <c r="DL24" s="8">
        <f>IFERROR(InputData[[#This Row],[Ton.Co.V]]/1.3,0)</f>
        <v>0</v>
      </c>
      <c r="DM24" s="11"/>
      <c r="DN24" s="12"/>
      <c r="DO24" s="12"/>
      <c r="DP24" s="12"/>
      <c r="DQ24" s="12"/>
      <c r="DR24" s="10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1"/>
      <c r="EL24" s="96"/>
      <c r="EM24" s="11"/>
    </row>
    <row r="25" spans="3:143" x14ac:dyDescent="0.15">
      <c r="C25" s="189">
        <f>IFERROR(VLOOKUP(TEXT(InputData[[#This Row],[Date]],"yyyy-mm"),API_AccountingPeriod[text]:API_AccountingPeriod[Month],2,0),"Please Input Accounting Period")</f>
        <v>7</v>
      </c>
      <c r="D25" s="194" t="str">
        <f>"Week_" &amp;WEEKNUM(InputData[[#This Row],[Date]])</f>
        <v>Week_43</v>
      </c>
      <c r="E25" s="147">
        <v>44491</v>
      </c>
      <c r="F25" s="148" t="s">
        <v>1206</v>
      </c>
      <c r="G25" s="195" t="str">
        <f>IFERROR(VLOOKUP(InputData[[#This Row],[Code Number]],API_CNUnit[text]:API_CNUnit[type],3,0),0)</f>
        <v>DUMP TRUCK CV.TMM</v>
      </c>
      <c r="H25" s="128" t="s">
        <v>209</v>
      </c>
      <c r="I25" s="128" t="s">
        <v>559</v>
      </c>
      <c r="J25" s="7" t="str">
        <f>IFERROR(VLOOKUP(InputData[[#This Row],[Code]],Classhours[[Column1]:[Code]],2,0),"")</f>
        <v>17:00-18:00</v>
      </c>
      <c r="K25" s="8">
        <f>+InputData[[#This Row],[OB Activity]]</f>
        <v>0</v>
      </c>
      <c r="L25" s="8">
        <f>+InputData[[#This Row],[Coal Activity]]</f>
        <v>0</v>
      </c>
      <c r="M25" s="8">
        <f>SUM(InputData[[#This Row],[Travel Unit (Exca)]:[General Support]])</f>
        <v>0</v>
      </c>
      <c r="N25" s="8">
        <f>SUM(InputData[[#This Row],[P2H]:[GANTI SHIFT]])</f>
        <v>0</v>
      </c>
      <c r="O25" s="8">
        <f>SUM(InputData[[#This Row],[HUJAN]:[PROBLEM COSTUMER]])</f>
        <v>0</v>
      </c>
      <c r="P25" s="8">
        <f>SUM(InputData[[#This Row],[SCHEDULE SERVICE]:[ACCIDENT BREAKDOWN]])</f>
        <v>0</v>
      </c>
      <c r="Q25" s="8">
        <f>IF(InputData[[#This Row],[Code]]="",720-SUM(InputData[[#This Row],[OB]:[BD]]),60-SUM(InputData[[#This Row],[OB]:[BD]]))</f>
        <v>60</v>
      </c>
      <c r="R25" s="9"/>
      <c r="S25" s="8">
        <f>+InputData[[#This Row],[Vol OB]]</f>
        <v>0</v>
      </c>
      <c r="T25" s="8">
        <f>+InputData[[#This Row],[Distance]]</f>
        <v>0</v>
      </c>
      <c r="U25" s="9"/>
      <c r="V25" s="8">
        <f>+InputData[[#This Row],[Ton.Co.V]]</f>
        <v>0</v>
      </c>
      <c r="W25" s="8">
        <f>+InputData[[#This Row],[Distance]]</f>
        <v>0</v>
      </c>
      <c r="X25" s="9"/>
      <c r="Y25" s="8">
        <f>+SUM(InputData[[#This Row],[HARD DIGGING ]:[DOUBLE BENCH ]])</f>
        <v>0</v>
      </c>
      <c r="Z25" s="8">
        <f>SUM(InputData[[#This Row],[FATIGUE CHECK ]:[DAMAGED ROAD ]])</f>
        <v>0</v>
      </c>
      <c r="AA25" s="8">
        <f>SUM(InputData[[#This Row],[NARROW ACCESS ]:[WAITING SUPPORT DISPOSAL ]])</f>
        <v>0</v>
      </c>
      <c r="AB25" s="9"/>
      <c r="AC25" s="10"/>
      <c r="AD25" s="8" t="str">
        <f>IFERROR(INDEX(API_OperatorNIK[employee_name],MATCH(InputData[[#This Row],[NIK]],API_OperatorNIK[NIK+Name],0)),"")</f>
        <v/>
      </c>
      <c r="AE25" s="10"/>
      <c r="AF25" s="10"/>
      <c r="AG25" s="105">
        <f>+InputData[[#This Row],[HMSP]]-InputData[[#This Row],[HMST]]</f>
        <v>0</v>
      </c>
      <c r="AH25" s="105">
        <f>+InputData[[#This Row],[D.HM]]*60</f>
        <v>0</v>
      </c>
      <c r="AI25" s="10"/>
      <c r="AJ25" s="8" t="str">
        <f>IFERROR(_xlfn.XLOOKUP(InputData[[#This Row],[nikpengawas]],API_SupervisorNIK[NIK+Name],API_SupervisorNIK[employee_name]),"")</f>
        <v/>
      </c>
      <c r="AK25" s="10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43"/>
      <c r="CQ25" s="143"/>
      <c r="CR25" s="143"/>
      <c r="CS25" s="162"/>
      <c r="CT25" s="196"/>
      <c r="CU25" s="12"/>
      <c r="CV25" s="8">
        <f>SUMIF(API_CNUnit[text],InputData[[#This Row],[Code Number]],API_CNUnit[Capacity])*InputData[[#This Row],[Rit OB]]</f>
        <v>0</v>
      </c>
      <c r="CW25" s="8">
        <f>SUMIF(API_CNUnit[text],InputData[[#This Row],[Code Number]],API_CNUnit[Capacity])*InputData[[#This Row],[Rit Rehandling]]</f>
        <v>0</v>
      </c>
      <c r="CX25" s="12"/>
      <c r="CY25" s="173">
        <f>IFERROR(InputData[[#This Row],[Vol OB]]/(InputData[[#This Row],[OB]]/60),0)</f>
        <v>0</v>
      </c>
      <c r="CZ25" s="8">
        <f>InputData[[#This Row],[Vol OB]]*InputData[[#This Row],[Distance]]</f>
        <v>0</v>
      </c>
      <c r="DA25" s="11"/>
      <c r="DB25" s="10"/>
      <c r="DC25" s="10"/>
      <c r="DD25" s="143"/>
      <c r="DE25" s="10"/>
      <c r="DF25" s="196"/>
      <c r="DG25" s="197"/>
      <c r="DH25" s="173">
        <f>IFERROR(SUMIF(API_CNUnit[text],InputData[[#This Row],[Code Number]],API_CNUnit[Capacity])*InputData[[#This Row],[Rit.Co.V]],0)</f>
        <v>0</v>
      </c>
      <c r="DI25" s="12"/>
      <c r="DJ25" s="8">
        <f>+IFERROR((60/InputData[[#This Row],[Coal Activity]])*(InputData[[#This Row],[Ton.Co.V]]),0)</f>
        <v>0</v>
      </c>
      <c r="DK25" s="8">
        <f>+InputData[[#This Row],[Ton.Co.V]]*InputData[[#This Row],[Dist.Co.V]]</f>
        <v>0</v>
      </c>
      <c r="DL25" s="8">
        <f>IFERROR(InputData[[#This Row],[Ton.Co.V]]/1.3,0)</f>
        <v>0</v>
      </c>
      <c r="DM25" s="11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1"/>
      <c r="EL25" s="96"/>
      <c r="EM25" s="11"/>
    </row>
  </sheetData>
  <mergeCells count="155">
    <mergeCell ref="CI1:CI9"/>
    <mergeCell ref="CJ1:CJ9"/>
    <mergeCell ref="CK1:CK9"/>
    <mergeCell ref="CL1:CL9"/>
    <mergeCell ref="CP11:CQ11"/>
    <mergeCell ref="DA1:DA11"/>
    <mergeCell ref="DD1:DD10"/>
    <mergeCell ref="EB1:EB8"/>
    <mergeCell ref="DL1:DL10"/>
    <mergeCell ref="CY1:CY10"/>
    <mergeCell ref="CZ1:CZ10"/>
    <mergeCell ref="DI1:DI10"/>
    <mergeCell ref="DJ1:DJ10"/>
    <mergeCell ref="DK1:DK10"/>
    <mergeCell ref="CR11:CZ11"/>
    <mergeCell ref="CR1:CR10"/>
    <mergeCell ref="CV1:CV10"/>
    <mergeCell ref="CX1:CX10"/>
    <mergeCell ref="DF11:DK11"/>
    <mergeCell ref="DF1:DF10"/>
    <mergeCell ref="DG1:DG10"/>
    <mergeCell ref="DH1:DH10"/>
    <mergeCell ref="CU1:CU10"/>
    <mergeCell ref="CW1:CW10"/>
    <mergeCell ref="BC1:BC9"/>
    <mergeCell ref="AF1:AF11"/>
    <mergeCell ref="AG1:AG11"/>
    <mergeCell ref="AI1:AI11"/>
    <mergeCell ref="AJ1:AJ11"/>
    <mergeCell ref="AN10:BC10"/>
    <mergeCell ref="AK1:AK11"/>
    <mergeCell ref="R1:R11"/>
    <mergeCell ref="X1:X11"/>
    <mergeCell ref="S1:S11"/>
    <mergeCell ref="AQ1:AQ9"/>
    <mergeCell ref="AR1:AR9"/>
    <mergeCell ref="AS1:AS9"/>
    <mergeCell ref="AT1:AT9"/>
    <mergeCell ref="AL1:AL9"/>
    <mergeCell ref="AH7:AH11"/>
    <mergeCell ref="AL10:AM10"/>
    <mergeCell ref="BA1:BA9"/>
    <mergeCell ref="BB1:BB9"/>
    <mergeCell ref="T1:T11"/>
    <mergeCell ref="U1:U11"/>
    <mergeCell ref="AC1:AC11"/>
    <mergeCell ref="AX1:AX9"/>
    <mergeCell ref="AY1:AY9"/>
    <mergeCell ref="AZ1:AZ9"/>
    <mergeCell ref="AO1:AO9"/>
    <mergeCell ref="AP1:AP9"/>
    <mergeCell ref="AM1:AM9"/>
    <mergeCell ref="AN1:AN9"/>
    <mergeCell ref="C11:E11"/>
    <mergeCell ref="F11:G11"/>
    <mergeCell ref="F7:H8"/>
    <mergeCell ref="G9:H10"/>
    <mergeCell ref="I1:J10"/>
    <mergeCell ref="I11:J11"/>
    <mergeCell ref="O1:O11"/>
    <mergeCell ref="L1:L11"/>
    <mergeCell ref="M1:M11"/>
    <mergeCell ref="C7:E10"/>
    <mergeCell ref="F9:F10"/>
    <mergeCell ref="K1:K11"/>
    <mergeCell ref="N1:N11"/>
    <mergeCell ref="P1:P11"/>
    <mergeCell ref="Q1:Q11"/>
    <mergeCell ref="V1:V11"/>
    <mergeCell ref="W1:W11"/>
    <mergeCell ref="Y1:Y11"/>
    <mergeCell ref="Z1:Z11"/>
    <mergeCell ref="AA1:AA11"/>
    <mergeCell ref="AB1:AB11"/>
    <mergeCell ref="AV1:AV9"/>
    <mergeCell ref="AW1:AW9"/>
    <mergeCell ref="AU1:AU9"/>
    <mergeCell ref="AD1:AD11"/>
    <mergeCell ref="AE1:AE11"/>
    <mergeCell ref="CM1:CM9"/>
    <mergeCell ref="CF1:CF9"/>
    <mergeCell ref="CE1:CE9"/>
    <mergeCell ref="CE10:CI10"/>
    <mergeCell ref="BT7:BT9"/>
    <mergeCell ref="BU7:BU9"/>
    <mergeCell ref="BW7:BW9"/>
    <mergeCell ref="BV7:BV9"/>
    <mergeCell ref="BE1:BE9"/>
    <mergeCell ref="BF1:BF9"/>
    <mergeCell ref="BG1:BG9"/>
    <mergeCell ref="BH1:BH9"/>
    <mergeCell ref="BD10:CD10"/>
    <mergeCell ref="CG1:CG9"/>
    <mergeCell ref="BO1:BO9"/>
    <mergeCell ref="BP1:BP9"/>
    <mergeCell ref="BQ1:BQ9"/>
    <mergeCell ref="BN1:BN9"/>
    <mergeCell ref="BI1:BI9"/>
    <mergeCell ref="BJ1:BJ9"/>
    <mergeCell ref="BK1:BK9"/>
    <mergeCell ref="BL1:BL9"/>
    <mergeCell ref="BM1:BM9"/>
    <mergeCell ref="BD1:BD9"/>
    <mergeCell ref="CS1:CS10"/>
    <mergeCell ref="CT1:CT10"/>
    <mergeCell ref="CO1:CO11"/>
    <mergeCell ref="CP1:CP10"/>
    <mergeCell ref="CQ1:CQ10"/>
    <mergeCell ref="BR1:BR9"/>
    <mergeCell ref="BS1:BS9"/>
    <mergeCell ref="BX7:BX9"/>
    <mergeCell ref="BY7:BY9"/>
    <mergeCell ref="BZ7:BZ9"/>
    <mergeCell ref="CD7:CD9"/>
    <mergeCell ref="CC7:CC9"/>
    <mergeCell ref="CB7:CB9"/>
    <mergeCell ref="CA7:CA9"/>
    <mergeCell ref="CN1:CN9"/>
    <mergeCell ref="CJ10:CN10"/>
    <mergeCell ref="CH1:CH9"/>
    <mergeCell ref="EM1:EM11"/>
    <mergeCell ref="DV1:DV8"/>
    <mergeCell ref="DW1:DW8"/>
    <mergeCell ref="DX1:DX8"/>
    <mergeCell ref="DY1:DY8"/>
    <mergeCell ref="DZ1:DZ8"/>
    <mergeCell ref="EA1:EA8"/>
    <mergeCell ref="EK1:EK11"/>
    <mergeCell ref="ED1:ED8"/>
    <mergeCell ref="EE1:EE8"/>
    <mergeCell ref="EF1:EF8"/>
    <mergeCell ref="DX9:EB9"/>
    <mergeCell ref="DN9:DW9"/>
    <mergeCell ref="DN1:DN8"/>
    <mergeCell ref="DO1:DO8"/>
    <mergeCell ref="DP1:DP8"/>
    <mergeCell ref="EL1:EL11"/>
    <mergeCell ref="EC1:EC8"/>
    <mergeCell ref="EH1:EH8"/>
    <mergeCell ref="EC9:EH9"/>
    <mergeCell ref="DN10:EJ10"/>
    <mergeCell ref="EI7:EI8"/>
    <mergeCell ref="DQ1:DQ8"/>
    <mergeCell ref="EJ7:EJ8"/>
    <mergeCell ref="EI9:EJ9"/>
    <mergeCell ref="DR1:DR8"/>
    <mergeCell ref="DS1:DS8"/>
    <mergeCell ref="DT1:DT8"/>
    <mergeCell ref="DU1:DU8"/>
    <mergeCell ref="DE1:DE10"/>
    <mergeCell ref="DB1:DB10"/>
    <mergeCell ref="DC1:DC10"/>
    <mergeCell ref="EG1:EG8"/>
    <mergeCell ref="DM1:DM11"/>
    <mergeCell ref="DB11:DC11"/>
  </mergeCells>
  <phoneticPr fontId="22" type="noConversion"/>
  <conditionalFormatting sqref="Q14:Q25">
    <cfRule type="cellIs" dxfId="262" priority="3" operator="equal">
      <formula>0</formula>
    </cfRule>
    <cfRule type="cellIs" dxfId="261" priority="4" operator="lessThan">
      <formula>60</formula>
    </cfRule>
  </conditionalFormatting>
  <conditionalFormatting sqref="Q12">
    <cfRule type="cellIs" dxfId="260" priority="1" operator="equal">
      <formula>0</formula>
    </cfRule>
    <cfRule type="cellIs" dxfId="259" priority="2" operator="lessThan">
      <formula>60</formula>
    </cfRule>
  </conditionalFormatting>
  <dataValidations count="10">
    <dataValidation type="list" allowBlank="1" showInputMessage="1" showErrorMessage="1" sqref="G9:H10" xr:uid="{00000000-0002-0000-0100-000000000000}">
      <formula1>INDIRECT("dbmonthly[Monthy]")</formula1>
    </dataValidation>
    <dataValidation type="list" allowBlank="1" showInputMessage="1" showErrorMessage="1" sqref="I12 I14:I25" xr:uid="{00000000-0002-0000-0100-000003000000}">
      <formula1>INDIRECT("Classhours[Column1]")</formula1>
    </dataValidation>
    <dataValidation type="list" allowBlank="1" showInputMessage="1" showErrorMessage="1" sqref="F12 DD12 CR12 DD14:DD25 CR14:CR25 F14:F25" xr:uid="{01B463A9-9220-4113-A1BA-DA3D4D7226C7}">
      <formula1>INDIRECT("API_CNunit[Text]")</formula1>
    </dataValidation>
    <dataValidation type="list" allowBlank="1" showInputMessage="1" showErrorMessage="1" sqref="AC12 AC14:AC25" xr:uid="{8B7AB21A-E3C8-41D9-BDA3-4465205E6C7F}">
      <formula1>INDIRECT("API_OperatorNIK[NIK+Name]")</formula1>
    </dataValidation>
    <dataValidation type="list" allowBlank="1" showInputMessage="1" showErrorMessage="1" sqref="AI12 AI14:AI25" xr:uid="{6AED08D9-4748-4590-A889-DB7B04C2DEE4}">
      <formula1>INDIRECT("API_SupervisorNIK[NIK+Name]")</formula1>
    </dataValidation>
    <dataValidation type="list" allowBlank="1" showInputMessage="1" showErrorMessage="1" sqref="CP12 DB12 CP14:CP25 DB14:DB25" xr:uid="{FA6F0BAC-84BE-4B77-A042-8D1552724CC5}">
      <formula1>INDIRECT("API_PITLocation[Parent+BussName]")</formula1>
    </dataValidation>
    <dataValidation type="list" allowBlank="1" showInputMessage="1" showErrorMessage="1" sqref="CQ12 DC12 CQ14:CQ25 DC14:DC25" xr:uid="{8282BE81-820D-4714-825E-9BB24DBC3894}">
      <formula1>INDIRECT("API_Destination[Text]")</formula1>
    </dataValidation>
    <dataValidation type="list" allowBlank="1" showInputMessage="1" showErrorMessage="1" sqref="CS12 DE12 CS14:CS25 DE14:DE25" xr:uid="{457277AF-6B2A-48C0-B918-1EC12F406FAC}">
      <formula1>INDIRECT("API_Material[text]")</formula1>
    </dataValidation>
    <dataValidation type="list" allowBlank="1" showInputMessage="1" showErrorMessage="1" sqref="H12 H14:H25" xr:uid="{BF7A28AF-3A91-41AD-8963-7729A739CAA8}">
      <formula1>INDIRECT("API_Shift[shift_name]")</formula1>
    </dataValidation>
    <dataValidation type="list" allowBlank="1" showInputMessage="1" showErrorMessage="1" sqref="DG12 DG14:DG25" xr:uid="{40E3AA02-7B34-4E31-A5D5-5BDED8BBC140}">
      <formula1>INDIRECT("API_Source[stock_location_name]")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U114"/>
  <sheetViews>
    <sheetView topLeftCell="A2" zoomScale="115" zoomScaleNormal="115" workbookViewId="0">
      <pane xSplit="7" ySplit="12" topLeftCell="H14" activePane="bottomRight" state="frozen"/>
      <selection activeCell="G25" sqref="G25"/>
      <selection pane="topRight" activeCell="G25" sqref="G25"/>
      <selection pane="bottomLeft" activeCell="G25" sqref="G25"/>
      <selection pane="bottomRight" activeCell="E28" sqref="E28"/>
    </sheetView>
  </sheetViews>
  <sheetFormatPr defaultColWidth="8.81640625" defaultRowHeight="10.5" outlineLevelCol="1" x14ac:dyDescent="0.25"/>
  <cols>
    <col min="1" max="2" width="8.81640625" style="76"/>
    <col min="3" max="4" width="8.81640625" style="150"/>
    <col min="5" max="5" width="19" style="76" customWidth="1"/>
    <col min="6" max="6" width="8.81640625" style="76"/>
    <col min="7" max="7" width="7.7265625" style="76" customWidth="1"/>
    <col min="8" max="8" width="32.26953125" style="76" bestFit="1" customWidth="1"/>
    <col min="9" max="10" width="7.7265625" style="76" bestFit="1" customWidth="1"/>
    <col min="11" max="13" width="7.7265625" style="76" customWidth="1"/>
    <col min="14" max="14" width="8.54296875" style="76" bestFit="1" customWidth="1"/>
    <col min="15" max="18" width="3.7265625" style="76" customWidth="1"/>
    <col min="19" max="19" width="4.26953125" style="76" customWidth="1"/>
    <col min="20" max="56" width="3.26953125" style="76" customWidth="1" outlineLevel="1"/>
    <col min="57" max="57" width="3.7265625" style="76" customWidth="1"/>
    <col min="58" max="16384" width="8.81640625" style="76"/>
  </cols>
  <sheetData>
    <row r="1" spans="1:57" s="3" customFormat="1" ht="14.5" customHeight="1" x14ac:dyDescent="0.15">
      <c r="C1" s="128"/>
      <c r="D1" s="128"/>
      <c r="F1" s="4"/>
      <c r="G1" s="281"/>
      <c r="H1" s="288" t="s">
        <v>550</v>
      </c>
      <c r="I1" s="284" t="s">
        <v>545</v>
      </c>
      <c r="J1" s="284" t="s">
        <v>546</v>
      </c>
      <c r="K1" s="284" t="s">
        <v>82</v>
      </c>
      <c r="L1" s="284" t="s">
        <v>83</v>
      </c>
      <c r="M1" s="284" t="s">
        <v>38</v>
      </c>
      <c r="N1" s="284" t="s">
        <v>549</v>
      </c>
      <c r="O1" s="85"/>
      <c r="P1" s="82"/>
      <c r="Q1" s="82"/>
      <c r="R1" s="82"/>
      <c r="S1" s="82"/>
      <c r="T1" s="231" t="s">
        <v>152</v>
      </c>
      <c r="U1" s="231" t="s">
        <v>166</v>
      </c>
      <c r="V1" s="231" t="s">
        <v>1165</v>
      </c>
      <c r="W1" s="231" t="s">
        <v>158</v>
      </c>
      <c r="X1" s="231" t="s">
        <v>1166</v>
      </c>
      <c r="Y1" s="231" t="s">
        <v>1167</v>
      </c>
      <c r="Z1" s="231" t="s">
        <v>160</v>
      </c>
      <c r="AA1" s="231" t="s">
        <v>156</v>
      </c>
      <c r="AB1" s="231" t="s">
        <v>157</v>
      </c>
      <c r="AC1" s="231" t="s">
        <v>1168</v>
      </c>
      <c r="AD1" s="231" t="s">
        <v>1169</v>
      </c>
      <c r="AE1" s="231" t="s">
        <v>969</v>
      </c>
      <c r="AF1" s="231" t="s">
        <v>164</v>
      </c>
      <c r="AG1" s="231" t="s">
        <v>167</v>
      </c>
      <c r="AH1" s="231" t="s">
        <v>1170</v>
      </c>
      <c r="AI1" s="231" t="s">
        <v>165</v>
      </c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291" t="s">
        <v>197</v>
      </c>
      <c r="AV1" s="291" t="s">
        <v>198</v>
      </c>
      <c r="AW1" s="291" t="s">
        <v>199</v>
      </c>
      <c r="AX1" s="291" t="s">
        <v>200</v>
      </c>
      <c r="AY1" s="291" t="s">
        <v>201</v>
      </c>
      <c r="AZ1" s="235" t="s">
        <v>187</v>
      </c>
      <c r="BA1" s="235" t="s">
        <v>188</v>
      </c>
      <c r="BB1" s="235" t="s">
        <v>189</v>
      </c>
      <c r="BC1" s="235" t="s">
        <v>190</v>
      </c>
      <c r="BD1" s="235" t="s">
        <v>191</v>
      </c>
      <c r="BE1" s="292" t="s">
        <v>551</v>
      </c>
    </row>
    <row r="2" spans="1:57" s="3" customFormat="1" ht="6.4" hidden="1" customHeight="1" x14ac:dyDescent="0.15">
      <c r="C2" s="128"/>
      <c r="D2" s="128"/>
      <c r="F2" s="4"/>
      <c r="G2" s="282"/>
      <c r="H2" s="289"/>
      <c r="I2" s="284"/>
      <c r="J2" s="284"/>
      <c r="K2" s="284"/>
      <c r="L2" s="284"/>
      <c r="M2" s="284"/>
      <c r="N2" s="284"/>
      <c r="O2" s="86"/>
      <c r="P2" s="83"/>
      <c r="Q2" s="83"/>
      <c r="R2" s="83"/>
      <c r="S2" s="83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2"/>
      <c r="AG2" s="232"/>
      <c r="AH2" s="232"/>
      <c r="AI2" s="232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241"/>
      <c r="AV2" s="241"/>
      <c r="AW2" s="241"/>
      <c r="AX2" s="241"/>
      <c r="AY2" s="241"/>
      <c r="AZ2" s="236"/>
      <c r="BA2" s="236"/>
      <c r="BB2" s="236"/>
      <c r="BC2" s="236"/>
      <c r="BD2" s="236"/>
      <c r="BE2" s="292"/>
    </row>
    <row r="3" spans="1:57" s="3" customFormat="1" ht="6.4" hidden="1" customHeight="1" x14ac:dyDescent="0.15">
      <c r="C3" s="128"/>
      <c r="D3" s="128"/>
      <c r="F3" s="4"/>
      <c r="G3" s="282"/>
      <c r="H3" s="289"/>
      <c r="I3" s="284"/>
      <c r="J3" s="284"/>
      <c r="K3" s="284"/>
      <c r="L3" s="284"/>
      <c r="M3" s="284"/>
      <c r="N3" s="284"/>
      <c r="O3" s="86"/>
      <c r="P3" s="83"/>
      <c r="Q3" s="83"/>
      <c r="R3" s="83"/>
      <c r="S3" s="83"/>
      <c r="T3" s="232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32"/>
      <c r="AI3" s="232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241"/>
      <c r="AV3" s="241"/>
      <c r="AW3" s="241"/>
      <c r="AX3" s="241"/>
      <c r="AY3" s="241"/>
      <c r="AZ3" s="236"/>
      <c r="BA3" s="236"/>
      <c r="BB3" s="236"/>
      <c r="BC3" s="236"/>
      <c r="BD3" s="236"/>
      <c r="BE3" s="292"/>
    </row>
    <row r="4" spans="1:57" s="3" customFormat="1" ht="6.4" hidden="1" customHeight="1" x14ac:dyDescent="0.15">
      <c r="C4" s="128"/>
      <c r="D4" s="128"/>
      <c r="F4" s="4"/>
      <c r="G4" s="282"/>
      <c r="H4" s="289"/>
      <c r="I4" s="284"/>
      <c r="J4" s="284"/>
      <c r="K4" s="284"/>
      <c r="L4" s="284"/>
      <c r="M4" s="284"/>
      <c r="N4" s="284"/>
      <c r="O4" s="86"/>
      <c r="P4" s="83"/>
      <c r="Q4" s="83"/>
      <c r="R4" s="83"/>
      <c r="S4" s="83"/>
      <c r="T4" s="232"/>
      <c r="U4" s="232"/>
      <c r="V4" s="232"/>
      <c r="W4" s="232"/>
      <c r="X4" s="232"/>
      <c r="Y4" s="232"/>
      <c r="Z4" s="232"/>
      <c r="AA4" s="232"/>
      <c r="AB4" s="232"/>
      <c r="AC4" s="232"/>
      <c r="AD4" s="232"/>
      <c r="AE4" s="232"/>
      <c r="AF4" s="232"/>
      <c r="AG4" s="232"/>
      <c r="AH4" s="232"/>
      <c r="AI4" s="232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241"/>
      <c r="AV4" s="241"/>
      <c r="AW4" s="241"/>
      <c r="AX4" s="241"/>
      <c r="AY4" s="241"/>
      <c r="AZ4" s="236"/>
      <c r="BA4" s="236"/>
      <c r="BB4" s="236"/>
      <c r="BC4" s="236"/>
      <c r="BD4" s="236"/>
      <c r="BE4" s="292"/>
    </row>
    <row r="5" spans="1:57" s="3" customFormat="1" ht="6.4" hidden="1" customHeight="1" x14ac:dyDescent="0.15">
      <c r="C5" s="128"/>
      <c r="D5" s="128"/>
      <c r="F5" s="4"/>
      <c r="G5" s="282"/>
      <c r="H5" s="289"/>
      <c r="I5" s="284"/>
      <c r="J5" s="284"/>
      <c r="K5" s="284"/>
      <c r="L5" s="284"/>
      <c r="M5" s="284"/>
      <c r="N5" s="284"/>
      <c r="O5" s="86"/>
      <c r="P5" s="83"/>
      <c r="Q5" s="83"/>
      <c r="R5" s="83"/>
      <c r="S5" s="83"/>
      <c r="T5" s="232"/>
      <c r="U5" s="232"/>
      <c r="V5" s="232"/>
      <c r="W5" s="232"/>
      <c r="X5" s="232"/>
      <c r="Y5" s="232"/>
      <c r="Z5" s="232"/>
      <c r="AA5" s="232"/>
      <c r="AB5" s="232"/>
      <c r="AC5" s="232"/>
      <c r="AD5" s="232"/>
      <c r="AE5" s="232"/>
      <c r="AF5" s="232"/>
      <c r="AG5" s="232"/>
      <c r="AH5" s="232"/>
      <c r="AI5" s="232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241"/>
      <c r="AV5" s="241"/>
      <c r="AW5" s="241"/>
      <c r="AX5" s="241"/>
      <c r="AY5" s="241"/>
      <c r="AZ5" s="236"/>
      <c r="BA5" s="236"/>
      <c r="BB5" s="236"/>
      <c r="BC5" s="236"/>
      <c r="BD5" s="236"/>
      <c r="BE5" s="292"/>
    </row>
    <row r="6" spans="1:57" s="3" customFormat="1" ht="6.4" hidden="1" customHeight="1" x14ac:dyDescent="0.15">
      <c r="C6" s="128"/>
      <c r="D6" s="128"/>
      <c r="F6" s="4"/>
      <c r="G6" s="282"/>
      <c r="H6" s="289"/>
      <c r="I6" s="284"/>
      <c r="J6" s="284"/>
      <c r="K6" s="284"/>
      <c r="L6" s="284"/>
      <c r="M6" s="284"/>
      <c r="N6" s="284"/>
      <c r="O6" s="86"/>
      <c r="P6" s="83"/>
      <c r="Q6" s="83"/>
      <c r="R6" s="83"/>
      <c r="S6" s="83"/>
      <c r="T6" s="232"/>
      <c r="U6" s="232"/>
      <c r="V6" s="232"/>
      <c r="W6" s="232"/>
      <c r="X6" s="232"/>
      <c r="Y6" s="232"/>
      <c r="Z6" s="232"/>
      <c r="AA6" s="232"/>
      <c r="AB6" s="232"/>
      <c r="AC6" s="232"/>
      <c r="AD6" s="232"/>
      <c r="AE6" s="232"/>
      <c r="AF6" s="232"/>
      <c r="AG6" s="232"/>
      <c r="AH6" s="232"/>
      <c r="AI6" s="232"/>
      <c r="AJ6" s="184"/>
      <c r="AK6" s="184"/>
      <c r="AL6" s="184"/>
      <c r="AM6" s="184"/>
      <c r="AN6" s="184"/>
      <c r="AO6" s="184"/>
      <c r="AP6" s="184"/>
      <c r="AQ6" s="184"/>
      <c r="AR6" s="184"/>
      <c r="AS6" s="184"/>
      <c r="AT6" s="184"/>
      <c r="AU6" s="241"/>
      <c r="AV6" s="241"/>
      <c r="AW6" s="241"/>
      <c r="AX6" s="241"/>
      <c r="AY6" s="241"/>
      <c r="AZ6" s="236"/>
      <c r="BA6" s="236"/>
      <c r="BB6" s="236"/>
      <c r="BC6" s="236"/>
      <c r="BD6" s="236"/>
      <c r="BE6" s="292"/>
    </row>
    <row r="7" spans="1:57" s="3" customFormat="1" ht="11.5" customHeight="1" x14ac:dyDescent="0.15">
      <c r="A7" s="271" t="s">
        <v>5</v>
      </c>
      <c r="B7" s="271"/>
      <c r="C7" s="272"/>
      <c r="D7" s="260" t="s">
        <v>543</v>
      </c>
      <c r="E7" s="261"/>
      <c r="F7" s="278"/>
      <c r="G7" s="282"/>
      <c r="H7" s="289"/>
      <c r="I7" s="284"/>
      <c r="J7" s="284"/>
      <c r="K7" s="284"/>
      <c r="L7" s="284"/>
      <c r="M7" s="284"/>
      <c r="N7" s="284"/>
      <c r="O7" s="86"/>
      <c r="P7" s="83"/>
      <c r="Q7" s="83"/>
      <c r="R7" s="83"/>
      <c r="S7" s="83"/>
      <c r="T7" s="232"/>
      <c r="U7" s="232"/>
      <c r="V7" s="232"/>
      <c r="W7" s="232"/>
      <c r="X7" s="232"/>
      <c r="Y7" s="232"/>
      <c r="Z7" s="232"/>
      <c r="AA7" s="232"/>
      <c r="AB7" s="232"/>
      <c r="AC7" s="232"/>
      <c r="AD7" s="232"/>
      <c r="AE7" s="232"/>
      <c r="AF7" s="232"/>
      <c r="AG7" s="232"/>
      <c r="AH7" s="232"/>
      <c r="AI7" s="232"/>
      <c r="AJ7" s="231" t="s">
        <v>159</v>
      </c>
      <c r="AK7" s="231" t="s">
        <v>161</v>
      </c>
      <c r="AL7" s="231" t="s">
        <v>162</v>
      </c>
      <c r="AM7" s="231" t="s">
        <v>163</v>
      </c>
      <c r="AN7" s="231" t="s">
        <v>966</v>
      </c>
      <c r="AO7" s="231" t="s">
        <v>154</v>
      </c>
      <c r="AP7" s="231" t="s">
        <v>155</v>
      </c>
      <c r="AQ7" s="231" t="s">
        <v>967</v>
      </c>
      <c r="AR7" s="231" t="s">
        <v>968</v>
      </c>
      <c r="AS7" s="231" t="s">
        <v>1175</v>
      </c>
      <c r="AT7" s="231" t="s">
        <v>1174</v>
      </c>
      <c r="AU7" s="241"/>
      <c r="AV7" s="241"/>
      <c r="AW7" s="241"/>
      <c r="AX7" s="241"/>
      <c r="AY7" s="241"/>
      <c r="AZ7" s="236"/>
      <c r="BA7" s="236"/>
      <c r="BB7" s="236"/>
      <c r="BC7" s="236"/>
      <c r="BD7" s="236"/>
      <c r="BE7" s="292"/>
    </row>
    <row r="8" spans="1:57" s="3" customFormat="1" ht="11.5" customHeight="1" x14ac:dyDescent="0.15">
      <c r="A8" s="271"/>
      <c r="B8" s="271"/>
      <c r="C8" s="272"/>
      <c r="D8" s="260"/>
      <c r="E8" s="261"/>
      <c r="F8" s="278"/>
      <c r="G8" s="282"/>
      <c r="H8" s="289"/>
      <c r="I8" s="284"/>
      <c r="J8" s="284"/>
      <c r="K8" s="284"/>
      <c r="L8" s="284"/>
      <c r="M8" s="284"/>
      <c r="N8" s="284"/>
      <c r="O8" s="86"/>
      <c r="P8" s="83"/>
      <c r="Q8" s="83"/>
      <c r="R8" s="83"/>
      <c r="S8" s="83"/>
      <c r="T8" s="232"/>
      <c r="U8" s="232"/>
      <c r="V8" s="232"/>
      <c r="W8" s="232"/>
      <c r="X8" s="232"/>
      <c r="Y8" s="232"/>
      <c r="Z8" s="232"/>
      <c r="AA8" s="232"/>
      <c r="AB8" s="232"/>
      <c r="AC8" s="232"/>
      <c r="AD8" s="232"/>
      <c r="AE8" s="232"/>
      <c r="AF8" s="232"/>
      <c r="AG8" s="232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41"/>
      <c r="AV8" s="241"/>
      <c r="AW8" s="241"/>
      <c r="AX8" s="241"/>
      <c r="AY8" s="241"/>
      <c r="AZ8" s="236"/>
      <c r="BA8" s="236"/>
      <c r="BB8" s="236"/>
      <c r="BC8" s="236"/>
      <c r="BD8" s="236"/>
      <c r="BE8" s="292"/>
    </row>
    <row r="9" spans="1:57" s="3" customFormat="1" ht="11.5" customHeight="1" x14ac:dyDescent="0.15">
      <c r="A9" s="271"/>
      <c r="B9" s="271"/>
      <c r="C9" s="272"/>
      <c r="D9" s="279" t="s">
        <v>6</v>
      </c>
      <c r="E9" s="258" t="str">
        <f>+'Data Input Progress'!G9</f>
        <v>October 2021</v>
      </c>
      <c r="F9" s="280"/>
      <c r="G9" s="282"/>
      <c r="H9" s="289"/>
      <c r="I9" s="284"/>
      <c r="J9" s="284"/>
      <c r="K9" s="284"/>
      <c r="L9" s="284"/>
      <c r="M9" s="284"/>
      <c r="N9" s="284"/>
      <c r="O9" s="86"/>
      <c r="P9" s="83"/>
      <c r="Q9" s="83"/>
      <c r="R9" s="83"/>
      <c r="S9" s="83"/>
      <c r="T9" s="233"/>
      <c r="U9" s="233"/>
      <c r="V9" s="233"/>
      <c r="W9" s="233"/>
      <c r="X9" s="233"/>
      <c r="Y9" s="233"/>
      <c r="Z9" s="233"/>
      <c r="AA9" s="233"/>
      <c r="AB9" s="233"/>
      <c r="AC9" s="233"/>
      <c r="AD9" s="233"/>
      <c r="AE9" s="233"/>
      <c r="AF9" s="233"/>
      <c r="AG9" s="233"/>
      <c r="AH9" s="233"/>
      <c r="AI9" s="233"/>
      <c r="AJ9" s="233"/>
      <c r="AK9" s="233"/>
      <c r="AL9" s="233"/>
      <c r="AM9" s="233"/>
      <c r="AN9" s="233"/>
      <c r="AO9" s="233"/>
      <c r="AP9" s="233"/>
      <c r="AQ9" s="233"/>
      <c r="AR9" s="233"/>
      <c r="AS9" s="233"/>
      <c r="AT9" s="233"/>
      <c r="AU9" s="241"/>
      <c r="AV9" s="241"/>
      <c r="AW9" s="241"/>
      <c r="AX9" s="241"/>
      <c r="AY9" s="241"/>
      <c r="AZ9" s="237"/>
      <c r="BA9" s="237"/>
      <c r="BB9" s="237"/>
      <c r="BC9" s="237"/>
      <c r="BD9" s="237"/>
      <c r="BE9" s="292"/>
    </row>
    <row r="10" spans="1:57" s="3" customFormat="1" ht="11.5" customHeight="1" x14ac:dyDescent="0.15">
      <c r="A10" s="271"/>
      <c r="B10" s="271"/>
      <c r="C10" s="272"/>
      <c r="D10" s="279"/>
      <c r="E10" s="258"/>
      <c r="F10" s="280"/>
      <c r="G10" s="282"/>
      <c r="H10" s="290"/>
      <c r="I10" s="284"/>
      <c r="J10" s="284"/>
      <c r="K10" s="284"/>
      <c r="L10" s="284"/>
      <c r="M10" s="284"/>
      <c r="N10" s="284"/>
      <c r="O10" s="87"/>
      <c r="P10" s="84"/>
      <c r="Q10" s="84"/>
      <c r="R10" s="84"/>
      <c r="S10" s="84"/>
      <c r="T10" s="253" t="s">
        <v>23</v>
      </c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254"/>
      <c r="AS10" s="254"/>
      <c r="AT10" s="293"/>
      <c r="AU10" s="252" t="s">
        <v>24</v>
      </c>
      <c r="AV10" s="252"/>
      <c r="AW10" s="252"/>
      <c r="AX10" s="252"/>
      <c r="AY10" s="252"/>
      <c r="AZ10" s="238" t="s">
        <v>20</v>
      </c>
      <c r="BA10" s="239"/>
      <c r="BB10" s="239"/>
      <c r="BC10" s="239"/>
      <c r="BD10" s="240"/>
      <c r="BE10" s="292"/>
    </row>
    <row r="11" spans="1:57" s="3" customFormat="1" ht="14.5" customHeight="1" x14ac:dyDescent="0.15">
      <c r="A11" s="256" t="s">
        <v>4</v>
      </c>
      <c r="B11" s="256"/>
      <c r="C11" s="257"/>
      <c r="D11" s="258" t="s">
        <v>32</v>
      </c>
      <c r="E11" s="259"/>
      <c r="F11" s="77" t="s">
        <v>103</v>
      </c>
      <c r="G11" s="283"/>
      <c r="H11" s="285" t="s">
        <v>544</v>
      </c>
      <c r="I11" s="286"/>
      <c r="J11" s="287"/>
      <c r="K11" s="285" t="s">
        <v>37</v>
      </c>
      <c r="L11" s="287"/>
      <c r="M11" s="88"/>
      <c r="N11" s="88"/>
      <c r="O11" s="81" t="s">
        <v>542</v>
      </c>
      <c r="P11" s="80" t="s">
        <v>17</v>
      </c>
      <c r="Q11" s="79" t="s">
        <v>18</v>
      </c>
      <c r="R11" s="79" t="s">
        <v>541</v>
      </c>
      <c r="S11" s="79" t="s">
        <v>1077</v>
      </c>
      <c r="T11" s="115" t="s">
        <v>171</v>
      </c>
      <c r="U11" s="115" t="s">
        <v>172</v>
      </c>
      <c r="V11" s="115" t="s">
        <v>173</v>
      </c>
      <c r="W11" s="115" t="s">
        <v>174</v>
      </c>
      <c r="X11" s="115" t="s">
        <v>175</v>
      </c>
      <c r="Y11" s="115" t="s">
        <v>176</v>
      </c>
      <c r="Z11" s="115" t="s">
        <v>177</v>
      </c>
      <c r="AA11" s="115" t="s">
        <v>178</v>
      </c>
      <c r="AB11" s="115" t="s">
        <v>179</v>
      </c>
      <c r="AC11" s="115" t="s">
        <v>180</v>
      </c>
      <c r="AD11" s="115" t="s">
        <v>181</v>
      </c>
      <c r="AE11" s="115" t="s">
        <v>182</v>
      </c>
      <c r="AF11" s="115" t="s">
        <v>183</v>
      </c>
      <c r="AG11" s="115" t="s">
        <v>184</v>
      </c>
      <c r="AH11" s="115" t="s">
        <v>185</v>
      </c>
      <c r="AI11" s="115" t="s">
        <v>186</v>
      </c>
      <c r="AJ11" s="115" t="s">
        <v>468</v>
      </c>
      <c r="AK11" s="115" t="s">
        <v>471</v>
      </c>
      <c r="AL11" s="115" t="s">
        <v>476</v>
      </c>
      <c r="AM11" s="115" t="s">
        <v>480</v>
      </c>
      <c r="AN11" s="185" t="s">
        <v>485</v>
      </c>
      <c r="AO11" s="185" t="s">
        <v>490</v>
      </c>
      <c r="AP11" s="185" t="s">
        <v>495</v>
      </c>
      <c r="AQ11" s="185" t="s">
        <v>501</v>
      </c>
      <c r="AR11" s="185" t="s">
        <v>1171</v>
      </c>
      <c r="AS11" s="185" t="s">
        <v>1172</v>
      </c>
      <c r="AT11" s="185" t="s">
        <v>1173</v>
      </c>
      <c r="AU11" s="78" t="s">
        <v>202</v>
      </c>
      <c r="AV11" s="78" t="s">
        <v>203</v>
      </c>
      <c r="AW11" s="78" t="s">
        <v>204</v>
      </c>
      <c r="AX11" s="78" t="s">
        <v>205</v>
      </c>
      <c r="AY11" s="78" t="s">
        <v>206</v>
      </c>
      <c r="AZ11" s="6" t="s">
        <v>192</v>
      </c>
      <c r="BA11" s="6" t="s">
        <v>193</v>
      </c>
      <c r="BB11" s="6" t="s">
        <v>194</v>
      </c>
      <c r="BC11" s="6" t="s">
        <v>195</v>
      </c>
      <c r="BD11" s="6" t="s">
        <v>196</v>
      </c>
      <c r="BE11" s="292"/>
    </row>
    <row r="12" spans="1:57" s="128" customFormat="1" ht="8.5" hidden="1" customHeight="1" x14ac:dyDescent="0.15">
      <c r="A12" s="136" t="str">
        <f>IFERROR(VLOOKUP(TEXT(Inputplan[[#This Row],[Date]],"yyyy-mm"),API_AccountingPeriod[text]:API_AccountingPeriod[Month],2,0),"Please Input Accounting Period")</f>
        <v>Please Input Accounting Period</v>
      </c>
      <c r="B12" s="136" t="e">
        <f>"Week_" &amp;WEEKNUM(Inputplan[[#This Row],[Date]])</f>
        <v>#VALUE!</v>
      </c>
      <c r="C12" s="129"/>
      <c r="D12" s="142"/>
      <c r="E12" s="136">
        <f>IFERROR(VLOOKUP(Inputplan[[#This Row],[Code Number]],API_CNUnit[text]:API_CNUnit[type],3,0),0)</f>
        <v>0</v>
      </c>
      <c r="F12" s="142"/>
      <c r="G12" s="136" t="str">
        <f>IFERROR(VLOOKUP(Inputplan[[#This Row],[Shift]],API_Shift[shift_name]:API_Shift[Start-End],6,0),"")</f>
        <v/>
      </c>
      <c r="H12" s="143"/>
      <c r="I12" s="144"/>
      <c r="J12" s="144"/>
      <c r="K12" s="144"/>
      <c r="L12" s="144"/>
      <c r="M12" s="146">
        <f>IFERROR(Inputplan[[#This Row],[Overburden]]/(Inputplan[[#This Row],[WH]]),0)</f>
        <v>0</v>
      </c>
      <c r="N12" s="140">
        <f>IFERROR(Inputplan[[#This Row],[Coal]]/(Inputplan[[#This Row],[WH]]/60),0)</f>
        <v>0</v>
      </c>
      <c r="O12" s="140" t="e">
        <f>+IF(Inputplan[[#This Row],[Code Number]]="","",12)</f>
        <v>#VALUE!</v>
      </c>
      <c r="P12" s="140" t="e">
        <f>SUM(Inputplan[[#This Row],[P2H]:[LACK OFF SUPPORT]])/60</f>
        <v>#VALUE!</v>
      </c>
      <c r="Q12" s="140" t="e">
        <f>SUM(Inputplan[[#This Row],[HUJAN]:[PROBLEM COSTUMER]])/60</f>
        <v>#VALUE!</v>
      </c>
      <c r="R12" s="140" t="e">
        <f>SUM(Inputplan[[#This Row],[SCHEDULE SERVICE]:[ACCIDENT BREAKDOWN]])/60</f>
        <v>#VALUE!</v>
      </c>
      <c r="S12" s="140">
        <f>IFERROR(Inputplan[[#This Row],[MOHH]]-Inputplan[[#This Row],[Delay]]-Inputplan[[#This Row],[Idle]]-Inputplan[[#This Row],[B/D]],0)</f>
        <v>0</v>
      </c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2"/>
      <c r="AV12" s="132"/>
      <c r="AW12" s="132"/>
      <c r="AX12" s="132"/>
      <c r="AY12" s="132"/>
      <c r="AZ12" s="133"/>
      <c r="BA12" s="133"/>
      <c r="BB12" s="133"/>
      <c r="BC12" s="133"/>
      <c r="BD12" s="133"/>
      <c r="BE12" s="145"/>
    </row>
    <row r="13" spans="1:57" s="119" customFormat="1" ht="30.65" customHeight="1" x14ac:dyDescent="0.35">
      <c r="A13" s="89" t="s">
        <v>1152</v>
      </c>
      <c r="B13" s="89" t="s">
        <v>1</v>
      </c>
      <c r="C13" s="100" t="s">
        <v>2</v>
      </c>
      <c r="D13" s="100" t="s">
        <v>7</v>
      </c>
      <c r="E13" s="125" t="s">
        <v>8</v>
      </c>
      <c r="F13" s="126" t="s">
        <v>103</v>
      </c>
      <c r="G13" s="126" t="s">
        <v>531</v>
      </c>
      <c r="H13" s="126" t="s">
        <v>550</v>
      </c>
      <c r="I13" s="126" t="s">
        <v>545</v>
      </c>
      <c r="J13" s="90" t="s">
        <v>546</v>
      </c>
      <c r="K13" s="126" t="s">
        <v>82</v>
      </c>
      <c r="L13" s="126" t="s">
        <v>83</v>
      </c>
      <c r="M13" s="90" t="s">
        <v>38</v>
      </c>
      <c r="N13" s="90" t="s">
        <v>549</v>
      </c>
      <c r="O13" s="89" t="s">
        <v>542</v>
      </c>
      <c r="P13" s="89" t="s">
        <v>17</v>
      </c>
      <c r="Q13" s="89" t="s">
        <v>18</v>
      </c>
      <c r="R13" s="89" t="s">
        <v>541</v>
      </c>
      <c r="S13" s="89" t="s">
        <v>540</v>
      </c>
      <c r="T13" s="89" t="s">
        <v>152</v>
      </c>
      <c r="U13" s="89" t="s">
        <v>166</v>
      </c>
      <c r="V13" s="89" t="s">
        <v>1165</v>
      </c>
      <c r="W13" s="89" t="s">
        <v>158</v>
      </c>
      <c r="X13" s="89" t="s">
        <v>1166</v>
      </c>
      <c r="Y13" s="89" t="s">
        <v>1167</v>
      </c>
      <c r="Z13" s="89" t="s">
        <v>160</v>
      </c>
      <c r="AA13" s="89" t="s">
        <v>156</v>
      </c>
      <c r="AB13" s="89" t="s">
        <v>157</v>
      </c>
      <c r="AC13" s="89" t="s">
        <v>1168</v>
      </c>
      <c r="AD13" s="89" t="s">
        <v>1169</v>
      </c>
      <c r="AE13" s="89" t="s">
        <v>969</v>
      </c>
      <c r="AF13" s="89" t="s">
        <v>164</v>
      </c>
      <c r="AG13" s="89" t="s">
        <v>167</v>
      </c>
      <c r="AH13" s="89" t="s">
        <v>1170</v>
      </c>
      <c r="AI13" s="89" t="s">
        <v>165</v>
      </c>
      <c r="AJ13" s="89" t="s">
        <v>159</v>
      </c>
      <c r="AK13" s="89" t="s">
        <v>161</v>
      </c>
      <c r="AL13" s="89" t="s">
        <v>162</v>
      </c>
      <c r="AM13" s="89" t="s">
        <v>163</v>
      </c>
      <c r="AN13" s="89" t="s">
        <v>966</v>
      </c>
      <c r="AO13" s="89" t="s">
        <v>154</v>
      </c>
      <c r="AP13" s="89" t="s">
        <v>155</v>
      </c>
      <c r="AQ13" s="89" t="s">
        <v>967</v>
      </c>
      <c r="AR13" s="89" t="s">
        <v>968</v>
      </c>
      <c r="AS13" s="89" t="s">
        <v>1175</v>
      </c>
      <c r="AT13" s="89" t="s">
        <v>1174</v>
      </c>
      <c r="AU13" s="89" t="s">
        <v>197</v>
      </c>
      <c r="AV13" s="89" t="s">
        <v>198</v>
      </c>
      <c r="AW13" s="89" t="s">
        <v>199</v>
      </c>
      <c r="AX13" s="89" t="s">
        <v>200</v>
      </c>
      <c r="AY13" s="89" t="s">
        <v>201</v>
      </c>
      <c r="AZ13" s="89" t="s">
        <v>187</v>
      </c>
      <c r="BA13" s="89" t="s">
        <v>188</v>
      </c>
      <c r="BB13" s="89" t="s">
        <v>189</v>
      </c>
      <c r="BC13" s="89" t="s">
        <v>190</v>
      </c>
      <c r="BD13" s="89" t="s">
        <v>191</v>
      </c>
      <c r="BE13" s="118" t="s">
        <v>552</v>
      </c>
    </row>
    <row r="14" spans="1:57" s="3" customFormat="1" ht="11.5" customHeight="1" x14ac:dyDescent="0.15">
      <c r="A14" s="7">
        <f>IFERROR(VLOOKUP(TEXT(Inputplan[[#This Row],[Date]],"yyyy-mm"),API_AccountingPeriod[text]:API_AccountingPeriod[Month],2,0),"Please Input Accounting Period")</f>
        <v>20</v>
      </c>
      <c r="B14" s="7" t="str">
        <f>"Week_" &amp;WEEKNUM(Inputplan[[#This Row],[Date]])</f>
        <v>Week_32</v>
      </c>
      <c r="C14" s="147">
        <v>44410</v>
      </c>
      <c r="D14" s="128" t="s">
        <v>1188</v>
      </c>
      <c r="E14" s="7" t="str">
        <f>IFERROR(VLOOKUP(Inputplan[[#This Row],[Code Number]],API_CNUnit[text]:API_CNUnit[type],3,0),0)</f>
        <v>EXCAVATOR 120T HITACHI EX1200-7BH</v>
      </c>
      <c r="F14" s="128" t="s">
        <v>209</v>
      </c>
      <c r="G14" s="7" t="str">
        <f>IFERROR(VLOOKUP(Inputplan[[#This Row],[Shift]],API_Shift[shift_name]:API_Shift[Start-End],6,0),"")</f>
        <v>06:00-18:00</v>
      </c>
      <c r="H14" s="199" t="s">
        <v>1005</v>
      </c>
      <c r="I14" s="4">
        <v>4390</v>
      </c>
      <c r="J14" s="4"/>
      <c r="K14" s="4">
        <v>400</v>
      </c>
      <c r="L14" s="4"/>
      <c r="M14" s="99">
        <f>IFERROR(Inputplan[[#This Row],[Overburden]]/(Inputplan[[#This Row],[WH]]),0)</f>
        <v>439</v>
      </c>
      <c r="N14" s="98">
        <f>IFERROR(Inputplan[[#This Row],[Coal]]/(Inputplan[[#This Row],[WH]]/60),0)</f>
        <v>0</v>
      </c>
      <c r="O14" s="98">
        <f>+IF(Inputplan[[#This Row],[Code Number]]="","",12)</f>
        <v>12</v>
      </c>
      <c r="P14" s="98">
        <f>SUM(Inputplan[[#This Row],[P2H]:[LACK OFF SUPPORT]])/60</f>
        <v>2</v>
      </c>
      <c r="Q14" s="98">
        <f>SUM(Inputplan[[#This Row],[HUJAN]:[PROBLEM COSTUMER]])/60</f>
        <v>0</v>
      </c>
      <c r="R14" s="98">
        <f>SUM(Inputplan[[#This Row],[SCHEDULE SERVICE]:[ACCIDENT BREAKDOWN]])/60</f>
        <v>0</v>
      </c>
      <c r="S14" s="98">
        <f>IFERROR(Inputplan[[#This Row],[MOHH]]-Inputplan[[#This Row],[Delay]]-Inputplan[[#This Row],[Idle]]-Inputplan[[#This Row],[B/D]],0)</f>
        <v>10</v>
      </c>
      <c r="T14" s="4">
        <v>10</v>
      </c>
      <c r="U14" s="4"/>
      <c r="V14" s="4">
        <v>15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>
        <v>15</v>
      </c>
      <c r="AJ14" s="4">
        <v>60</v>
      </c>
      <c r="AK14" s="4"/>
      <c r="AL14" s="4"/>
      <c r="AM14" s="4">
        <v>10</v>
      </c>
      <c r="AN14" s="4"/>
      <c r="AO14" s="4">
        <v>10</v>
      </c>
      <c r="AP14" s="4"/>
      <c r="AQ14" s="4"/>
      <c r="AR14" s="4"/>
      <c r="AS14" s="4"/>
      <c r="AT14" s="4"/>
      <c r="AU14" s="4"/>
      <c r="AV14" s="4"/>
      <c r="AW14" s="4"/>
      <c r="AX14" s="4"/>
      <c r="AY14" s="4"/>
    </row>
    <row r="15" spans="1:57" x14ac:dyDescent="0.25">
      <c r="A15" s="189">
        <f>IFERROR(VLOOKUP(TEXT(Inputplan[[#This Row],[Date]],"yyyy-mm"),API_AccountingPeriod[text]:API_AccountingPeriod[Month],2,0),"Please Input Accounting Period")</f>
        <v>20</v>
      </c>
      <c r="B15" s="189" t="str">
        <f>"Week_" &amp;WEEKNUM(Inputplan[[#This Row],[Date]])</f>
        <v>Week_32</v>
      </c>
      <c r="C15" s="147">
        <v>44410</v>
      </c>
      <c r="D15" s="128" t="s">
        <v>1186</v>
      </c>
      <c r="E15" s="189" t="str">
        <f>IFERROR(VLOOKUP(Inputplan[[#This Row],[Code Number]],API_CNUnit[text]:API_CNUnit[type],3,0),0)</f>
        <v>EXCAVATOR 40T HITACHI ZX470LC-5G</v>
      </c>
      <c r="F15" s="128" t="s">
        <v>209</v>
      </c>
      <c r="G15" s="189" t="str">
        <f>IFERROR(VLOOKUP(Inputplan[[#This Row],[Shift]],API_Shift[shift_name]:API_Shift[Start-End],6,0),"")</f>
        <v>06:00-18:00</v>
      </c>
      <c r="H15" s="199" t="s">
        <v>1005</v>
      </c>
      <c r="I15" s="4">
        <v>2000</v>
      </c>
      <c r="J15" s="4"/>
      <c r="K15" s="4">
        <v>400</v>
      </c>
      <c r="L15" s="4"/>
      <c r="M15" s="99">
        <f>IFERROR(Inputplan[[#This Row],[Overburden]]/(Inputplan[[#This Row],[WH]]),0)</f>
        <v>200</v>
      </c>
      <c r="N15" s="98">
        <f>IFERROR(Inputplan[[#This Row],[Coal]]/(Inputplan[[#This Row],[WH]]/60),0)</f>
        <v>0</v>
      </c>
      <c r="O15" s="190">
        <f>+IF(Inputplan[[#This Row],[Code Number]]="","",12)</f>
        <v>12</v>
      </c>
      <c r="P15" s="190">
        <f>SUM(Inputplan[[#This Row],[P2H]:[LACK OFF SUPPORT]])/60</f>
        <v>2</v>
      </c>
      <c r="Q15" s="190">
        <f>SUM(Inputplan[[#This Row],[HUJAN]:[PROBLEM COSTUMER]])/60</f>
        <v>0</v>
      </c>
      <c r="R15" s="190">
        <f>SUM(Inputplan[[#This Row],[SCHEDULE SERVICE]:[ACCIDENT BREAKDOWN]])/60</f>
        <v>0</v>
      </c>
      <c r="S15" s="98">
        <f>IFERROR(Inputplan[[#This Row],[MOHH]]-Inputplan[[#This Row],[Delay]]-Inputplan[[#This Row],[Idle]]-Inputplan[[#This Row],[B/D]],0)</f>
        <v>10</v>
      </c>
      <c r="T15" s="4">
        <v>10</v>
      </c>
      <c r="U15" s="4"/>
      <c r="V15" s="4">
        <v>15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>
        <v>15</v>
      </c>
      <c r="AJ15" s="4">
        <v>60</v>
      </c>
      <c r="AK15" s="4"/>
      <c r="AL15" s="4"/>
      <c r="AM15" s="4">
        <v>10</v>
      </c>
      <c r="AN15" s="4"/>
      <c r="AO15" s="4">
        <v>10</v>
      </c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3"/>
      <c r="BA15" s="3"/>
      <c r="BB15" s="3"/>
      <c r="BC15" s="3"/>
      <c r="BD15" s="3"/>
      <c r="BE15" s="3"/>
    </row>
    <row r="16" spans="1:57" x14ac:dyDescent="0.25">
      <c r="A16" s="189">
        <f>IFERROR(VLOOKUP(TEXT(Inputplan[[#This Row],[Date]],"yyyy-mm"),API_AccountingPeriod[text]:API_AccountingPeriod[Month],2,0),"Please Input Accounting Period")</f>
        <v>20</v>
      </c>
      <c r="B16" s="189" t="str">
        <f>"Week_" &amp;WEEKNUM(Inputplan[[#This Row],[Date]])</f>
        <v>Week_32</v>
      </c>
      <c r="C16" s="147">
        <v>44410</v>
      </c>
      <c r="D16" s="128" t="s">
        <v>1188</v>
      </c>
      <c r="E16" s="189" t="str">
        <f>IFERROR(VLOOKUP(Inputplan[[#This Row],[Code Number]],API_CNUnit[text]:API_CNUnit[type],3,0),0)</f>
        <v>EXCAVATOR 120T HITACHI EX1200-7BH</v>
      </c>
      <c r="F16" s="128" t="s">
        <v>212</v>
      </c>
      <c r="G16" s="189" t="str">
        <f>IFERROR(VLOOKUP(Inputplan[[#This Row],[Shift]],API_Shift[shift_name]:API_Shift[Start-End],6,0),"")</f>
        <v>18:00-06:00</v>
      </c>
      <c r="H16" s="199" t="s">
        <v>1005</v>
      </c>
      <c r="I16" s="4"/>
      <c r="J16" s="4">
        <v>100</v>
      </c>
      <c r="K16" s="4"/>
      <c r="L16" s="4">
        <v>300</v>
      </c>
      <c r="M16" s="99">
        <f>IFERROR(Inputplan[[#This Row],[Overburden]]/(Inputplan[[#This Row],[WH]]),0)</f>
        <v>0</v>
      </c>
      <c r="N16" s="98">
        <f>IFERROR(Inputplan[[#This Row],[Coal]]/(Inputplan[[#This Row],[WH]]/60),0)</f>
        <v>0</v>
      </c>
      <c r="O16" s="190">
        <f>+IF(Inputplan[[#This Row],[Code Number]]="","",12)</f>
        <v>12</v>
      </c>
      <c r="P16" s="190">
        <f>SUM(Inputplan[[#This Row],[P2H]:[LACK OFF SUPPORT]])/60</f>
        <v>12</v>
      </c>
      <c r="Q16" s="190">
        <f>SUM(Inputplan[[#This Row],[HUJAN]:[PROBLEM COSTUMER]])/60</f>
        <v>0</v>
      </c>
      <c r="R16" s="190">
        <f>SUM(Inputplan[[#This Row],[SCHEDULE SERVICE]:[ACCIDENT BREAKDOWN]])/60</f>
        <v>0</v>
      </c>
      <c r="S16" s="98">
        <f>IFERROR(Inputplan[[#This Row],[MOHH]]-Inputplan[[#This Row],[Delay]]-Inputplan[[#This Row],[Idle]]-Inputplan[[#This Row],[B/D]],0)</f>
        <v>0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>
        <v>720</v>
      </c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3"/>
      <c r="BA16" s="3"/>
      <c r="BB16" s="3"/>
      <c r="BC16" s="3"/>
      <c r="BD16" s="3"/>
      <c r="BE16" s="3"/>
    </row>
    <row r="17" spans="1:57" x14ac:dyDescent="0.25">
      <c r="A17" s="189">
        <f>IFERROR(VLOOKUP(TEXT(Inputplan[[#This Row],[Date]],"yyyy-mm"),API_AccountingPeriod[text]:API_AccountingPeriod[Month],2,0),"Please Input Accounting Period")</f>
        <v>20</v>
      </c>
      <c r="B17" s="189" t="str">
        <f>"Week_" &amp;WEEKNUM(Inputplan[[#This Row],[Date]])</f>
        <v>Week_32</v>
      </c>
      <c r="C17" s="147">
        <v>44410</v>
      </c>
      <c r="D17" s="128" t="s">
        <v>1186</v>
      </c>
      <c r="E17" s="189" t="str">
        <f>IFERROR(VLOOKUP(Inputplan[[#This Row],[Code Number]],API_CNUnit[text]:API_CNUnit[type],3,0),0)</f>
        <v>EXCAVATOR 40T HITACHI ZX470LC-5G</v>
      </c>
      <c r="F17" s="128" t="s">
        <v>212</v>
      </c>
      <c r="G17" s="189" t="str">
        <f>IFERROR(VLOOKUP(Inputplan[[#This Row],[Shift]],API_Shift[shift_name]:API_Shift[Start-End],6,0),"")</f>
        <v>18:00-06:00</v>
      </c>
      <c r="H17" s="199" t="s">
        <v>1005</v>
      </c>
      <c r="I17" s="4"/>
      <c r="J17" s="4"/>
      <c r="K17" s="4"/>
      <c r="L17" s="4"/>
      <c r="M17" s="99">
        <f>IFERROR(Inputplan[[#This Row],[Overburden]]/(Inputplan[[#This Row],[WH]]),0)</f>
        <v>0</v>
      </c>
      <c r="N17" s="98">
        <f>IFERROR(Inputplan[[#This Row],[Coal]]/(Inputplan[[#This Row],[WH]]/60),0)</f>
        <v>0</v>
      </c>
      <c r="O17" s="190">
        <f>+IF(Inputplan[[#This Row],[Code Number]]="","",12)</f>
        <v>12</v>
      </c>
      <c r="P17" s="190">
        <f>SUM(Inputplan[[#This Row],[P2H]:[LACK OFF SUPPORT]])/60</f>
        <v>12</v>
      </c>
      <c r="Q17" s="190">
        <f>SUM(Inputplan[[#This Row],[HUJAN]:[PROBLEM COSTUMER]])/60</f>
        <v>0</v>
      </c>
      <c r="R17" s="190">
        <f>SUM(Inputplan[[#This Row],[SCHEDULE SERVICE]:[ACCIDENT BREAKDOWN]])/60</f>
        <v>0</v>
      </c>
      <c r="S17" s="98">
        <f>IFERROR(Inputplan[[#This Row],[MOHH]]-Inputplan[[#This Row],[Delay]]-Inputplan[[#This Row],[Idle]]-Inputplan[[#This Row],[B/D]],0)</f>
        <v>0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>
        <v>720</v>
      </c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3"/>
      <c r="BA17" s="3"/>
      <c r="BB17" s="3"/>
      <c r="BC17" s="3"/>
      <c r="BD17" s="3"/>
      <c r="BE17" s="3"/>
    </row>
    <row r="18" spans="1:57" x14ac:dyDescent="0.25">
      <c r="A18" s="189">
        <f>IFERROR(VLOOKUP(TEXT(Inputplan[[#This Row],[Date]],"yyyy-mm"),API_AccountingPeriod[text]:API_AccountingPeriod[Month],2,0),"Please Input Accounting Period")</f>
        <v>20</v>
      </c>
      <c r="B18" s="189" t="str">
        <f>"Week_" &amp;WEEKNUM(Inputplan[[#This Row],[Date]])</f>
        <v>Week_32</v>
      </c>
      <c r="C18" s="147">
        <v>44411</v>
      </c>
      <c r="D18" s="128" t="s">
        <v>1188</v>
      </c>
      <c r="E18" s="189" t="str">
        <f>IFERROR(VLOOKUP(Inputplan[[#This Row],[Code Number]],API_CNUnit[text]:API_CNUnit[type],3,0),0)</f>
        <v>EXCAVATOR 120T HITACHI EX1200-7BH</v>
      </c>
      <c r="F18" s="128" t="s">
        <v>209</v>
      </c>
      <c r="G18" s="189" t="str">
        <f>IFERROR(VLOOKUP(Inputplan[[#This Row],[Shift]],API_Shift[shift_name]:API_Shift[Start-End],6,0),"")</f>
        <v>06:00-18:00</v>
      </c>
      <c r="H18" s="199" t="s">
        <v>1005</v>
      </c>
      <c r="I18" s="4">
        <v>4390</v>
      </c>
      <c r="J18" s="4"/>
      <c r="K18" s="4">
        <v>400</v>
      </c>
      <c r="L18" s="4"/>
      <c r="M18" s="99">
        <f>IFERROR(Inputplan[[#This Row],[Overburden]]/(Inputplan[[#This Row],[WH]]),0)</f>
        <v>439</v>
      </c>
      <c r="N18" s="98">
        <f>IFERROR(Inputplan[[#This Row],[Coal]]/(Inputplan[[#This Row],[WH]]/60),0)</f>
        <v>0</v>
      </c>
      <c r="O18" s="190">
        <f>+IF(Inputplan[[#This Row],[Code Number]]="","",12)</f>
        <v>12</v>
      </c>
      <c r="P18" s="190">
        <f>SUM(Inputplan[[#This Row],[P2H]:[LACK OFF SUPPORT]])/60</f>
        <v>2</v>
      </c>
      <c r="Q18" s="190">
        <f>SUM(Inputplan[[#This Row],[HUJAN]:[PROBLEM COSTUMER]])/60</f>
        <v>0</v>
      </c>
      <c r="R18" s="190">
        <f>SUM(Inputplan[[#This Row],[SCHEDULE SERVICE]:[ACCIDENT BREAKDOWN]])/60</f>
        <v>0</v>
      </c>
      <c r="S18" s="98">
        <f>IFERROR(Inputplan[[#This Row],[MOHH]]-Inputplan[[#This Row],[Delay]]-Inputplan[[#This Row],[Idle]]-Inputplan[[#This Row],[B/D]],0)</f>
        <v>10</v>
      </c>
      <c r="T18" s="4">
        <v>10</v>
      </c>
      <c r="U18" s="4"/>
      <c r="V18" s="4">
        <v>15</v>
      </c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>
        <v>15</v>
      </c>
      <c r="AJ18" s="4">
        <v>60</v>
      </c>
      <c r="AK18" s="4"/>
      <c r="AL18" s="4"/>
      <c r="AM18" s="4">
        <v>10</v>
      </c>
      <c r="AN18" s="4"/>
      <c r="AO18" s="4">
        <v>10</v>
      </c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3"/>
      <c r="BA18" s="3"/>
      <c r="BB18" s="3"/>
      <c r="BC18" s="3"/>
      <c r="BD18" s="3"/>
      <c r="BE18" s="3"/>
    </row>
    <row r="19" spans="1:57" x14ac:dyDescent="0.25">
      <c r="A19" s="189">
        <f>IFERROR(VLOOKUP(TEXT(Inputplan[[#This Row],[Date]],"yyyy-mm"),API_AccountingPeriod[text]:API_AccountingPeriod[Month],2,0),"Please Input Accounting Period")</f>
        <v>20</v>
      </c>
      <c r="B19" s="189" t="str">
        <f>"Week_" &amp;WEEKNUM(Inputplan[[#This Row],[Date]])</f>
        <v>Week_32</v>
      </c>
      <c r="C19" s="147">
        <v>44411</v>
      </c>
      <c r="D19" s="128" t="s">
        <v>1186</v>
      </c>
      <c r="E19" s="189" t="str">
        <f>IFERROR(VLOOKUP(Inputplan[[#This Row],[Code Number]],API_CNUnit[text]:API_CNUnit[type],3,0),0)</f>
        <v>EXCAVATOR 40T HITACHI ZX470LC-5G</v>
      </c>
      <c r="F19" s="128" t="s">
        <v>209</v>
      </c>
      <c r="G19" s="189" t="str">
        <f>IFERROR(VLOOKUP(Inputplan[[#This Row],[Shift]],API_Shift[shift_name]:API_Shift[Start-End],6,0),"")</f>
        <v>06:00-18:00</v>
      </c>
      <c r="H19" s="199" t="s">
        <v>1005</v>
      </c>
      <c r="I19" s="4">
        <v>2000</v>
      </c>
      <c r="J19" s="4"/>
      <c r="K19" s="4">
        <v>400</v>
      </c>
      <c r="L19" s="4"/>
      <c r="M19" s="99">
        <f>IFERROR(Inputplan[[#This Row],[Overburden]]/(Inputplan[[#This Row],[WH]]),0)</f>
        <v>200</v>
      </c>
      <c r="N19" s="98">
        <f>IFERROR(Inputplan[[#This Row],[Coal]]/(Inputplan[[#This Row],[WH]]/60),0)</f>
        <v>0</v>
      </c>
      <c r="O19" s="190">
        <f>+IF(Inputplan[[#This Row],[Code Number]]="","",12)</f>
        <v>12</v>
      </c>
      <c r="P19" s="190">
        <f>SUM(Inputplan[[#This Row],[P2H]:[LACK OFF SUPPORT]])/60</f>
        <v>2</v>
      </c>
      <c r="Q19" s="190">
        <f>SUM(Inputplan[[#This Row],[HUJAN]:[PROBLEM COSTUMER]])/60</f>
        <v>0</v>
      </c>
      <c r="R19" s="190">
        <f>SUM(Inputplan[[#This Row],[SCHEDULE SERVICE]:[ACCIDENT BREAKDOWN]])/60</f>
        <v>0</v>
      </c>
      <c r="S19" s="98">
        <f>IFERROR(Inputplan[[#This Row],[MOHH]]-Inputplan[[#This Row],[Delay]]-Inputplan[[#This Row],[Idle]]-Inputplan[[#This Row],[B/D]],0)</f>
        <v>10</v>
      </c>
      <c r="T19" s="4">
        <v>10</v>
      </c>
      <c r="U19" s="4"/>
      <c r="V19" s="4">
        <v>15</v>
      </c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>
        <v>15</v>
      </c>
      <c r="AJ19" s="4">
        <v>60</v>
      </c>
      <c r="AK19" s="4"/>
      <c r="AL19" s="4"/>
      <c r="AM19" s="4">
        <v>10</v>
      </c>
      <c r="AN19" s="4"/>
      <c r="AO19" s="4">
        <v>10</v>
      </c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3"/>
      <c r="BA19" s="3"/>
      <c r="BB19" s="3"/>
      <c r="BC19" s="3"/>
      <c r="BD19" s="3"/>
      <c r="BE19" s="3"/>
    </row>
    <row r="20" spans="1:57" x14ac:dyDescent="0.25">
      <c r="A20" s="189">
        <f>IFERROR(VLOOKUP(TEXT(Inputplan[[#This Row],[Date]],"yyyy-mm"),API_AccountingPeriod[text]:API_AccountingPeriod[Month],2,0),"Please Input Accounting Period")</f>
        <v>20</v>
      </c>
      <c r="B20" s="189" t="str">
        <f>"Week_" &amp;WEEKNUM(Inputplan[[#This Row],[Date]])</f>
        <v>Week_32</v>
      </c>
      <c r="C20" s="147">
        <v>44411</v>
      </c>
      <c r="D20" s="128" t="s">
        <v>1188</v>
      </c>
      <c r="E20" s="189" t="str">
        <f>IFERROR(VLOOKUP(Inputplan[[#This Row],[Code Number]],API_CNUnit[text]:API_CNUnit[type],3,0),0)</f>
        <v>EXCAVATOR 120T HITACHI EX1200-7BH</v>
      </c>
      <c r="F20" s="128" t="s">
        <v>212</v>
      </c>
      <c r="G20" s="189" t="str">
        <f>IFERROR(VLOOKUP(Inputplan[[#This Row],[Shift]],API_Shift[shift_name]:API_Shift[Start-End],6,0),"")</f>
        <v>18:00-06:00</v>
      </c>
      <c r="H20" s="199" t="s">
        <v>1005</v>
      </c>
      <c r="I20" s="4"/>
      <c r="J20" s="4"/>
      <c r="K20" s="4"/>
      <c r="L20" s="4"/>
      <c r="M20" s="99">
        <f>IFERROR(Inputplan[[#This Row],[Overburden]]/(Inputplan[[#This Row],[WH]]),0)</f>
        <v>0</v>
      </c>
      <c r="N20" s="98">
        <f>IFERROR(Inputplan[[#This Row],[Coal]]/(Inputplan[[#This Row],[WH]]/60),0)</f>
        <v>0</v>
      </c>
      <c r="O20" s="190">
        <f>+IF(Inputplan[[#This Row],[Code Number]]="","",12)</f>
        <v>12</v>
      </c>
      <c r="P20" s="190">
        <f>SUM(Inputplan[[#This Row],[P2H]:[LACK OFF SUPPORT]])/60</f>
        <v>12</v>
      </c>
      <c r="Q20" s="190">
        <f>SUM(Inputplan[[#This Row],[HUJAN]:[PROBLEM COSTUMER]])/60</f>
        <v>0</v>
      </c>
      <c r="R20" s="190">
        <f>SUM(Inputplan[[#This Row],[SCHEDULE SERVICE]:[ACCIDENT BREAKDOWN]])/60</f>
        <v>0</v>
      </c>
      <c r="S20" s="98">
        <f>IFERROR(Inputplan[[#This Row],[MOHH]]-Inputplan[[#This Row],[Delay]]-Inputplan[[#This Row],[Idle]]-Inputplan[[#This Row],[B/D]],0)</f>
        <v>0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720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3"/>
      <c r="BA20" s="3"/>
      <c r="BB20" s="3"/>
      <c r="BC20" s="3"/>
      <c r="BD20" s="3"/>
      <c r="BE20" s="3"/>
    </row>
    <row r="21" spans="1:57" x14ac:dyDescent="0.25">
      <c r="A21" s="189">
        <f>IFERROR(VLOOKUP(TEXT(Inputplan[[#This Row],[Date]],"yyyy-mm"),API_AccountingPeriod[text]:API_AccountingPeriod[Month],2,0),"Please Input Accounting Period")</f>
        <v>20</v>
      </c>
      <c r="B21" s="189" t="str">
        <f>"Week_" &amp;WEEKNUM(Inputplan[[#This Row],[Date]])</f>
        <v>Week_32</v>
      </c>
      <c r="C21" s="147">
        <v>44411</v>
      </c>
      <c r="D21" s="128" t="s">
        <v>1186</v>
      </c>
      <c r="E21" s="189" t="str">
        <f>IFERROR(VLOOKUP(Inputplan[[#This Row],[Code Number]],API_CNUnit[text]:API_CNUnit[type],3,0),0)</f>
        <v>EXCAVATOR 40T HITACHI ZX470LC-5G</v>
      </c>
      <c r="F21" s="128" t="s">
        <v>212</v>
      </c>
      <c r="G21" s="189" t="str">
        <f>IFERROR(VLOOKUP(Inputplan[[#This Row],[Shift]],API_Shift[shift_name]:API_Shift[Start-End],6,0),"")</f>
        <v>18:00-06:00</v>
      </c>
      <c r="H21" s="199" t="s">
        <v>1005</v>
      </c>
      <c r="I21" s="4"/>
      <c r="J21" s="4"/>
      <c r="K21" s="4"/>
      <c r="L21" s="4"/>
      <c r="M21" s="99">
        <f>IFERROR(Inputplan[[#This Row],[Overburden]]/(Inputplan[[#This Row],[WH]]),0)</f>
        <v>0</v>
      </c>
      <c r="N21" s="98">
        <f>IFERROR(Inputplan[[#This Row],[Coal]]/(Inputplan[[#This Row],[WH]]/60),0)</f>
        <v>0</v>
      </c>
      <c r="O21" s="190">
        <f>+IF(Inputplan[[#This Row],[Code Number]]="","",12)</f>
        <v>12</v>
      </c>
      <c r="P21" s="190">
        <f>SUM(Inputplan[[#This Row],[P2H]:[LACK OFF SUPPORT]])/60</f>
        <v>12</v>
      </c>
      <c r="Q21" s="190">
        <f>SUM(Inputplan[[#This Row],[HUJAN]:[PROBLEM COSTUMER]])/60</f>
        <v>0</v>
      </c>
      <c r="R21" s="190">
        <f>SUM(Inputplan[[#This Row],[SCHEDULE SERVICE]:[ACCIDENT BREAKDOWN]])/60</f>
        <v>0</v>
      </c>
      <c r="S21" s="98">
        <f>IFERROR(Inputplan[[#This Row],[MOHH]]-Inputplan[[#This Row],[Delay]]-Inputplan[[#This Row],[Idle]]-Inputplan[[#This Row],[B/D]],0)</f>
        <v>0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720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3"/>
      <c r="BA21" s="3"/>
      <c r="BB21" s="3"/>
      <c r="BC21" s="3"/>
      <c r="BD21" s="3"/>
      <c r="BE21" s="3"/>
    </row>
    <row r="22" spans="1:57" x14ac:dyDescent="0.25">
      <c r="A22" s="189">
        <f>IFERROR(VLOOKUP(TEXT(Inputplan[[#This Row],[Date]],"yyyy-mm"),API_AccountingPeriod[text]:API_AccountingPeriod[Month],2,0),"Please Input Accounting Period")</f>
        <v>20</v>
      </c>
      <c r="B22" s="189" t="str">
        <f>"Week_" &amp;WEEKNUM(Inputplan[[#This Row],[Date]])</f>
        <v>Week_32</v>
      </c>
      <c r="C22" s="147">
        <v>44412</v>
      </c>
      <c r="D22" s="128" t="s">
        <v>1188</v>
      </c>
      <c r="E22" s="189" t="str">
        <f>IFERROR(VLOOKUP(Inputplan[[#This Row],[Code Number]],API_CNUnit[text]:API_CNUnit[type],3,0),0)</f>
        <v>EXCAVATOR 120T HITACHI EX1200-7BH</v>
      </c>
      <c r="F22" s="128" t="s">
        <v>209</v>
      </c>
      <c r="G22" s="189" t="str">
        <f>IFERROR(VLOOKUP(Inputplan[[#This Row],[Shift]],API_Shift[shift_name]:API_Shift[Start-End],6,0),"")</f>
        <v>06:00-18:00</v>
      </c>
      <c r="H22" s="199" t="s">
        <v>1005</v>
      </c>
      <c r="I22" s="4">
        <v>4390</v>
      </c>
      <c r="J22" s="4"/>
      <c r="K22" s="4">
        <v>400</v>
      </c>
      <c r="L22" s="4"/>
      <c r="M22" s="99">
        <f>IFERROR(Inputplan[[#This Row],[Overburden]]/(Inputplan[[#This Row],[WH]]),0)</f>
        <v>462.10526315789474</v>
      </c>
      <c r="N22" s="98">
        <f>IFERROR(Inputplan[[#This Row],[Coal]]/(Inputplan[[#This Row],[WH]]/60),0)</f>
        <v>0</v>
      </c>
      <c r="O22" s="190">
        <f>+IF(Inputplan[[#This Row],[Code Number]]="","",12)</f>
        <v>12</v>
      </c>
      <c r="P22" s="190">
        <f>SUM(Inputplan[[#This Row],[P2H]:[LACK OFF SUPPORT]])/60</f>
        <v>2</v>
      </c>
      <c r="Q22" s="190">
        <f>SUM(Inputplan[[#This Row],[HUJAN]:[PROBLEM COSTUMER]])/60</f>
        <v>0</v>
      </c>
      <c r="R22" s="190">
        <f>SUM(Inputplan[[#This Row],[SCHEDULE SERVICE]:[ACCIDENT BREAKDOWN]])/60</f>
        <v>0.5</v>
      </c>
      <c r="S22" s="98">
        <f>IFERROR(Inputplan[[#This Row],[MOHH]]-Inputplan[[#This Row],[Delay]]-Inputplan[[#This Row],[Idle]]-Inputplan[[#This Row],[B/D]],0)</f>
        <v>9.5</v>
      </c>
      <c r="T22" s="4">
        <v>10</v>
      </c>
      <c r="U22" s="4"/>
      <c r="V22" s="4">
        <v>15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>
        <v>15</v>
      </c>
      <c r="AJ22" s="4">
        <v>60</v>
      </c>
      <c r="AK22" s="4"/>
      <c r="AL22" s="4"/>
      <c r="AM22" s="4">
        <v>10</v>
      </c>
      <c r="AN22" s="4"/>
      <c r="AO22" s="4">
        <v>10</v>
      </c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3">
        <v>30</v>
      </c>
      <c r="BA22" s="3"/>
      <c r="BB22" s="3"/>
      <c r="BC22" s="3"/>
      <c r="BD22" s="3"/>
      <c r="BE22" s="3"/>
    </row>
    <row r="23" spans="1:57" x14ac:dyDescent="0.25">
      <c r="A23" s="189">
        <f>IFERROR(VLOOKUP(TEXT(Inputplan[[#This Row],[Date]],"yyyy-mm"),API_AccountingPeriod[text]:API_AccountingPeriod[Month],2,0),"Please Input Accounting Period")</f>
        <v>20</v>
      </c>
      <c r="B23" s="189" t="str">
        <f>"Week_" &amp;WEEKNUM(Inputplan[[#This Row],[Date]])</f>
        <v>Week_32</v>
      </c>
      <c r="C23" s="147">
        <v>44412</v>
      </c>
      <c r="D23" s="128" t="s">
        <v>1186</v>
      </c>
      <c r="E23" s="189" t="str">
        <f>IFERROR(VLOOKUP(Inputplan[[#This Row],[Code Number]],API_CNUnit[text]:API_CNUnit[type],3,0),0)</f>
        <v>EXCAVATOR 40T HITACHI ZX470LC-5G</v>
      </c>
      <c r="F23" s="128" t="s">
        <v>209</v>
      </c>
      <c r="G23" s="189" t="str">
        <f>IFERROR(VLOOKUP(Inputplan[[#This Row],[Shift]],API_Shift[shift_name]:API_Shift[Start-End],6,0),"")</f>
        <v>06:00-18:00</v>
      </c>
      <c r="H23" s="199" t="s">
        <v>1005</v>
      </c>
      <c r="I23" s="4">
        <v>2000</v>
      </c>
      <c r="J23" s="4"/>
      <c r="K23" s="4">
        <v>400</v>
      </c>
      <c r="L23" s="4"/>
      <c r="M23" s="99">
        <f>IFERROR(Inputplan[[#This Row],[Overburden]]/(Inputplan[[#This Row],[WH]]),0)</f>
        <v>210.52631578947367</v>
      </c>
      <c r="N23" s="98">
        <f>IFERROR(Inputplan[[#This Row],[Coal]]/(Inputplan[[#This Row],[WH]]/60),0)</f>
        <v>0</v>
      </c>
      <c r="O23" s="190">
        <f>+IF(Inputplan[[#This Row],[Code Number]]="","",12)</f>
        <v>12</v>
      </c>
      <c r="P23" s="190">
        <f>SUM(Inputplan[[#This Row],[P2H]:[LACK OFF SUPPORT]])/60</f>
        <v>2</v>
      </c>
      <c r="Q23" s="190">
        <f>SUM(Inputplan[[#This Row],[HUJAN]:[PROBLEM COSTUMER]])/60</f>
        <v>0</v>
      </c>
      <c r="R23" s="190">
        <f>SUM(Inputplan[[#This Row],[SCHEDULE SERVICE]:[ACCIDENT BREAKDOWN]])/60</f>
        <v>0.5</v>
      </c>
      <c r="S23" s="98">
        <f>IFERROR(Inputplan[[#This Row],[MOHH]]-Inputplan[[#This Row],[Delay]]-Inputplan[[#This Row],[Idle]]-Inputplan[[#This Row],[B/D]],0)</f>
        <v>9.5</v>
      </c>
      <c r="T23" s="4">
        <v>10</v>
      </c>
      <c r="U23" s="4"/>
      <c r="V23" s="4">
        <v>15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>
        <v>15</v>
      </c>
      <c r="AJ23" s="4">
        <v>60</v>
      </c>
      <c r="AK23" s="4"/>
      <c r="AL23" s="4"/>
      <c r="AM23" s="4">
        <v>10</v>
      </c>
      <c r="AN23" s="4"/>
      <c r="AO23" s="4">
        <v>10</v>
      </c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3">
        <v>30</v>
      </c>
      <c r="BA23" s="3"/>
      <c r="BB23" s="3"/>
      <c r="BC23" s="3"/>
      <c r="BD23" s="3"/>
      <c r="BE23" s="3"/>
    </row>
    <row r="24" spans="1:57" x14ac:dyDescent="0.25">
      <c r="A24" s="189">
        <f>IFERROR(VLOOKUP(TEXT(Inputplan[[#This Row],[Date]],"yyyy-mm"),API_AccountingPeriod[text]:API_AccountingPeriod[Month],2,0),"Please Input Accounting Period")</f>
        <v>20</v>
      </c>
      <c r="B24" s="189" t="str">
        <f>"Week_" &amp;WEEKNUM(Inputplan[[#This Row],[Date]])</f>
        <v>Week_32</v>
      </c>
      <c r="C24" s="147">
        <v>44412</v>
      </c>
      <c r="D24" s="128" t="s">
        <v>1188</v>
      </c>
      <c r="E24" s="189" t="str">
        <f>IFERROR(VLOOKUP(Inputplan[[#This Row],[Code Number]],API_CNUnit[text]:API_CNUnit[type],3,0),0)</f>
        <v>EXCAVATOR 120T HITACHI EX1200-7BH</v>
      </c>
      <c r="F24" s="128" t="s">
        <v>212</v>
      </c>
      <c r="G24" s="189" t="str">
        <f>IFERROR(VLOOKUP(Inputplan[[#This Row],[Shift]],API_Shift[shift_name]:API_Shift[Start-End],6,0),"")</f>
        <v>18:00-06:00</v>
      </c>
      <c r="H24" s="199" t="s">
        <v>1005</v>
      </c>
      <c r="I24" s="4"/>
      <c r="J24" s="4">
        <v>100</v>
      </c>
      <c r="K24" s="4"/>
      <c r="L24" s="4">
        <v>300</v>
      </c>
      <c r="M24" s="99">
        <f>IFERROR(Inputplan[[#This Row],[Overburden]]/(Inputplan[[#This Row],[WH]]),0)</f>
        <v>0</v>
      </c>
      <c r="N24" s="98">
        <f>IFERROR(Inputplan[[#This Row],[Coal]]/(Inputplan[[#This Row],[WH]]/60),0)</f>
        <v>0</v>
      </c>
      <c r="O24" s="190">
        <f>+IF(Inputplan[[#This Row],[Code Number]]="","",12)</f>
        <v>12</v>
      </c>
      <c r="P24" s="190">
        <f>SUM(Inputplan[[#This Row],[P2H]:[LACK OFF SUPPORT]])/60</f>
        <v>12</v>
      </c>
      <c r="Q24" s="190">
        <f>SUM(Inputplan[[#This Row],[HUJAN]:[PROBLEM COSTUMER]])/60</f>
        <v>0</v>
      </c>
      <c r="R24" s="190">
        <f>SUM(Inputplan[[#This Row],[SCHEDULE SERVICE]:[ACCIDENT BREAKDOWN]])/60</f>
        <v>0</v>
      </c>
      <c r="S24" s="98">
        <f>IFERROR(Inputplan[[#This Row],[MOHH]]-Inputplan[[#This Row],[Delay]]-Inputplan[[#This Row],[Idle]]-Inputplan[[#This Row],[B/D]],0)</f>
        <v>0</v>
      </c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720</v>
      </c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3"/>
      <c r="BA24" s="3"/>
      <c r="BB24" s="3"/>
      <c r="BC24" s="3"/>
      <c r="BD24" s="3"/>
      <c r="BE24" s="3"/>
    </row>
    <row r="25" spans="1:57" x14ac:dyDescent="0.25">
      <c r="A25" s="189">
        <f>IFERROR(VLOOKUP(TEXT(Inputplan[[#This Row],[Date]],"yyyy-mm"),API_AccountingPeriod[text]:API_AccountingPeriod[Month],2,0),"Please Input Accounting Period")</f>
        <v>20</v>
      </c>
      <c r="B25" s="189" t="str">
        <f>"Week_" &amp;WEEKNUM(Inputplan[[#This Row],[Date]])</f>
        <v>Week_32</v>
      </c>
      <c r="C25" s="147">
        <v>44412</v>
      </c>
      <c r="D25" s="128" t="s">
        <v>1186</v>
      </c>
      <c r="E25" s="189" t="str">
        <f>IFERROR(VLOOKUP(Inputplan[[#This Row],[Code Number]],API_CNUnit[text]:API_CNUnit[type],3,0),0)</f>
        <v>EXCAVATOR 40T HITACHI ZX470LC-5G</v>
      </c>
      <c r="F25" s="128" t="s">
        <v>212</v>
      </c>
      <c r="G25" s="189" t="str">
        <f>IFERROR(VLOOKUP(Inputplan[[#This Row],[Shift]],API_Shift[shift_name]:API_Shift[Start-End],6,0),"")</f>
        <v>18:00-06:00</v>
      </c>
      <c r="H25" s="199" t="s">
        <v>1005</v>
      </c>
      <c r="I25" s="4"/>
      <c r="J25" s="4"/>
      <c r="K25" s="4"/>
      <c r="L25" s="4"/>
      <c r="M25" s="99">
        <f>IFERROR(Inputplan[[#This Row],[Overburden]]/(Inputplan[[#This Row],[WH]]),0)</f>
        <v>0</v>
      </c>
      <c r="N25" s="98">
        <f>IFERROR(Inputplan[[#This Row],[Coal]]/(Inputplan[[#This Row],[WH]]/60),0)</f>
        <v>0</v>
      </c>
      <c r="O25" s="190">
        <f>+IF(Inputplan[[#This Row],[Code Number]]="","",12)</f>
        <v>12</v>
      </c>
      <c r="P25" s="190">
        <f>SUM(Inputplan[[#This Row],[P2H]:[LACK OFF SUPPORT]])/60</f>
        <v>12</v>
      </c>
      <c r="Q25" s="190">
        <f>SUM(Inputplan[[#This Row],[HUJAN]:[PROBLEM COSTUMER]])/60</f>
        <v>0</v>
      </c>
      <c r="R25" s="190">
        <f>SUM(Inputplan[[#This Row],[SCHEDULE SERVICE]:[ACCIDENT BREAKDOWN]])/60</f>
        <v>0</v>
      </c>
      <c r="S25" s="98">
        <f>IFERROR(Inputplan[[#This Row],[MOHH]]-Inputplan[[#This Row],[Delay]]-Inputplan[[#This Row],[Idle]]-Inputplan[[#This Row],[B/D]],0)</f>
        <v>0</v>
      </c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>
        <v>720</v>
      </c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3"/>
      <c r="BA25" s="3"/>
      <c r="BB25" s="3"/>
      <c r="BC25" s="3"/>
      <c r="BD25" s="3"/>
      <c r="BE25" s="3"/>
    </row>
    <row r="111" spans="59:73" x14ac:dyDescent="0.25">
      <c r="BG111" s="76">
        <v>10</v>
      </c>
      <c r="BI111" s="76">
        <v>30</v>
      </c>
      <c r="BJ111" s="76">
        <v>5</v>
      </c>
      <c r="BK111" s="76">
        <v>15</v>
      </c>
      <c r="BP111" s="76">
        <v>30</v>
      </c>
      <c r="BU111" s="76">
        <v>45</v>
      </c>
    </row>
    <row r="112" spans="59:73" x14ac:dyDescent="0.25">
      <c r="BG112" s="76">
        <v>10</v>
      </c>
      <c r="BI112" s="76">
        <v>30</v>
      </c>
      <c r="BJ112" s="76">
        <v>5</v>
      </c>
      <c r="BK112" s="76">
        <v>15</v>
      </c>
      <c r="BP112" s="76">
        <v>30</v>
      </c>
      <c r="BU112" s="76">
        <v>45</v>
      </c>
    </row>
    <row r="113" spans="64:64" x14ac:dyDescent="0.25">
      <c r="BL113" s="76">
        <v>720</v>
      </c>
    </row>
    <row r="114" spans="64:64" x14ac:dyDescent="0.25">
      <c r="BL114" s="76">
        <v>720</v>
      </c>
    </row>
  </sheetData>
  <mergeCells count="57">
    <mergeCell ref="X1:X9"/>
    <mergeCell ref="T1:T9"/>
    <mergeCell ref="M1:M10"/>
    <mergeCell ref="N1:N10"/>
    <mergeCell ref="U1:U9"/>
    <mergeCell ref="V1:V9"/>
    <mergeCell ref="W1:W9"/>
    <mergeCell ref="T10:AT10"/>
    <mergeCell ref="AQ7:AQ9"/>
    <mergeCell ref="AR7:AR9"/>
    <mergeCell ref="AS7:AS9"/>
    <mergeCell ref="Z1:Z9"/>
    <mergeCell ref="AA1:AA9"/>
    <mergeCell ref="Y1:Y9"/>
    <mergeCell ref="AG1:AG9"/>
    <mergeCell ref="AH1:AH9"/>
    <mergeCell ref="BC1:BC9"/>
    <mergeCell ref="BD1:BD9"/>
    <mergeCell ref="AZ10:BD10"/>
    <mergeCell ref="AY1:AY9"/>
    <mergeCell ref="AV1:AV9"/>
    <mergeCell ref="AW1:AW9"/>
    <mergeCell ref="AX1:AX9"/>
    <mergeCell ref="AU10:AY10"/>
    <mergeCell ref="AZ1:AZ9"/>
    <mergeCell ref="AI1:AI9"/>
    <mergeCell ref="AU1:AU9"/>
    <mergeCell ref="BE1:BE11"/>
    <mergeCell ref="BB1:BB9"/>
    <mergeCell ref="AB1:AB9"/>
    <mergeCell ref="AE1:AE9"/>
    <mergeCell ref="AF1:AF9"/>
    <mergeCell ref="BA1:BA9"/>
    <mergeCell ref="AD1:AD9"/>
    <mergeCell ref="AC1:AC9"/>
    <mergeCell ref="AJ7:AJ9"/>
    <mergeCell ref="AK7:AK9"/>
    <mergeCell ref="AT7:AT9"/>
    <mergeCell ref="AL7:AL9"/>
    <mergeCell ref="AM7:AM9"/>
    <mergeCell ref="AN7:AN9"/>
    <mergeCell ref="AO7:AO9"/>
    <mergeCell ref="AP7:AP9"/>
    <mergeCell ref="A11:C11"/>
    <mergeCell ref="D11:E11"/>
    <mergeCell ref="A7:C10"/>
    <mergeCell ref="D7:F8"/>
    <mergeCell ref="D9:D10"/>
    <mergeCell ref="E9:F10"/>
    <mergeCell ref="G1:G11"/>
    <mergeCell ref="I1:I10"/>
    <mergeCell ref="K1:K10"/>
    <mergeCell ref="J1:J10"/>
    <mergeCell ref="L1:L10"/>
    <mergeCell ref="H11:J11"/>
    <mergeCell ref="H1:H10"/>
    <mergeCell ref="K11:L11"/>
  </mergeCells>
  <phoneticPr fontId="22" type="noConversion"/>
  <dataValidations count="4">
    <dataValidation type="list" allowBlank="1" showInputMessage="1" showErrorMessage="1" sqref="D12 D14:D25" xr:uid="{4B76DF31-27D6-4C9D-A9B6-C774499C4DC3}">
      <formula1>INDIRECT("API_CNunit[Text]")</formula1>
    </dataValidation>
    <dataValidation type="list" allowBlank="1" showInputMessage="1" showErrorMessage="1" sqref="H12 H14:H25" xr:uid="{564F5633-D37F-40FF-B395-6C97557C388B}">
      <formula1>INDIRECT("API_PITLocation[Parent+BussName]")</formula1>
    </dataValidation>
    <dataValidation type="list" allowBlank="1" showInputMessage="1" showErrorMessage="1" sqref="F12 F14:F25" xr:uid="{8290C28C-47C1-4974-B391-B66EDE532E3B}">
      <formula1>INDIRECT("API_Shift[shift_name]")</formula1>
    </dataValidation>
    <dataValidation type="list" allowBlank="1" showInputMessage="1" showErrorMessage="1" sqref="E9:F10" xr:uid="{00000000-0002-0000-0200-000000000000}">
      <formula1>INDIRECT("dbmonthly[Monthy]")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EE6-A272-4664-AB31-784BE25EE2FE}">
  <sheetPr codeName="Sheet36">
    <tabColor rgb="FFFF0000"/>
  </sheetPr>
  <dimension ref="A1:D2"/>
  <sheetViews>
    <sheetView workbookViewId="0">
      <selection activeCell="D29" sqref="D29"/>
    </sheetView>
  </sheetViews>
  <sheetFormatPr defaultRowHeight="14.5" x14ac:dyDescent="0.35"/>
  <cols>
    <col min="1" max="1" width="7.81640625" bestFit="1" customWidth="1"/>
    <col min="2" max="2" width="9.81640625" bestFit="1" customWidth="1"/>
    <col min="3" max="3" width="19" bestFit="1" customWidth="1"/>
    <col min="4" max="4" width="24.453125" bestFit="1" customWidth="1"/>
    <col min="5" max="5" width="22.26953125" bestFit="1" customWidth="1"/>
  </cols>
  <sheetData>
    <row r="1" spans="1:4" x14ac:dyDescent="0.35">
      <c r="A1" t="s">
        <v>1156</v>
      </c>
      <c r="B1" t="s">
        <v>1062</v>
      </c>
      <c r="C1" t="s">
        <v>1060</v>
      </c>
      <c r="D1" t="s">
        <v>1067</v>
      </c>
    </row>
    <row r="2" spans="1:4" x14ac:dyDescent="0.35">
      <c r="A2" s="1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82B9-E5C2-41BB-B1BE-874A91E77B42}">
  <sheetPr codeName="Sheet34">
    <tabColor rgb="FFFF0000"/>
  </sheetPr>
  <dimension ref="A1:R2"/>
  <sheetViews>
    <sheetView topLeftCell="C1" workbookViewId="0">
      <selection activeCell="D30" sqref="D30"/>
    </sheetView>
  </sheetViews>
  <sheetFormatPr defaultRowHeight="14.5" x14ac:dyDescent="0.35"/>
  <cols>
    <col min="1" max="1" width="7.7265625" bestFit="1" customWidth="1"/>
    <col min="2" max="2" width="9.453125" bestFit="1" customWidth="1"/>
    <col min="3" max="3" width="18.26953125" bestFit="1" customWidth="1"/>
    <col min="4" max="5" width="22.26953125" bestFit="1" customWidth="1"/>
    <col min="7" max="7" width="19.54296875" bestFit="1" customWidth="1"/>
    <col min="8" max="9" width="8.7265625" bestFit="1" customWidth="1"/>
    <col min="10" max="10" width="13.453125" bestFit="1" customWidth="1"/>
    <col min="15" max="15" width="12.1796875" bestFit="1" customWidth="1"/>
    <col min="16" max="16" width="20.453125" bestFit="1" customWidth="1"/>
    <col min="17" max="18" width="7.1796875" bestFit="1" customWidth="1"/>
  </cols>
  <sheetData>
    <row r="1" spans="1:18" x14ac:dyDescent="0.35">
      <c r="A1" s="124" t="s">
        <v>1156</v>
      </c>
      <c r="B1" s="124" t="s">
        <v>1062</v>
      </c>
      <c r="C1" s="124" t="s">
        <v>1060</v>
      </c>
      <c r="D1" s="124" t="s">
        <v>1061</v>
      </c>
      <c r="G1" t="s">
        <v>1120</v>
      </c>
      <c r="H1" t="s">
        <v>1121</v>
      </c>
      <c r="I1" t="s">
        <v>1122</v>
      </c>
      <c r="J1" t="s">
        <v>1123</v>
      </c>
      <c r="O1" t="s">
        <v>1181</v>
      </c>
      <c r="P1" t="s">
        <v>1182</v>
      </c>
      <c r="Q1" t="s">
        <v>2</v>
      </c>
      <c r="R1" t="s">
        <v>103</v>
      </c>
    </row>
    <row r="2" spans="1:18" x14ac:dyDescent="0.35">
      <c r="A2" s="102"/>
      <c r="H2" s="103"/>
      <c r="I2" s="103"/>
      <c r="Q2" s="102"/>
      <c r="R2" s="103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720-0B1F-446B-BD94-72C58135F3A5}">
  <sheetPr codeName="Sheet31"/>
  <dimension ref="A1:Z13"/>
  <sheetViews>
    <sheetView zoomScaleNormal="100" workbookViewId="0">
      <selection activeCell="E29" sqref="E29"/>
    </sheetView>
  </sheetViews>
  <sheetFormatPr defaultRowHeight="14.5" x14ac:dyDescent="0.35"/>
  <cols>
    <col min="1" max="1" width="16.453125" bestFit="1" customWidth="1"/>
    <col min="2" max="2" width="32.453125" bestFit="1" customWidth="1"/>
    <col min="3" max="3" width="11.81640625" bestFit="1" customWidth="1"/>
    <col min="4" max="4" width="32.1796875" bestFit="1" customWidth="1"/>
    <col min="5" max="5" width="13.1796875" customWidth="1"/>
    <col min="6" max="6" width="14.453125" bestFit="1" customWidth="1"/>
    <col min="7" max="7" width="12" bestFit="1" customWidth="1"/>
    <col min="8" max="8" width="11.453125" bestFit="1" customWidth="1"/>
    <col min="9" max="9" width="8" bestFit="1" customWidth="1"/>
    <col min="10" max="10" width="33.1796875" bestFit="1" customWidth="1"/>
    <col min="11" max="11" width="15.26953125" bestFit="1" customWidth="1"/>
    <col min="12" max="12" width="11.1796875" bestFit="1" customWidth="1"/>
    <col min="13" max="13" width="12.7265625" bestFit="1" customWidth="1"/>
    <col min="14" max="14" width="10.26953125" bestFit="1" customWidth="1"/>
    <col min="15" max="15" width="7.7265625" customWidth="1"/>
    <col min="16" max="16" width="9.54296875" bestFit="1" customWidth="1"/>
    <col min="17" max="17" width="15" bestFit="1" customWidth="1"/>
    <col min="18" max="18" width="15.81640625" bestFit="1" customWidth="1"/>
    <col min="19" max="19" width="13.453125" bestFit="1" customWidth="1"/>
    <col min="20" max="20" width="13.7265625" bestFit="1" customWidth="1"/>
    <col min="21" max="21" width="12.81640625" bestFit="1" customWidth="1"/>
    <col min="22" max="22" width="19.453125" bestFit="1" customWidth="1"/>
    <col min="23" max="23" width="13.81640625" bestFit="1" customWidth="1"/>
    <col min="24" max="24" width="8" bestFit="1" customWidth="1"/>
    <col min="25" max="25" width="20.7265625" bestFit="1" customWidth="1"/>
    <col min="26" max="26" width="33.26953125" bestFit="1" customWidth="1"/>
    <col min="27" max="28" width="19.7265625" bestFit="1" customWidth="1"/>
    <col min="29" max="29" width="19.453125" bestFit="1" customWidth="1"/>
    <col min="30" max="30" width="13.81640625" bestFit="1" customWidth="1"/>
    <col min="31" max="31" width="80.81640625" bestFit="1" customWidth="1"/>
    <col min="32" max="33" width="80.81640625" customWidth="1"/>
    <col min="34" max="34" width="11.453125" bestFit="1" customWidth="1"/>
    <col min="35" max="37" width="80.81640625" customWidth="1"/>
    <col min="38" max="38" width="78.26953125" bestFit="1" customWidth="1"/>
    <col min="39" max="39" width="72.1796875" bestFit="1" customWidth="1"/>
  </cols>
  <sheetData>
    <row r="1" spans="1:26" x14ac:dyDescent="0.35">
      <c r="A1" t="s">
        <v>1019</v>
      </c>
      <c r="B1" t="s">
        <v>1020</v>
      </c>
      <c r="C1" t="s">
        <v>1021</v>
      </c>
      <c r="D1" t="s">
        <v>1022</v>
      </c>
      <c r="E1" t="s">
        <v>1023</v>
      </c>
      <c r="F1" t="s">
        <v>1024</v>
      </c>
      <c r="G1" t="s">
        <v>1025</v>
      </c>
      <c r="H1" t="s">
        <v>1026</v>
      </c>
      <c r="I1" t="s">
        <v>1027</v>
      </c>
      <c r="J1" t="s">
        <v>1029</v>
      </c>
      <c r="K1" t="s">
        <v>1030</v>
      </c>
      <c r="L1" t="s">
        <v>1028</v>
      </c>
      <c r="M1" t="s">
        <v>1031</v>
      </c>
      <c r="N1" t="s">
        <v>1032</v>
      </c>
      <c r="O1" t="s">
        <v>1033</v>
      </c>
      <c r="P1" t="s">
        <v>1034</v>
      </c>
      <c r="Q1" t="s">
        <v>1124</v>
      </c>
      <c r="R1" t="s">
        <v>1125</v>
      </c>
      <c r="S1" t="s">
        <v>1126</v>
      </c>
      <c r="T1" t="s">
        <v>1127</v>
      </c>
      <c r="U1" t="s">
        <v>1128</v>
      </c>
      <c r="V1" t="s">
        <v>1035</v>
      </c>
      <c r="W1" t="s">
        <v>1036</v>
      </c>
      <c r="X1" t="s">
        <v>1058</v>
      </c>
      <c r="Y1" t="s">
        <v>1059</v>
      </c>
      <c r="Z1" t="s">
        <v>1149</v>
      </c>
    </row>
    <row r="2" spans="1:26" x14ac:dyDescent="0.35">
      <c r="A2" s="103" t="s">
        <v>2031</v>
      </c>
      <c r="B2" s="103" t="s">
        <v>1184</v>
      </c>
      <c r="C2" s="103"/>
      <c r="D2" t="s">
        <v>1452</v>
      </c>
      <c r="E2" s="103"/>
      <c r="F2" s="103"/>
      <c r="I2" s="103"/>
      <c r="J2" s="103"/>
      <c r="K2" s="103"/>
      <c r="M2" s="103"/>
      <c r="N2" s="103"/>
      <c r="O2" s="103"/>
      <c r="P2" s="103">
        <v>0</v>
      </c>
      <c r="R2">
        <v>0</v>
      </c>
      <c r="S2" s="103">
        <v>0</v>
      </c>
      <c r="T2">
        <v>0</v>
      </c>
      <c r="U2">
        <v>0</v>
      </c>
      <c r="W2" s="103" t="s">
        <v>2032</v>
      </c>
      <c r="X2" s="103"/>
      <c r="Y2" s="103"/>
      <c r="Z2" t="s">
        <v>1887</v>
      </c>
    </row>
    <row r="3" spans="1:26" x14ac:dyDescent="0.35">
      <c r="A3" s="103" t="s">
        <v>2031</v>
      </c>
      <c r="B3" s="103" t="s">
        <v>1184</v>
      </c>
      <c r="C3" s="103"/>
      <c r="D3" t="s">
        <v>1452</v>
      </c>
      <c r="E3" s="103"/>
      <c r="F3" s="103"/>
      <c r="I3" s="103"/>
      <c r="J3" s="103"/>
      <c r="K3" s="103"/>
      <c r="M3" s="103"/>
      <c r="N3" s="103"/>
      <c r="O3" s="103"/>
      <c r="P3" s="103">
        <v>0</v>
      </c>
      <c r="R3">
        <v>0</v>
      </c>
      <c r="S3" s="103">
        <v>0</v>
      </c>
      <c r="T3">
        <v>0</v>
      </c>
      <c r="U3">
        <v>0</v>
      </c>
      <c r="W3" s="103" t="s">
        <v>2033</v>
      </c>
      <c r="X3" s="103"/>
      <c r="Y3" s="103"/>
      <c r="Z3" t="s">
        <v>1887</v>
      </c>
    </row>
    <row r="4" spans="1:26" x14ac:dyDescent="0.35">
      <c r="A4" s="103" t="s">
        <v>2031</v>
      </c>
      <c r="B4" s="103" t="s">
        <v>1184</v>
      </c>
      <c r="C4" s="103"/>
      <c r="D4" t="s">
        <v>1452</v>
      </c>
      <c r="E4" s="103"/>
      <c r="F4" s="103"/>
      <c r="I4" s="103"/>
      <c r="J4" s="103"/>
      <c r="K4" s="103"/>
      <c r="M4" s="103"/>
      <c r="N4" s="103"/>
      <c r="O4" s="103"/>
      <c r="P4" s="103">
        <v>0</v>
      </c>
      <c r="R4">
        <v>0</v>
      </c>
      <c r="S4" s="103">
        <v>0</v>
      </c>
      <c r="T4">
        <v>0</v>
      </c>
      <c r="U4">
        <v>0</v>
      </c>
      <c r="W4" s="103" t="s">
        <v>2034</v>
      </c>
      <c r="X4" s="103"/>
      <c r="Y4" s="103"/>
      <c r="Z4" t="s">
        <v>1887</v>
      </c>
    </row>
    <row r="5" spans="1:26" x14ac:dyDescent="0.35">
      <c r="A5" s="103" t="s">
        <v>2031</v>
      </c>
      <c r="B5" s="103" t="s">
        <v>1184</v>
      </c>
      <c r="C5" s="103"/>
      <c r="D5" t="s">
        <v>1452</v>
      </c>
      <c r="E5" s="103"/>
      <c r="F5" s="103"/>
      <c r="I5" s="103"/>
      <c r="J5" s="103" t="s">
        <v>1749</v>
      </c>
      <c r="K5" s="103"/>
      <c r="M5" s="103"/>
      <c r="N5" s="103"/>
      <c r="O5" s="103"/>
      <c r="P5" s="103">
        <v>0</v>
      </c>
      <c r="R5">
        <v>0</v>
      </c>
      <c r="S5" s="103">
        <v>0</v>
      </c>
      <c r="T5">
        <v>0</v>
      </c>
      <c r="U5">
        <v>0</v>
      </c>
      <c r="W5" s="103" t="s">
        <v>2035</v>
      </c>
      <c r="X5" s="103"/>
      <c r="Y5" s="103"/>
      <c r="Z5" t="s">
        <v>1887</v>
      </c>
    </row>
    <row r="6" spans="1:26" x14ac:dyDescent="0.35">
      <c r="A6" s="103" t="s">
        <v>2031</v>
      </c>
      <c r="B6" s="103" t="s">
        <v>1184</v>
      </c>
      <c r="C6" s="103"/>
      <c r="D6" t="s">
        <v>1452</v>
      </c>
      <c r="E6" s="103"/>
      <c r="F6" s="103"/>
      <c r="I6" s="103"/>
      <c r="J6" s="103"/>
      <c r="K6" s="103"/>
      <c r="M6" s="103"/>
      <c r="N6" s="103"/>
      <c r="O6" s="103"/>
      <c r="P6" s="103">
        <v>0</v>
      </c>
      <c r="R6">
        <v>0</v>
      </c>
      <c r="S6" s="103">
        <v>0</v>
      </c>
      <c r="T6">
        <v>0</v>
      </c>
      <c r="U6">
        <v>0</v>
      </c>
      <c r="W6" s="103" t="s">
        <v>2036</v>
      </c>
      <c r="X6" s="103"/>
      <c r="Y6" s="103"/>
      <c r="Z6" t="s">
        <v>1887</v>
      </c>
    </row>
    <row r="7" spans="1:26" x14ac:dyDescent="0.35">
      <c r="A7" s="103" t="s">
        <v>2031</v>
      </c>
      <c r="B7" s="103" t="s">
        <v>1184</v>
      </c>
      <c r="C7" s="103"/>
      <c r="D7" t="s">
        <v>1452</v>
      </c>
      <c r="E7" s="103"/>
      <c r="F7" s="103"/>
      <c r="I7" s="103"/>
      <c r="J7" s="103"/>
      <c r="K7" s="103"/>
      <c r="M7" s="103"/>
      <c r="N7" s="103"/>
      <c r="O7" s="103"/>
      <c r="P7" s="103">
        <v>0</v>
      </c>
      <c r="R7">
        <v>0</v>
      </c>
      <c r="S7" s="103">
        <v>0</v>
      </c>
      <c r="T7">
        <v>0</v>
      </c>
      <c r="U7">
        <v>0</v>
      </c>
      <c r="W7" s="103" t="s">
        <v>2037</v>
      </c>
      <c r="X7" s="103"/>
      <c r="Y7" s="103"/>
      <c r="Z7" t="s">
        <v>1887</v>
      </c>
    </row>
    <row r="8" spans="1:26" x14ac:dyDescent="0.35">
      <c r="A8" s="103" t="s">
        <v>2031</v>
      </c>
      <c r="B8" s="103" t="s">
        <v>1184</v>
      </c>
      <c r="C8" s="103"/>
      <c r="D8" t="s">
        <v>1452</v>
      </c>
      <c r="E8" s="103"/>
      <c r="F8" s="103"/>
      <c r="I8" s="103"/>
      <c r="J8" s="103"/>
      <c r="K8" s="103"/>
      <c r="M8" s="103"/>
      <c r="N8" s="103"/>
      <c r="O8" s="103"/>
      <c r="P8" s="103">
        <v>0</v>
      </c>
      <c r="R8">
        <v>0</v>
      </c>
      <c r="S8" s="103">
        <v>0</v>
      </c>
      <c r="T8">
        <v>0</v>
      </c>
      <c r="U8">
        <v>0</v>
      </c>
      <c r="W8" s="103" t="s">
        <v>2038</v>
      </c>
      <c r="X8" s="103"/>
      <c r="Y8" s="103"/>
      <c r="Z8" t="s">
        <v>1887</v>
      </c>
    </row>
    <row r="9" spans="1:26" x14ac:dyDescent="0.35">
      <c r="A9" s="103" t="s">
        <v>2031</v>
      </c>
      <c r="B9" s="103" t="s">
        <v>1184</v>
      </c>
      <c r="C9" s="103"/>
      <c r="D9" t="s">
        <v>1452</v>
      </c>
      <c r="E9" s="103"/>
      <c r="F9" s="103"/>
      <c r="I9" s="103"/>
      <c r="J9" s="103" t="s">
        <v>1745</v>
      </c>
      <c r="K9" s="103"/>
      <c r="M9" s="103"/>
      <c r="N9" s="103"/>
      <c r="O9" s="103"/>
      <c r="P9" s="103">
        <v>0</v>
      </c>
      <c r="R9">
        <v>0</v>
      </c>
      <c r="S9" s="103">
        <v>0</v>
      </c>
      <c r="T9">
        <v>0</v>
      </c>
      <c r="U9">
        <v>0</v>
      </c>
      <c r="W9" s="103" t="s">
        <v>2039</v>
      </c>
      <c r="X9" s="103"/>
      <c r="Y9" s="103"/>
      <c r="Z9" t="s">
        <v>1887</v>
      </c>
    </row>
    <row r="10" spans="1:26" x14ac:dyDescent="0.35">
      <c r="A10" s="103" t="s">
        <v>2031</v>
      </c>
      <c r="B10" s="103" t="s">
        <v>1184</v>
      </c>
      <c r="C10" s="103"/>
      <c r="D10" t="s">
        <v>1452</v>
      </c>
      <c r="E10" s="103"/>
      <c r="F10" s="103"/>
      <c r="I10" s="103"/>
      <c r="J10" s="103"/>
      <c r="K10" s="103"/>
      <c r="M10" s="103"/>
      <c r="N10" s="103"/>
      <c r="O10" s="103"/>
      <c r="P10" s="103">
        <v>0</v>
      </c>
      <c r="R10">
        <v>0</v>
      </c>
      <c r="S10" s="103">
        <v>0</v>
      </c>
      <c r="T10">
        <v>0</v>
      </c>
      <c r="U10">
        <v>0</v>
      </c>
      <c r="W10" s="103" t="s">
        <v>2040</v>
      </c>
      <c r="X10" s="103"/>
      <c r="Y10" s="103"/>
      <c r="Z10" t="s">
        <v>1887</v>
      </c>
    </row>
    <row r="11" spans="1:26" x14ac:dyDescent="0.35">
      <c r="A11" s="103" t="s">
        <v>2031</v>
      </c>
      <c r="B11" s="103" t="s">
        <v>1184</v>
      </c>
      <c r="C11" s="103"/>
      <c r="D11" t="s">
        <v>1452</v>
      </c>
      <c r="E11" s="103"/>
      <c r="F11" s="103"/>
      <c r="I11" s="103"/>
      <c r="J11" s="103"/>
      <c r="K11" s="103"/>
      <c r="M11" s="103"/>
      <c r="N11" s="103"/>
      <c r="O11" s="103"/>
      <c r="P11" s="103">
        <v>0</v>
      </c>
      <c r="R11">
        <v>0</v>
      </c>
      <c r="S11" s="103">
        <v>0</v>
      </c>
      <c r="T11">
        <v>0</v>
      </c>
      <c r="U11">
        <v>0</v>
      </c>
      <c r="W11" s="103" t="s">
        <v>2041</v>
      </c>
      <c r="X11" s="103"/>
      <c r="Y11" s="103"/>
      <c r="Z11" t="s">
        <v>1887</v>
      </c>
    </row>
    <row r="12" spans="1:26" x14ac:dyDescent="0.35">
      <c r="A12" s="103" t="s">
        <v>2031</v>
      </c>
      <c r="B12" s="103" t="s">
        <v>1184</v>
      </c>
      <c r="C12" s="103"/>
      <c r="D12" t="s">
        <v>1452</v>
      </c>
      <c r="E12" s="103"/>
      <c r="F12" s="103"/>
      <c r="I12" s="103"/>
      <c r="J12" s="103"/>
      <c r="K12" s="103"/>
      <c r="M12" s="103"/>
      <c r="N12" s="103"/>
      <c r="O12" s="103"/>
      <c r="P12" s="103">
        <v>0</v>
      </c>
      <c r="R12">
        <v>0</v>
      </c>
      <c r="S12" s="103">
        <v>0</v>
      </c>
      <c r="T12">
        <v>0</v>
      </c>
      <c r="U12">
        <v>0</v>
      </c>
      <c r="W12" s="103" t="s">
        <v>2042</v>
      </c>
      <c r="X12" s="103"/>
      <c r="Y12" s="103"/>
      <c r="Z12" t="s">
        <v>1887</v>
      </c>
    </row>
    <row r="13" spans="1:26" x14ac:dyDescent="0.35">
      <c r="A13" s="103" t="s">
        <v>2031</v>
      </c>
      <c r="B13" s="103" t="s">
        <v>1184</v>
      </c>
      <c r="C13" s="103"/>
      <c r="D13" t="s">
        <v>1452</v>
      </c>
      <c r="E13" s="103"/>
      <c r="F13" s="103"/>
      <c r="I13" s="103"/>
      <c r="J13" s="103"/>
      <c r="K13" s="103"/>
      <c r="M13" s="103"/>
      <c r="N13" s="103"/>
      <c r="O13" s="103"/>
      <c r="P13" s="103">
        <v>0</v>
      </c>
      <c r="R13">
        <v>0</v>
      </c>
      <c r="S13" s="103">
        <v>0</v>
      </c>
      <c r="T13">
        <v>0</v>
      </c>
      <c r="U13">
        <v>0</v>
      </c>
      <c r="W13" s="103" t="s">
        <v>2043</v>
      </c>
      <c r="X13" s="103"/>
      <c r="Y13" s="103"/>
      <c r="Z13" t="s">
        <v>1887</v>
      </c>
    </row>
  </sheetData>
  <phoneticPr fontId="2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9ACE-B4E2-4822-9E24-F77F1C84DF9F}">
  <sheetPr codeName="Sheet35">
    <tabColor rgb="FF00B0F0"/>
  </sheetPr>
  <dimension ref="A1:I13"/>
  <sheetViews>
    <sheetView workbookViewId="0">
      <selection activeCell="D20" sqref="D20"/>
    </sheetView>
  </sheetViews>
  <sheetFormatPr defaultRowHeight="14.5" x14ac:dyDescent="0.35"/>
  <cols>
    <col min="1" max="1" width="17.54296875" bestFit="1" customWidth="1"/>
    <col min="2" max="2" width="35" bestFit="1" customWidth="1"/>
    <col min="3" max="3" width="33.81640625" bestFit="1" customWidth="1"/>
    <col min="4" max="4" width="34.453125" bestFit="1" customWidth="1"/>
    <col min="5" max="5" width="10" bestFit="1" customWidth="1"/>
    <col min="6" max="6" width="10.7265625" bestFit="1" customWidth="1"/>
    <col min="7" max="7" width="81.1796875" bestFit="1" customWidth="1"/>
    <col min="8" max="8" width="33.26953125" bestFit="1" customWidth="1"/>
    <col min="9" max="9" width="20" bestFit="1" customWidth="1"/>
    <col min="10" max="10" width="18.81640625" bestFit="1" customWidth="1"/>
    <col min="11" max="11" width="37.54296875" bestFit="1" customWidth="1"/>
    <col min="12" max="12" width="14.1796875" bestFit="1" customWidth="1"/>
    <col min="13" max="13" width="37.54296875" customWidth="1"/>
    <col min="14" max="14" width="80.81640625" bestFit="1" customWidth="1"/>
  </cols>
  <sheetData>
    <row r="1" spans="1:9" x14ac:dyDescent="0.35">
      <c r="A1" t="s">
        <v>1019</v>
      </c>
      <c r="B1" t="s">
        <v>1022</v>
      </c>
      <c r="C1" t="s">
        <v>1020</v>
      </c>
      <c r="D1" t="s">
        <v>1027</v>
      </c>
      <c r="E1" t="s">
        <v>1034</v>
      </c>
      <c r="F1" t="s">
        <v>1032</v>
      </c>
      <c r="G1" t="s">
        <v>1058</v>
      </c>
      <c r="H1" t="s">
        <v>1149</v>
      </c>
      <c r="I1" t="s">
        <v>1151</v>
      </c>
    </row>
    <row r="2" spans="1:9" x14ac:dyDescent="0.35">
      <c r="A2" t="s">
        <v>1196</v>
      </c>
      <c r="B2" t="s">
        <v>1185</v>
      </c>
      <c r="C2" s="103" t="s">
        <v>1184</v>
      </c>
      <c r="D2" s="103" t="s">
        <v>1163</v>
      </c>
      <c r="E2">
        <v>2000</v>
      </c>
      <c r="F2">
        <v>400</v>
      </c>
      <c r="G2" s="103" t="s">
        <v>2044</v>
      </c>
      <c r="H2" t="s">
        <v>1195</v>
      </c>
      <c r="I2" t="s">
        <v>545</v>
      </c>
    </row>
    <row r="3" spans="1:9" x14ac:dyDescent="0.35">
      <c r="A3" t="s">
        <v>1196</v>
      </c>
      <c r="B3" t="s">
        <v>1185</v>
      </c>
      <c r="C3" s="103" t="s">
        <v>1183</v>
      </c>
      <c r="D3" s="103" t="s">
        <v>1163</v>
      </c>
      <c r="G3" s="103" t="s">
        <v>1197</v>
      </c>
      <c r="H3" t="s">
        <v>1195</v>
      </c>
      <c r="I3" t="s">
        <v>545</v>
      </c>
    </row>
    <row r="4" spans="1:9" x14ac:dyDescent="0.35">
      <c r="A4" t="s">
        <v>1196</v>
      </c>
      <c r="B4" t="s">
        <v>1187</v>
      </c>
      <c r="C4" s="103" t="s">
        <v>1184</v>
      </c>
      <c r="D4" s="103" t="s">
        <v>1163</v>
      </c>
      <c r="E4">
        <v>4390</v>
      </c>
      <c r="F4">
        <v>400</v>
      </c>
      <c r="G4" s="103" t="s">
        <v>2044</v>
      </c>
      <c r="H4" t="s">
        <v>1195</v>
      </c>
      <c r="I4" t="s">
        <v>545</v>
      </c>
    </row>
    <row r="5" spans="1:9" x14ac:dyDescent="0.35">
      <c r="A5" t="s">
        <v>1196</v>
      </c>
      <c r="B5" t="s">
        <v>1187</v>
      </c>
      <c r="C5" s="103" t="s">
        <v>1183</v>
      </c>
      <c r="D5" s="103" t="s">
        <v>1163</v>
      </c>
      <c r="E5">
        <v>100</v>
      </c>
      <c r="F5">
        <v>300</v>
      </c>
      <c r="G5" s="103" t="s">
        <v>1197</v>
      </c>
      <c r="H5" t="s">
        <v>1195</v>
      </c>
      <c r="I5" t="s">
        <v>546</v>
      </c>
    </row>
    <row r="6" spans="1:9" x14ac:dyDescent="0.35">
      <c r="A6" t="s">
        <v>1198</v>
      </c>
      <c r="B6" t="s">
        <v>1185</v>
      </c>
      <c r="C6" s="103" t="s">
        <v>1184</v>
      </c>
      <c r="D6" s="103" t="s">
        <v>1163</v>
      </c>
      <c r="E6">
        <v>2000</v>
      </c>
      <c r="F6">
        <v>400</v>
      </c>
      <c r="G6" s="103" t="s">
        <v>2044</v>
      </c>
      <c r="H6" t="s">
        <v>1195</v>
      </c>
      <c r="I6" t="s">
        <v>545</v>
      </c>
    </row>
    <row r="7" spans="1:9" x14ac:dyDescent="0.35">
      <c r="A7" t="s">
        <v>1198</v>
      </c>
      <c r="B7" t="s">
        <v>1185</v>
      </c>
      <c r="C7" s="103" t="s">
        <v>1183</v>
      </c>
      <c r="D7" s="103" t="s">
        <v>1163</v>
      </c>
      <c r="G7" s="103" t="s">
        <v>1197</v>
      </c>
      <c r="H7" t="s">
        <v>1195</v>
      </c>
      <c r="I7" t="s">
        <v>545</v>
      </c>
    </row>
    <row r="8" spans="1:9" x14ac:dyDescent="0.35">
      <c r="A8" t="s">
        <v>1198</v>
      </c>
      <c r="B8" t="s">
        <v>1187</v>
      </c>
      <c r="C8" s="103" t="s">
        <v>1184</v>
      </c>
      <c r="D8" s="103" t="s">
        <v>1163</v>
      </c>
      <c r="E8">
        <v>4390</v>
      </c>
      <c r="F8">
        <v>400</v>
      </c>
      <c r="G8" s="103" t="s">
        <v>2044</v>
      </c>
      <c r="H8" t="s">
        <v>1195</v>
      </c>
      <c r="I8" t="s">
        <v>545</v>
      </c>
    </row>
    <row r="9" spans="1:9" x14ac:dyDescent="0.35">
      <c r="A9" t="s">
        <v>1198</v>
      </c>
      <c r="B9" t="s">
        <v>1187</v>
      </c>
      <c r="C9" s="103" t="s">
        <v>1183</v>
      </c>
      <c r="D9" s="103" t="s">
        <v>1163</v>
      </c>
      <c r="G9" s="103" t="s">
        <v>1197</v>
      </c>
      <c r="H9" t="s">
        <v>1195</v>
      </c>
      <c r="I9" t="s">
        <v>545</v>
      </c>
    </row>
    <row r="10" spans="1:9" x14ac:dyDescent="0.35">
      <c r="A10" t="s">
        <v>1199</v>
      </c>
      <c r="B10" t="s">
        <v>1185</v>
      </c>
      <c r="C10" s="103" t="s">
        <v>1184</v>
      </c>
      <c r="D10" s="103" t="s">
        <v>1163</v>
      </c>
      <c r="E10">
        <v>2000</v>
      </c>
      <c r="F10">
        <v>400</v>
      </c>
      <c r="G10" s="103" t="s">
        <v>2045</v>
      </c>
      <c r="H10" t="s">
        <v>1195</v>
      </c>
      <c r="I10" t="s">
        <v>545</v>
      </c>
    </row>
    <row r="11" spans="1:9" x14ac:dyDescent="0.35">
      <c r="A11" t="s">
        <v>1199</v>
      </c>
      <c r="B11" t="s">
        <v>1185</v>
      </c>
      <c r="C11" s="103" t="s">
        <v>1183</v>
      </c>
      <c r="D11" s="103" t="s">
        <v>1163</v>
      </c>
      <c r="G11" s="103" t="s">
        <v>1197</v>
      </c>
      <c r="H11" t="s">
        <v>1195</v>
      </c>
      <c r="I11" t="s">
        <v>545</v>
      </c>
    </row>
    <row r="12" spans="1:9" x14ac:dyDescent="0.35">
      <c r="A12" t="s">
        <v>1199</v>
      </c>
      <c r="B12" t="s">
        <v>1187</v>
      </c>
      <c r="C12" s="103" t="s">
        <v>1184</v>
      </c>
      <c r="D12" s="103" t="s">
        <v>1163</v>
      </c>
      <c r="E12">
        <v>4390</v>
      </c>
      <c r="F12">
        <v>400</v>
      </c>
      <c r="G12" s="103" t="s">
        <v>2045</v>
      </c>
      <c r="H12" t="s">
        <v>1195</v>
      </c>
      <c r="I12" t="s">
        <v>545</v>
      </c>
    </row>
    <row r="13" spans="1:9" x14ac:dyDescent="0.35">
      <c r="A13" t="s">
        <v>1199</v>
      </c>
      <c r="B13" t="s">
        <v>1187</v>
      </c>
      <c r="C13" s="103" t="s">
        <v>1183</v>
      </c>
      <c r="D13" s="103" t="s">
        <v>1163</v>
      </c>
      <c r="E13">
        <v>100</v>
      </c>
      <c r="F13">
        <v>300</v>
      </c>
      <c r="G13" s="103" t="s">
        <v>1197</v>
      </c>
      <c r="H13" t="s">
        <v>1195</v>
      </c>
      <c r="I13" t="s">
        <v>546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KC121"/>
  <sheetViews>
    <sheetView workbookViewId="0">
      <selection activeCell="H14" sqref="H14"/>
    </sheetView>
  </sheetViews>
  <sheetFormatPr defaultRowHeight="14.5" x14ac:dyDescent="0.35"/>
  <cols>
    <col min="1" max="1" width="10.54296875" bestFit="1" customWidth="1"/>
    <col min="2" max="2" width="9.453125" bestFit="1" customWidth="1"/>
    <col min="3" max="3" width="15.7265625" bestFit="1" customWidth="1"/>
    <col min="4" max="4" width="14.81640625" bestFit="1" customWidth="1"/>
    <col min="5" max="5" width="11.26953125" bestFit="1" customWidth="1"/>
    <col min="6" max="6" width="15.7265625" bestFit="1" customWidth="1"/>
    <col min="7" max="7" width="7.1796875" bestFit="1" customWidth="1"/>
    <col min="8" max="8" width="9.7265625" bestFit="1" customWidth="1"/>
    <col min="9" max="10" width="12" bestFit="1" customWidth="1"/>
    <col min="11" max="11" width="16.7265625" bestFit="1" customWidth="1"/>
    <col min="12" max="12" width="17.81640625" bestFit="1" customWidth="1"/>
    <col min="13" max="13" width="25" bestFit="1" customWidth="1"/>
    <col min="14" max="14" width="12" bestFit="1" customWidth="1"/>
    <col min="15" max="15" width="10.453125" bestFit="1" customWidth="1"/>
    <col min="16" max="16" width="17" bestFit="1" customWidth="1"/>
    <col min="17" max="17" width="26.26953125" bestFit="1" customWidth="1"/>
    <col min="18" max="18" width="17.7265625" bestFit="1" customWidth="1"/>
    <col min="19" max="19" width="18.81640625" bestFit="1" customWidth="1"/>
    <col min="20" max="20" width="17.453125" bestFit="1" customWidth="1"/>
    <col min="21" max="21" width="18.54296875" bestFit="1" customWidth="1"/>
    <col min="22" max="22" width="16.453125" bestFit="1" customWidth="1"/>
    <col min="23" max="23" width="17.7265625" bestFit="1" customWidth="1"/>
    <col min="24" max="24" width="25" bestFit="1" customWidth="1"/>
    <col min="25" max="30" width="23.81640625" bestFit="1" customWidth="1"/>
    <col min="31" max="31" width="24.81640625" bestFit="1" customWidth="1"/>
    <col min="32" max="37" width="25.1796875" bestFit="1" customWidth="1"/>
    <col min="38" max="38" width="26.1796875" bestFit="1" customWidth="1"/>
    <col min="39" max="44" width="27.453125" bestFit="1" customWidth="1"/>
    <col min="45" max="45" width="28.54296875" bestFit="1" customWidth="1"/>
    <col min="46" max="51" width="28.7265625" bestFit="1" customWidth="1"/>
    <col min="52" max="52" width="29.7265625" bestFit="1" customWidth="1"/>
    <col min="53" max="53" width="21.54296875" bestFit="1" customWidth="1"/>
    <col min="54" max="54" width="12.81640625" bestFit="1" customWidth="1"/>
    <col min="55" max="55" width="17.7265625" bestFit="1" customWidth="1"/>
    <col min="56" max="56" width="18.81640625" bestFit="1" customWidth="1"/>
    <col min="57" max="57" width="22.26953125" bestFit="1" customWidth="1"/>
    <col min="58" max="58" width="24.26953125" bestFit="1" customWidth="1"/>
    <col min="59" max="59" width="20.54296875" bestFit="1" customWidth="1"/>
    <col min="60" max="60" width="23" bestFit="1" customWidth="1"/>
    <col min="61" max="61" width="23.54296875" bestFit="1" customWidth="1"/>
    <col min="62" max="62" width="13" bestFit="1" customWidth="1"/>
    <col min="63" max="63" width="15.81640625" bestFit="1" customWidth="1"/>
    <col min="64" max="64" width="31" bestFit="1" customWidth="1"/>
    <col min="65" max="65" width="19.7265625" bestFit="1" customWidth="1"/>
    <col min="66" max="66" width="30.26953125" bestFit="1" customWidth="1"/>
    <col min="67" max="67" width="21.7265625" bestFit="1" customWidth="1"/>
    <col min="68" max="68" width="24.54296875" bestFit="1" customWidth="1"/>
    <col min="69" max="69" width="24.453125" bestFit="1" customWidth="1"/>
    <col min="70" max="70" width="20.26953125" bestFit="1" customWidth="1"/>
    <col min="71" max="71" width="18.7265625" bestFit="1" customWidth="1"/>
    <col min="72" max="72" width="21.26953125" bestFit="1" customWidth="1"/>
    <col min="73" max="73" width="12" bestFit="1" customWidth="1"/>
    <col min="74" max="74" width="36.453125" bestFit="1" customWidth="1"/>
    <col min="75" max="75" width="18.54296875" bestFit="1" customWidth="1"/>
    <col min="76" max="76" width="19.7265625" bestFit="1" customWidth="1"/>
    <col min="77" max="77" width="27.26953125" bestFit="1" customWidth="1"/>
    <col min="78" max="78" width="23.81640625" bestFit="1" customWidth="1"/>
    <col min="79" max="79" width="24.7265625" bestFit="1" customWidth="1"/>
    <col min="80" max="80" width="16.26953125" bestFit="1" customWidth="1"/>
    <col min="81" max="81" width="17.26953125" bestFit="1" customWidth="1"/>
    <col min="82" max="82" width="23.7265625" bestFit="1" customWidth="1"/>
    <col min="83" max="83" width="24.7265625" bestFit="1" customWidth="1"/>
    <col min="84" max="84" width="17.81640625" bestFit="1" customWidth="1"/>
    <col min="85" max="85" width="12" bestFit="1" customWidth="1"/>
    <col min="86" max="86" width="14" bestFit="1" customWidth="1"/>
    <col min="87" max="87" width="22.7265625" bestFit="1" customWidth="1"/>
    <col min="88" max="88" width="15.1796875" bestFit="1" customWidth="1"/>
    <col min="89" max="90" width="13.1796875" bestFit="1" customWidth="1"/>
    <col min="91" max="91" width="22.26953125" bestFit="1" customWidth="1"/>
    <col min="92" max="92" width="27.1796875" bestFit="1" customWidth="1"/>
    <col min="93" max="93" width="26.1796875" bestFit="1" customWidth="1"/>
    <col min="94" max="94" width="23.81640625" bestFit="1" customWidth="1"/>
    <col min="95" max="95" width="30.81640625" bestFit="1" customWidth="1"/>
    <col min="96" max="96" width="23.26953125" bestFit="1" customWidth="1"/>
    <col min="97" max="97" width="29.81640625" bestFit="1" customWidth="1"/>
    <col min="98" max="98" width="28" bestFit="1" customWidth="1"/>
    <col min="99" max="100" width="12" bestFit="1" customWidth="1"/>
    <col min="101" max="101" width="24.7265625" bestFit="1" customWidth="1"/>
    <col min="102" max="102" width="25.81640625" bestFit="1" customWidth="1"/>
    <col min="103" max="103" width="31.7265625" bestFit="1" customWidth="1"/>
    <col min="104" max="104" width="18.26953125" bestFit="1" customWidth="1"/>
    <col min="105" max="105" width="19.7265625" bestFit="1" customWidth="1"/>
    <col min="106" max="106" width="26.7265625" bestFit="1" customWidth="1"/>
    <col min="107" max="107" width="13.7265625" bestFit="1" customWidth="1"/>
    <col min="108" max="108" width="12.1796875" bestFit="1" customWidth="1"/>
    <col min="109" max="109" width="18.7265625" bestFit="1" customWidth="1"/>
    <col min="110" max="110" width="19.453125" bestFit="1" customWidth="1"/>
    <col min="111" max="111" width="20.7265625" bestFit="1" customWidth="1"/>
    <col min="112" max="112" width="24" bestFit="1" customWidth="1"/>
    <col min="113" max="113" width="25.81640625" bestFit="1" customWidth="1"/>
    <col min="114" max="114" width="22.26953125" bestFit="1" customWidth="1"/>
    <col min="115" max="115" width="24.7265625" bestFit="1" customWidth="1"/>
    <col min="116" max="116" width="25.26953125" bestFit="1" customWidth="1"/>
    <col min="117" max="117" width="14.7265625" bestFit="1" customWidth="1"/>
    <col min="118" max="118" width="17.54296875" bestFit="1" customWidth="1"/>
    <col min="119" max="119" width="32.7265625" bestFit="1" customWidth="1"/>
    <col min="120" max="120" width="21.453125" bestFit="1" customWidth="1"/>
    <col min="121" max="121" width="32.1796875" bestFit="1" customWidth="1"/>
    <col min="122" max="122" width="23.26953125" bestFit="1" customWidth="1"/>
    <col min="123" max="123" width="26.26953125" bestFit="1" customWidth="1"/>
    <col min="124" max="124" width="26.1796875" bestFit="1" customWidth="1"/>
    <col min="125" max="125" width="22" bestFit="1" customWidth="1"/>
    <col min="126" max="126" width="20.54296875" bestFit="1" customWidth="1"/>
    <col min="127" max="127" width="22.81640625" bestFit="1" customWidth="1"/>
    <col min="128" max="128" width="12.26953125" bestFit="1" customWidth="1"/>
    <col min="129" max="129" width="38.1796875" bestFit="1" customWidth="1"/>
    <col min="130" max="130" width="20.26953125" bestFit="1" customWidth="1"/>
    <col min="131" max="131" width="21.26953125" bestFit="1" customWidth="1"/>
    <col min="132" max="132" width="29" bestFit="1" customWidth="1"/>
    <col min="133" max="133" width="25.54296875" bestFit="1" customWidth="1"/>
    <col min="134" max="134" width="26.453125" bestFit="1" customWidth="1"/>
    <col min="135" max="135" width="18" bestFit="1" customWidth="1"/>
    <col min="136" max="136" width="18.81640625" bestFit="1" customWidth="1"/>
    <col min="137" max="137" width="25.453125" bestFit="1" customWidth="1"/>
    <col min="138" max="138" width="26.453125" bestFit="1" customWidth="1"/>
    <col min="139" max="139" width="19.7265625" bestFit="1" customWidth="1"/>
    <col min="140" max="140" width="13.7265625" bestFit="1" customWidth="1"/>
    <col min="141" max="141" width="15.7265625" bestFit="1" customWidth="1"/>
    <col min="142" max="142" width="24.54296875" bestFit="1" customWidth="1"/>
    <col min="143" max="143" width="16.81640625" bestFit="1" customWidth="1"/>
    <col min="144" max="145" width="14.7265625" bestFit="1" customWidth="1"/>
    <col min="146" max="146" width="24" bestFit="1" customWidth="1"/>
    <col min="147" max="147" width="28.81640625" bestFit="1" customWidth="1"/>
    <col min="148" max="148" width="27.81640625" bestFit="1" customWidth="1"/>
    <col min="149" max="149" width="25.54296875" bestFit="1" customWidth="1"/>
    <col min="150" max="150" width="32.7265625" bestFit="1" customWidth="1"/>
    <col min="151" max="151" width="25.1796875" bestFit="1" customWidth="1"/>
    <col min="152" max="152" width="31.54296875" bestFit="1" customWidth="1"/>
    <col min="153" max="153" width="29.7265625" bestFit="1" customWidth="1"/>
    <col min="154" max="154" width="15.7265625" bestFit="1" customWidth="1"/>
    <col min="155" max="155" width="18.54296875" bestFit="1" customWidth="1"/>
    <col min="156" max="156" width="18.1796875" bestFit="1" customWidth="1"/>
    <col min="157" max="157" width="18.26953125" bestFit="1" customWidth="1"/>
    <col min="158" max="158" width="13" bestFit="1" customWidth="1"/>
    <col min="159" max="159" width="24.26953125" bestFit="1" customWidth="1"/>
    <col min="160" max="165" width="25.54296875" bestFit="1" customWidth="1"/>
    <col min="166" max="166" width="26.54296875" bestFit="1" customWidth="1"/>
    <col min="167" max="167" width="25.453125" bestFit="1" customWidth="1"/>
    <col min="168" max="168" width="18.7265625" bestFit="1" customWidth="1"/>
    <col min="169" max="169" width="20.26953125" bestFit="1" customWidth="1"/>
    <col min="170" max="170" width="20.1796875" bestFit="1" customWidth="1"/>
    <col min="171" max="171" width="20.26953125" bestFit="1" customWidth="1"/>
    <col min="172" max="172" width="19.7265625" bestFit="1" customWidth="1"/>
    <col min="173" max="173" width="21" bestFit="1" customWidth="1"/>
    <col min="174" max="174" width="19.453125" bestFit="1" customWidth="1"/>
    <col min="175" max="175" width="21" bestFit="1" customWidth="1"/>
    <col min="176" max="176" width="20.7265625" bestFit="1" customWidth="1"/>
    <col min="177" max="177" width="21" bestFit="1" customWidth="1"/>
    <col min="178" max="178" width="20.453125" bestFit="1" customWidth="1"/>
    <col min="179" max="179" width="21.7265625" bestFit="1" customWidth="1"/>
    <col min="180" max="185" width="30.26953125" bestFit="1" customWidth="1"/>
    <col min="186" max="186" width="31.26953125" bestFit="1" customWidth="1"/>
    <col min="187" max="192" width="31" bestFit="1" customWidth="1"/>
    <col min="193" max="193" width="32.1796875" bestFit="1" customWidth="1"/>
    <col min="194" max="194" width="27.1796875" bestFit="1" customWidth="1"/>
    <col min="195" max="195" width="27.7265625" bestFit="1" customWidth="1"/>
    <col min="196" max="196" width="25.81640625" bestFit="1" customWidth="1"/>
    <col min="197" max="197" width="26.7265625" bestFit="1" customWidth="1"/>
    <col min="198" max="198" width="25" bestFit="1" customWidth="1"/>
    <col min="199" max="200" width="27.7265625" bestFit="1" customWidth="1"/>
    <col min="201" max="203" width="24.54296875" bestFit="1" customWidth="1"/>
    <col min="204" max="204" width="26.26953125" bestFit="1" customWidth="1"/>
    <col min="205" max="205" width="25.81640625" bestFit="1" customWidth="1"/>
    <col min="206" max="206" width="26.26953125" bestFit="1" customWidth="1"/>
    <col min="207" max="207" width="25" bestFit="1" customWidth="1"/>
    <col min="208" max="209" width="24.54296875" bestFit="1" customWidth="1"/>
    <col min="210" max="210" width="25.453125" bestFit="1" customWidth="1"/>
    <col min="211" max="211" width="23" bestFit="1" customWidth="1"/>
    <col min="212" max="212" width="34.81640625" bestFit="1" customWidth="1"/>
    <col min="213" max="213" width="35.26953125" bestFit="1" customWidth="1"/>
    <col min="214" max="214" width="33.7265625" bestFit="1" customWidth="1"/>
    <col min="215" max="215" width="34.54296875" bestFit="1" customWidth="1"/>
    <col min="216" max="216" width="32.7265625" bestFit="1" customWidth="1"/>
    <col min="217" max="218" width="35.26953125" bestFit="1" customWidth="1"/>
    <col min="219" max="221" width="32.26953125" bestFit="1" customWidth="1"/>
    <col min="222" max="222" width="34" bestFit="1" customWidth="1"/>
    <col min="223" max="223" width="33.7265625" bestFit="1" customWidth="1"/>
    <col min="224" max="224" width="34.1796875" bestFit="1" customWidth="1"/>
    <col min="225" max="225" width="32.7265625" bestFit="1" customWidth="1"/>
    <col min="226" max="227" width="32.26953125" bestFit="1" customWidth="1"/>
    <col min="228" max="228" width="33.26953125" bestFit="1" customWidth="1"/>
    <col min="229" max="229" width="40.26953125" bestFit="1" customWidth="1"/>
    <col min="230" max="230" width="40.7265625" bestFit="1" customWidth="1"/>
    <col min="231" max="231" width="39" bestFit="1" customWidth="1"/>
    <col min="232" max="232" width="40" bestFit="1" customWidth="1"/>
    <col min="233" max="233" width="38.1796875" bestFit="1" customWidth="1"/>
    <col min="234" max="235" width="40.7265625" bestFit="1" customWidth="1"/>
    <col min="236" max="238" width="37.7265625" bestFit="1" customWidth="1"/>
    <col min="239" max="239" width="39.26953125" bestFit="1" customWidth="1"/>
    <col min="240" max="240" width="39" bestFit="1" customWidth="1"/>
    <col min="241" max="241" width="39.453125" bestFit="1" customWidth="1"/>
    <col min="242" max="242" width="38.1796875" bestFit="1" customWidth="1"/>
    <col min="243" max="244" width="37.7265625" bestFit="1" customWidth="1"/>
    <col min="245" max="245" width="38.54296875" bestFit="1" customWidth="1"/>
    <col min="246" max="251" width="26.7265625" bestFit="1" customWidth="1"/>
    <col min="252" max="252" width="27.81640625" bestFit="1" customWidth="1"/>
    <col min="253" max="258" width="34.54296875" bestFit="1" customWidth="1"/>
    <col min="259" max="259" width="35.54296875" bestFit="1" customWidth="1"/>
    <col min="260" max="265" width="35.7265625" bestFit="1" customWidth="1"/>
    <col min="266" max="266" width="36.7265625" bestFit="1" customWidth="1"/>
    <col min="267" max="267" width="16.26953125" bestFit="1" customWidth="1"/>
    <col min="268" max="268" width="24.453125" bestFit="1" customWidth="1"/>
    <col min="269" max="269" width="11.7265625" bestFit="1" customWidth="1"/>
    <col min="270" max="270" width="18.54296875" bestFit="1" customWidth="1"/>
    <col min="271" max="271" width="17.54296875" bestFit="1" customWidth="1"/>
    <col min="272" max="272" width="22.1796875" bestFit="1" customWidth="1"/>
    <col min="273" max="273" width="26.26953125" bestFit="1" customWidth="1"/>
    <col min="274" max="274" width="15.453125" bestFit="1" customWidth="1"/>
    <col min="275" max="275" width="15.7265625" bestFit="1" customWidth="1"/>
    <col min="276" max="276" width="16.81640625" bestFit="1" customWidth="1"/>
    <col min="277" max="277" width="17" bestFit="1" customWidth="1"/>
    <col min="278" max="278" width="25.81640625" bestFit="1" customWidth="1"/>
    <col min="279" max="279" width="17.81640625" bestFit="1" customWidth="1"/>
    <col min="280" max="280" width="19.1796875" bestFit="1" customWidth="1"/>
    <col min="281" max="281" width="18" bestFit="1" customWidth="1"/>
    <col min="282" max="282" width="18.54296875" bestFit="1" customWidth="1"/>
    <col min="283" max="283" width="14.1796875" bestFit="1" customWidth="1"/>
    <col min="284" max="284" width="22.81640625" bestFit="1" customWidth="1"/>
    <col min="285" max="285" width="29" bestFit="1" customWidth="1"/>
    <col min="286" max="286" width="20.7265625" bestFit="1" customWidth="1"/>
    <col min="287" max="287" width="26.7265625" bestFit="1" customWidth="1"/>
    <col min="288" max="288" width="18.7265625" bestFit="1" customWidth="1"/>
    <col min="289" max="289" width="38" bestFit="1" customWidth="1"/>
  </cols>
  <sheetData>
    <row r="1" spans="1:289" x14ac:dyDescent="0.3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579</v>
      </c>
      <c r="G1" t="s">
        <v>103</v>
      </c>
      <c r="H1" t="s">
        <v>701</v>
      </c>
      <c r="I1" t="s">
        <v>702</v>
      </c>
      <c r="J1" t="s">
        <v>542</v>
      </c>
      <c r="K1" t="s">
        <v>781</v>
      </c>
      <c r="L1" t="s">
        <v>782</v>
      </c>
      <c r="M1" t="s">
        <v>783</v>
      </c>
      <c r="N1" t="s">
        <v>784</v>
      </c>
      <c r="O1" t="s">
        <v>785</v>
      </c>
      <c r="P1" t="s">
        <v>786</v>
      </c>
      <c r="Q1" t="s">
        <v>790</v>
      </c>
      <c r="R1" t="s">
        <v>703</v>
      </c>
      <c r="S1" t="s">
        <v>704</v>
      </c>
      <c r="T1" t="s">
        <v>705</v>
      </c>
      <c r="U1" t="s">
        <v>706</v>
      </c>
      <c r="V1" t="s">
        <v>779</v>
      </c>
      <c r="W1" t="s">
        <v>780</v>
      </c>
      <c r="X1" t="s">
        <v>787</v>
      </c>
      <c r="Y1" t="s">
        <v>707</v>
      </c>
      <c r="Z1" t="s">
        <v>708</v>
      </c>
      <c r="AA1" t="s">
        <v>709</v>
      </c>
      <c r="AB1" t="s">
        <v>710</v>
      </c>
      <c r="AC1" t="s">
        <v>711</v>
      </c>
      <c r="AD1" t="s">
        <v>712</v>
      </c>
      <c r="AE1" t="s">
        <v>713</v>
      </c>
      <c r="AF1" t="s">
        <v>714</v>
      </c>
      <c r="AG1" t="s">
        <v>715</v>
      </c>
      <c r="AH1" t="s">
        <v>716</v>
      </c>
      <c r="AI1" t="s">
        <v>717</v>
      </c>
      <c r="AJ1" t="s">
        <v>718</v>
      </c>
      <c r="AK1" t="s">
        <v>719</v>
      </c>
      <c r="AL1" t="s">
        <v>720</v>
      </c>
      <c r="AM1" t="s">
        <v>721</v>
      </c>
      <c r="AN1" t="s">
        <v>722</v>
      </c>
      <c r="AO1" t="s">
        <v>723</v>
      </c>
      <c r="AP1" t="s">
        <v>724</v>
      </c>
      <c r="AQ1" t="s">
        <v>725</v>
      </c>
      <c r="AR1" t="s">
        <v>726</v>
      </c>
      <c r="AS1" t="s">
        <v>727</v>
      </c>
      <c r="AT1" t="s">
        <v>728</v>
      </c>
      <c r="AU1" t="s">
        <v>729</v>
      </c>
      <c r="AV1" t="s">
        <v>730</v>
      </c>
      <c r="AW1" t="s">
        <v>731</v>
      </c>
      <c r="AX1" t="s">
        <v>732</v>
      </c>
      <c r="AY1" t="s">
        <v>733</v>
      </c>
      <c r="AZ1" t="s">
        <v>734</v>
      </c>
      <c r="BA1" t="s">
        <v>788</v>
      </c>
      <c r="BB1" t="s">
        <v>789</v>
      </c>
      <c r="BC1" t="s">
        <v>735</v>
      </c>
      <c r="BD1" t="s">
        <v>736</v>
      </c>
      <c r="BE1" t="s">
        <v>737</v>
      </c>
      <c r="BF1" t="s">
        <v>738</v>
      </c>
      <c r="BG1" t="s">
        <v>739</v>
      </c>
      <c r="BH1" t="s">
        <v>740</v>
      </c>
      <c r="BI1" t="s">
        <v>741</v>
      </c>
      <c r="BJ1" t="s">
        <v>742</v>
      </c>
      <c r="BK1" t="s">
        <v>743</v>
      </c>
      <c r="BL1" t="s">
        <v>744</v>
      </c>
      <c r="BM1" t="s">
        <v>745</v>
      </c>
      <c r="BN1" t="s">
        <v>746</v>
      </c>
      <c r="BO1" t="s">
        <v>747</v>
      </c>
      <c r="BP1" t="s">
        <v>748</v>
      </c>
      <c r="BQ1" t="s">
        <v>749</v>
      </c>
      <c r="BR1" t="s">
        <v>750</v>
      </c>
      <c r="BS1" t="s">
        <v>751</v>
      </c>
      <c r="BT1" t="s">
        <v>752</v>
      </c>
      <c r="BU1" t="s">
        <v>753</v>
      </c>
      <c r="BV1" t="s">
        <v>754</v>
      </c>
      <c r="BW1" t="s">
        <v>755</v>
      </c>
      <c r="BX1" t="s">
        <v>756</v>
      </c>
      <c r="BY1" t="s">
        <v>757</v>
      </c>
      <c r="BZ1" t="s">
        <v>758</v>
      </c>
      <c r="CA1" t="s">
        <v>759</v>
      </c>
      <c r="CB1" t="s">
        <v>760</v>
      </c>
      <c r="CC1" t="s">
        <v>761</v>
      </c>
      <c r="CD1" t="s">
        <v>762</v>
      </c>
      <c r="CE1" t="s">
        <v>763</v>
      </c>
      <c r="CF1" t="s">
        <v>764</v>
      </c>
      <c r="CG1" t="s">
        <v>765</v>
      </c>
      <c r="CH1" t="s">
        <v>766</v>
      </c>
      <c r="CI1" t="s">
        <v>767</v>
      </c>
      <c r="CJ1" t="s">
        <v>768</v>
      </c>
      <c r="CK1" t="s">
        <v>769</v>
      </c>
      <c r="CL1" t="s">
        <v>770</v>
      </c>
      <c r="CM1" t="s">
        <v>771</v>
      </c>
      <c r="CN1" t="s">
        <v>772</v>
      </c>
      <c r="CO1" t="s">
        <v>773</v>
      </c>
      <c r="CP1" t="s">
        <v>774</v>
      </c>
      <c r="CQ1" t="s">
        <v>775</v>
      </c>
      <c r="CR1" t="s">
        <v>776</v>
      </c>
      <c r="CS1" t="s">
        <v>777</v>
      </c>
      <c r="CT1" t="s">
        <v>778</v>
      </c>
      <c r="CU1" t="s">
        <v>581</v>
      </c>
      <c r="CV1" t="s">
        <v>582</v>
      </c>
      <c r="CW1" t="s">
        <v>583</v>
      </c>
      <c r="CX1" t="s">
        <v>584</v>
      </c>
      <c r="CY1" t="s">
        <v>585</v>
      </c>
      <c r="CZ1" t="s">
        <v>586</v>
      </c>
      <c r="DA1" t="s">
        <v>587</v>
      </c>
      <c r="DB1" t="s">
        <v>588</v>
      </c>
      <c r="DC1" t="s">
        <v>589</v>
      </c>
      <c r="DD1" t="s">
        <v>590</v>
      </c>
      <c r="DE1" t="s">
        <v>591</v>
      </c>
      <c r="DF1" t="s">
        <v>592</v>
      </c>
      <c r="DG1" t="s">
        <v>593</v>
      </c>
      <c r="DH1" t="s">
        <v>594</v>
      </c>
      <c r="DI1" t="s">
        <v>595</v>
      </c>
      <c r="DJ1" t="s">
        <v>596</v>
      </c>
      <c r="DK1" t="s">
        <v>597</v>
      </c>
      <c r="DL1" t="s">
        <v>598</v>
      </c>
      <c r="DM1" t="s">
        <v>599</v>
      </c>
      <c r="DN1" t="s">
        <v>600</v>
      </c>
      <c r="DO1" t="s">
        <v>601</v>
      </c>
      <c r="DP1" t="s">
        <v>602</v>
      </c>
      <c r="DQ1" t="s">
        <v>603</v>
      </c>
      <c r="DR1" t="s">
        <v>604</v>
      </c>
      <c r="DS1" t="s">
        <v>605</v>
      </c>
      <c r="DT1" t="s">
        <v>606</v>
      </c>
      <c r="DU1" t="s">
        <v>607</v>
      </c>
      <c r="DV1" t="s">
        <v>608</v>
      </c>
      <c r="DW1" t="s">
        <v>609</v>
      </c>
      <c r="DX1" t="s">
        <v>610</v>
      </c>
      <c r="DY1" t="s">
        <v>611</v>
      </c>
      <c r="DZ1" t="s">
        <v>612</v>
      </c>
      <c r="EA1" t="s">
        <v>613</v>
      </c>
      <c r="EB1" t="s">
        <v>614</v>
      </c>
      <c r="EC1" t="s">
        <v>615</v>
      </c>
      <c r="ED1" t="s">
        <v>616</v>
      </c>
      <c r="EE1" t="s">
        <v>617</v>
      </c>
      <c r="EF1" t="s">
        <v>618</v>
      </c>
      <c r="EG1" t="s">
        <v>619</v>
      </c>
      <c r="EH1" t="s">
        <v>620</v>
      </c>
      <c r="EI1" t="s">
        <v>621</v>
      </c>
      <c r="EJ1" t="s">
        <v>622</v>
      </c>
      <c r="EK1" t="s">
        <v>623</v>
      </c>
      <c r="EL1" t="s">
        <v>624</v>
      </c>
      <c r="EM1" t="s">
        <v>625</v>
      </c>
      <c r="EN1" t="s">
        <v>626</v>
      </c>
      <c r="EO1" t="s">
        <v>627</v>
      </c>
      <c r="EP1" t="s">
        <v>628</v>
      </c>
      <c r="EQ1" t="s">
        <v>629</v>
      </c>
      <c r="ER1" t="s">
        <v>630</v>
      </c>
      <c r="ES1" t="s">
        <v>631</v>
      </c>
      <c r="ET1" t="s">
        <v>632</v>
      </c>
      <c r="EU1" t="s">
        <v>633</v>
      </c>
      <c r="EV1" t="s">
        <v>634</v>
      </c>
      <c r="EW1" t="s">
        <v>635</v>
      </c>
      <c r="EX1" t="s">
        <v>636</v>
      </c>
      <c r="EY1" t="s">
        <v>637</v>
      </c>
      <c r="EZ1" t="s">
        <v>638</v>
      </c>
      <c r="FA1" t="s">
        <v>639</v>
      </c>
      <c r="FB1" t="s">
        <v>640</v>
      </c>
      <c r="FC1" t="s">
        <v>641</v>
      </c>
      <c r="FD1" t="s">
        <v>642</v>
      </c>
      <c r="FE1" t="s">
        <v>643</v>
      </c>
      <c r="FF1" t="s">
        <v>644</v>
      </c>
      <c r="FG1" t="s">
        <v>645</v>
      </c>
      <c r="FH1" t="s">
        <v>646</v>
      </c>
      <c r="FI1" t="s">
        <v>647</v>
      </c>
      <c r="FJ1" t="s">
        <v>648</v>
      </c>
      <c r="FK1" t="s">
        <v>649</v>
      </c>
      <c r="FL1" t="s">
        <v>650</v>
      </c>
      <c r="FM1" t="s">
        <v>651</v>
      </c>
      <c r="FN1" t="s">
        <v>652</v>
      </c>
      <c r="FO1" t="s">
        <v>653</v>
      </c>
      <c r="FP1" t="s">
        <v>654</v>
      </c>
      <c r="FQ1" t="s">
        <v>655</v>
      </c>
      <c r="FR1" t="s">
        <v>656</v>
      </c>
      <c r="FS1" t="s">
        <v>657</v>
      </c>
      <c r="FT1" t="s">
        <v>658</v>
      </c>
      <c r="FU1" t="s">
        <v>659</v>
      </c>
      <c r="FV1" t="s">
        <v>660</v>
      </c>
      <c r="FW1" t="s">
        <v>661</v>
      </c>
      <c r="FX1" t="s">
        <v>662</v>
      </c>
      <c r="FY1" t="s">
        <v>663</v>
      </c>
      <c r="FZ1" t="s">
        <v>664</v>
      </c>
      <c r="GA1" t="s">
        <v>665</v>
      </c>
      <c r="GB1" t="s">
        <v>666</v>
      </c>
      <c r="GC1" t="s">
        <v>667</v>
      </c>
      <c r="GD1" t="s">
        <v>668</v>
      </c>
      <c r="GE1" t="s">
        <v>669</v>
      </c>
      <c r="GF1" t="s">
        <v>670</v>
      </c>
      <c r="GG1" t="s">
        <v>671</v>
      </c>
      <c r="GH1" t="s">
        <v>672</v>
      </c>
      <c r="GI1" t="s">
        <v>673</v>
      </c>
      <c r="GJ1" t="s">
        <v>674</v>
      </c>
      <c r="GK1" t="s">
        <v>675</v>
      </c>
      <c r="GL1" t="s">
        <v>676</v>
      </c>
      <c r="GM1" t="s">
        <v>677</v>
      </c>
      <c r="GN1" t="s">
        <v>678</v>
      </c>
      <c r="GO1" t="s">
        <v>679</v>
      </c>
      <c r="GP1" t="s">
        <v>680</v>
      </c>
      <c r="GQ1" t="s">
        <v>681</v>
      </c>
      <c r="GR1" t="s">
        <v>682</v>
      </c>
      <c r="GS1" t="s">
        <v>683</v>
      </c>
      <c r="GT1" t="s">
        <v>684</v>
      </c>
      <c r="GU1" t="s">
        <v>685</v>
      </c>
      <c r="GV1" t="s">
        <v>686</v>
      </c>
      <c r="GW1" t="s">
        <v>687</v>
      </c>
      <c r="GX1" t="s">
        <v>688</v>
      </c>
      <c r="GY1" t="s">
        <v>689</v>
      </c>
      <c r="GZ1" t="s">
        <v>690</v>
      </c>
      <c r="HA1" t="s">
        <v>691</v>
      </c>
      <c r="HB1" t="s">
        <v>692</v>
      </c>
      <c r="HC1" t="s">
        <v>693</v>
      </c>
      <c r="HD1" t="s">
        <v>794</v>
      </c>
      <c r="HE1" t="s">
        <v>795</v>
      </c>
      <c r="HF1" t="s">
        <v>796</v>
      </c>
      <c r="HG1" t="s">
        <v>797</v>
      </c>
      <c r="HH1" t="s">
        <v>798</v>
      </c>
      <c r="HI1" t="s">
        <v>799</v>
      </c>
      <c r="HJ1" t="s">
        <v>800</v>
      </c>
      <c r="HK1" t="s">
        <v>801</v>
      </c>
      <c r="HL1" t="s">
        <v>802</v>
      </c>
      <c r="HM1" t="s">
        <v>803</v>
      </c>
      <c r="HN1" t="s">
        <v>804</v>
      </c>
      <c r="HO1" t="s">
        <v>805</v>
      </c>
      <c r="HP1" t="s">
        <v>806</v>
      </c>
      <c r="HQ1" t="s">
        <v>807</v>
      </c>
      <c r="HR1" t="s">
        <v>808</v>
      </c>
      <c r="HS1" t="s">
        <v>809</v>
      </c>
      <c r="HT1" t="s">
        <v>810</v>
      </c>
      <c r="HU1" t="s">
        <v>811</v>
      </c>
      <c r="HV1" t="s">
        <v>812</v>
      </c>
      <c r="HW1" t="s">
        <v>813</v>
      </c>
      <c r="HX1" t="s">
        <v>814</v>
      </c>
      <c r="HY1" t="s">
        <v>815</v>
      </c>
      <c r="HZ1" t="s">
        <v>816</v>
      </c>
      <c r="IA1" t="s">
        <v>817</v>
      </c>
      <c r="IB1" t="s">
        <v>818</v>
      </c>
      <c r="IC1" t="s">
        <v>819</v>
      </c>
      <c r="ID1" t="s">
        <v>820</v>
      </c>
      <c r="IE1" t="s">
        <v>821</v>
      </c>
      <c r="IF1" t="s">
        <v>822</v>
      </c>
      <c r="IG1" t="s">
        <v>823</v>
      </c>
      <c r="IH1" t="s">
        <v>824</v>
      </c>
      <c r="II1" t="s">
        <v>825</v>
      </c>
      <c r="IJ1" t="s">
        <v>826</v>
      </c>
      <c r="IK1" t="s">
        <v>827</v>
      </c>
      <c r="IL1" t="s">
        <v>694</v>
      </c>
      <c r="IM1" t="s">
        <v>695</v>
      </c>
      <c r="IN1" t="s">
        <v>696</v>
      </c>
      <c r="IO1" t="s">
        <v>697</v>
      </c>
      <c r="IP1" t="s">
        <v>698</v>
      </c>
      <c r="IQ1" t="s">
        <v>699</v>
      </c>
      <c r="IR1" t="s">
        <v>700</v>
      </c>
      <c r="IS1" t="s">
        <v>828</v>
      </c>
      <c r="IT1" t="s">
        <v>829</v>
      </c>
      <c r="IU1" t="s">
        <v>830</v>
      </c>
      <c r="IV1" t="s">
        <v>831</v>
      </c>
      <c r="IW1" t="s">
        <v>832</v>
      </c>
      <c r="IX1" t="s">
        <v>833</v>
      </c>
      <c r="IY1" t="s">
        <v>834</v>
      </c>
      <c r="IZ1" t="s">
        <v>835</v>
      </c>
      <c r="JA1" t="s">
        <v>836</v>
      </c>
      <c r="JB1" t="s">
        <v>837</v>
      </c>
      <c r="JC1" t="s">
        <v>838</v>
      </c>
      <c r="JD1" t="s">
        <v>839</v>
      </c>
      <c r="JE1" t="s">
        <v>840</v>
      </c>
      <c r="JF1" t="s">
        <v>841</v>
      </c>
      <c r="JG1" t="s">
        <v>109</v>
      </c>
      <c r="JH1" t="s">
        <v>110</v>
      </c>
      <c r="JI1" t="s">
        <v>111</v>
      </c>
      <c r="JJ1" t="s">
        <v>112</v>
      </c>
      <c r="JK1" t="s">
        <v>113</v>
      </c>
      <c r="JL1" t="s">
        <v>114</v>
      </c>
      <c r="JM1" t="s">
        <v>115</v>
      </c>
      <c r="JN1" t="s">
        <v>116</v>
      </c>
      <c r="JO1" t="s">
        <v>117</v>
      </c>
      <c r="JP1" t="s">
        <v>118</v>
      </c>
      <c r="JQ1" t="s">
        <v>119</v>
      </c>
      <c r="JR1" t="s">
        <v>120</v>
      </c>
      <c r="JS1" t="s">
        <v>121</v>
      </c>
      <c r="JT1" t="s">
        <v>122</v>
      </c>
      <c r="JU1" t="s">
        <v>123</v>
      </c>
      <c r="JV1" t="s">
        <v>124</v>
      </c>
      <c r="JW1" t="s">
        <v>125</v>
      </c>
      <c r="JX1" t="s">
        <v>126</v>
      </c>
      <c r="JY1" t="s">
        <v>127</v>
      </c>
      <c r="JZ1" t="s">
        <v>128</v>
      </c>
      <c r="KA1" t="s">
        <v>129</v>
      </c>
      <c r="KB1" t="s">
        <v>792</v>
      </c>
      <c r="KC1" t="s">
        <v>793</v>
      </c>
    </row>
    <row r="2" spans="1:289" x14ac:dyDescent="0.35">
      <c r="A2" s="102">
        <v>44409</v>
      </c>
      <c r="B2" s="103" t="s">
        <v>394</v>
      </c>
      <c r="C2" s="104">
        <v>44410</v>
      </c>
      <c r="D2" s="103" t="s">
        <v>287</v>
      </c>
      <c r="E2" s="103" t="s">
        <v>288</v>
      </c>
      <c r="F2" s="103" t="s">
        <v>289</v>
      </c>
      <c r="G2" s="103" t="s">
        <v>209</v>
      </c>
      <c r="H2">
        <v>1</v>
      </c>
      <c r="I2">
        <v>0.83333333333333348</v>
      </c>
      <c r="J2">
        <v>11.999999999999998</v>
      </c>
      <c r="K2">
        <v>10</v>
      </c>
      <c r="L2">
        <v>0</v>
      </c>
      <c r="M2">
        <v>0</v>
      </c>
      <c r="N2">
        <v>2</v>
      </c>
      <c r="O2">
        <v>0</v>
      </c>
      <c r="P2">
        <v>0</v>
      </c>
      <c r="Q2" s="103" t="s">
        <v>965</v>
      </c>
      <c r="R2">
        <v>4390</v>
      </c>
      <c r="S2">
        <v>0</v>
      </c>
      <c r="T2">
        <v>200</v>
      </c>
      <c r="U2">
        <v>0</v>
      </c>
      <c r="V2">
        <v>439</v>
      </c>
      <c r="W2">
        <v>0</v>
      </c>
      <c r="Y2">
        <v>0</v>
      </c>
      <c r="Z2">
        <v>4390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200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B2">
        <v>10</v>
      </c>
      <c r="BC2">
        <v>10</v>
      </c>
      <c r="BU2">
        <v>0.16666666666666666</v>
      </c>
      <c r="BV2">
        <v>0</v>
      </c>
      <c r="BW2">
        <v>0.16666666666666666</v>
      </c>
      <c r="BX2">
        <v>0</v>
      </c>
      <c r="BY2">
        <v>0</v>
      </c>
      <c r="BZ2">
        <v>0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1</v>
      </c>
      <c r="CV2">
        <v>0.66666666666666663</v>
      </c>
      <c r="CW2">
        <v>0.64583333333333337</v>
      </c>
      <c r="CX2">
        <v>0</v>
      </c>
      <c r="CY2">
        <v>2.0833333333333332E-2</v>
      </c>
      <c r="CZ2">
        <v>7.75</v>
      </c>
      <c r="DA2">
        <v>0</v>
      </c>
      <c r="DB2">
        <v>0.25</v>
      </c>
      <c r="DC2">
        <v>4</v>
      </c>
      <c r="DD2">
        <v>0</v>
      </c>
      <c r="DE2">
        <v>0</v>
      </c>
      <c r="DF2">
        <v>7.75</v>
      </c>
      <c r="DG2">
        <v>0</v>
      </c>
      <c r="DH2">
        <v>0</v>
      </c>
      <c r="DI2">
        <v>0</v>
      </c>
      <c r="DJ2">
        <v>0.25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</v>
      </c>
      <c r="EF2">
        <v>0</v>
      </c>
      <c r="EG2">
        <v>3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5250</v>
      </c>
      <c r="FA2">
        <v>0</v>
      </c>
      <c r="FB2">
        <v>0</v>
      </c>
      <c r="FC2">
        <v>5250</v>
      </c>
      <c r="FD2">
        <v>0</v>
      </c>
      <c r="FE2">
        <v>5250</v>
      </c>
      <c r="FF2">
        <v>0</v>
      </c>
      <c r="FG2">
        <v>0</v>
      </c>
      <c r="FH2">
        <v>0</v>
      </c>
      <c r="FI2">
        <v>0</v>
      </c>
      <c r="FJ2">
        <v>0</v>
      </c>
      <c r="FK2">
        <v>677.41935483870964</v>
      </c>
      <c r="FL2">
        <v>0</v>
      </c>
      <c r="FM2">
        <v>0</v>
      </c>
      <c r="FN2">
        <v>400</v>
      </c>
      <c r="FO2">
        <v>0</v>
      </c>
      <c r="FP2">
        <v>0</v>
      </c>
      <c r="FQ2">
        <v>400</v>
      </c>
      <c r="FR2">
        <v>0</v>
      </c>
      <c r="FS2">
        <v>0</v>
      </c>
      <c r="FT2">
        <v>2100000</v>
      </c>
      <c r="FU2">
        <v>0</v>
      </c>
      <c r="FV2">
        <v>0</v>
      </c>
      <c r="FW2">
        <v>2100000</v>
      </c>
      <c r="FX2">
        <v>0</v>
      </c>
      <c r="FY2">
        <v>400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2100000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1</v>
      </c>
      <c r="JL2">
        <v>1</v>
      </c>
      <c r="JM2">
        <v>0</v>
      </c>
      <c r="JN2">
        <v>0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</row>
    <row r="3" spans="1:289" x14ac:dyDescent="0.35">
      <c r="A3" s="102">
        <v>44409</v>
      </c>
      <c r="B3" s="103" t="s">
        <v>394</v>
      </c>
      <c r="C3" s="104">
        <v>44410</v>
      </c>
      <c r="D3" s="103" t="s">
        <v>964</v>
      </c>
      <c r="E3" s="103" t="s">
        <v>308</v>
      </c>
      <c r="F3" s="103" t="s">
        <v>309</v>
      </c>
      <c r="G3" s="103" t="s">
        <v>209</v>
      </c>
      <c r="H3">
        <v>1</v>
      </c>
      <c r="I3">
        <v>0.83333333333333348</v>
      </c>
      <c r="J3">
        <v>11.999999999999998</v>
      </c>
      <c r="K3">
        <v>10</v>
      </c>
      <c r="L3">
        <v>0</v>
      </c>
      <c r="M3">
        <v>0</v>
      </c>
      <c r="N3">
        <v>2</v>
      </c>
      <c r="O3">
        <v>0</v>
      </c>
      <c r="P3">
        <v>0</v>
      </c>
      <c r="Q3" s="103" t="s">
        <v>965</v>
      </c>
      <c r="R3">
        <v>2000</v>
      </c>
      <c r="S3">
        <v>0</v>
      </c>
      <c r="T3">
        <v>200</v>
      </c>
      <c r="U3">
        <v>0</v>
      </c>
      <c r="V3">
        <v>200</v>
      </c>
      <c r="W3">
        <v>0</v>
      </c>
      <c r="Y3">
        <v>0</v>
      </c>
      <c r="Z3">
        <v>2000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B3">
        <v>10</v>
      </c>
      <c r="BC3">
        <v>10</v>
      </c>
      <c r="BU3">
        <v>0.16666666666666666</v>
      </c>
      <c r="BV3">
        <v>0</v>
      </c>
      <c r="BW3">
        <v>0.16666666666666666</v>
      </c>
      <c r="BX3">
        <v>0</v>
      </c>
      <c r="BY3">
        <v>0</v>
      </c>
      <c r="BZ3">
        <v>0</v>
      </c>
      <c r="CA3">
        <v>0</v>
      </c>
      <c r="CB3">
        <v>1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1</v>
      </c>
      <c r="CV3">
        <v>0.66666666666666663</v>
      </c>
      <c r="CW3">
        <v>0.65277777777777779</v>
      </c>
      <c r="CX3">
        <v>0</v>
      </c>
      <c r="CY3">
        <v>1.3888888888888888E-2</v>
      </c>
      <c r="CZ3">
        <v>7.833333333333333</v>
      </c>
      <c r="DA3">
        <v>0</v>
      </c>
      <c r="DB3">
        <v>0.16666666666666666</v>
      </c>
      <c r="DC3">
        <v>4</v>
      </c>
      <c r="DD3">
        <v>0</v>
      </c>
      <c r="DE3">
        <v>0</v>
      </c>
      <c r="DF3">
        <v>7.833333333333333</v>
      </c>
      <c r="DG3">
        <v>0</v>
      </c>
      <c r="DH3">
        <v>0</v>
      </c>
      <c r="DI3">
        <v>0</v>
      </c>
      <c r="DJ3">
        <v>0.16666666666666666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3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2625</v>
      </c>
      <c r="FA3">
        <v>0</v>
      </c>
      <c r="FB3">
        <v>0</v>
      </c>
      <c r="FC3">
        <v>2625</v>
      </c>
      <c r="FD3">
        <v>0</v>
      </c>
      <c r="FE3">
        <v>2625</v>
      </c>
      <c r="FF3">
        <v>0</v>
      </c>
      <c r="FG3">
        <v>0</v>
      </c>
      <c r="FH3">
        <v>0</v>
      </c>
      <c r="FI3">
        <v>0</v>
      </c>
      <c r="FJ3">
        <v>0</v>
      </c>
      <c r="FK3">
        <v>335.10638297872339</v>
      </c>
      <c r="FL3">
        <v>0</v>
      </c>
      <c r="FM3">
        <v>0</v>
      </c>
      <c r="FN3">
        <v>400</v>
      </c>
      <c r="FO3">
        <v>0</v>
      </c>
      <c r="FP3">
        <v>0</v>
      </c>
      <c r="FQ3">
        <v>400</v>
      </c>
      <c r="FR3">
        <v>0</v>
      </c>
      <c r="FS3">
        <v>0</v>
      </c>
      <c r="FT3">
        <v>1050000</v>
      </c>
      <c r="FU3">
        <v>0</v>
      </c>
      <c r="FV3">
        <v>0</v>
      </c>
      <c r="FW3">
        <v>1050000</v>
      </c>
      <c r="FX3">
        <v>0</v>
      </c>
      <c r="FY3">
        <v>400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1050000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</row>
    <row r="4" spans="1:289" x14ac:dyDescent="0.35">
      <c r="A4" s="102">
        <v>44409</v>
      </c>
      <c r="B4" s="103" t="s">
        <v>394</v>
      </c>
      <c r="C4" s="104">
        <v>44410</v>
      </c>
      <c r="D4" s="103" t="s">
        <v>324</v>
      </c>
      <c r="E4" s="103" t="s">
        <v>325</v>
      </c>
      <c r="F4" s="103" t="s">
        <v>326</v>
      </c>
      <c r="G4" s="103" t="s">
        <v>209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3" t="s">
        <v>231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B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1</v>
      </c>
      <c r="CV4">
        <v>0.66666666666666663</v>
      </c>
      <c r="CW4">
        <v>0</v>
      </c>
      <c r="CX4">
        <v>0</v>
      </c>
      <c r="CY4">
        <v>0.66666666666666663</v>
      </c>
      <c r="CZ4">
        <v>0</v>
      </c>
      <c r="DA4">
        <v>0</v>
      </c>
      <c r="DB4">
        <v>8</v>
      </c>
      <c r="DC4">
        <v>4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8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1</v>
      </c>
      <c r="EF4">
        <v>0</v>
      </c>
      <c r="EG4">
        <v>3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</row>
    <row r="5" spans="1:289" x14ac:dyDescent="0.35">
      <c r="A5" s="102">
        <v>44409</v>
      </c>
      <c r="B5" s="103" t="s">
        <v>394</v>
      </c>
      <c r="C5" s="104">
        <v>44410</v>
      </c>
      <c r="D5" s="103" t="s">
        <v>340</v>
      </c>
      <c r="E5" s="103" t="s">
        <v>325</v>
      </c>
      <c r="F5" s="103" t="s">
        <v>326</v>
      </c>
      <c r="G5" s="103" t="s">
        <v>209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3" t="s">
        <v>231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</v>
      </c>
      <c r="CV5">
        <v>0.66666666666666663</v>
      </c>
      <c r="CW5">
        <v>0</v>
      </c>
      <c r="CX5">
        <v>0</v>
      </c>
      <c r="CY5">
        <v>0.66666666666666663</v>
      </c>
      <c r="CZ5">
        <v>0</v>
      </c>
      <c r="DA5">
        <v>0</v>
      </c>
      <c r="DB5">
        <v>8</v>
      </c>
      <c r="DC5">
        <v>4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8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1</v>
      </c>
      <c r="EF5">
        <v>0</v>
      </c>
      <c r="EG5">
        <v>3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</row>
    <row r="6" spans="1:289" x14ac:dyDescent="0.35">
      <c r="A6" s="102">
        <v>44409</v>
      </c>
      <c r="B6" s="103" t="s">
        <v>394</v>
      </c>
      <c r="C6" s="104">
        <v>44410</v>
      </c>
      <c r="D6" s="103" t="s">
        <v>355</v>
      </c>
      <c r="E6" s="103" t="s">
        <v>297</v>
      </c>
      <c r="F6" s="103" t="s">
        <v>356</v>
      </c>
      <c r="G6" s="103" t="s">
        <v>209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03" t="s">
        <v>231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0.40972222222222227</v>
      </c>
      <c r="CV6">
        <v>0.18644067796610167</v>
      </c>
      <c r="CW6">
        <v>0.18644067796610167</v>
      </c>
      <c r="CX6">
        <v>0</v>
      </c>
      <c r="CY6">
        <v>0</v>
      </c>
      <c r="CZ6">
        <v>0.91666666666666663</v>
      </c>
      <c r="DA6">
        <v>0</v>
      </c>
      <c r="DB6">
        <v>0</v>
      </c>
      <c r="DC6">
        <v>4</v>
      </c>
      <c r="DD6">
        <v>0</v>
      </c>
      <c r="DE6">
        <v>7.083333333333333</v>
      </c>
      <c r="DF6">
        <v>0.91666666666666663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</v>
      </c>
      <c r="EF6">
        <v>0</v>
      </c>
      <c r="EG6">
        <v>3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7</v>
      </c>
      <c r="EU6">
        <v>0</v>
      </c>
      <c r="EV6">
        <v>0</v>
      </c>
      <c r="EW6">
        <v>0</v>
      </c>
      <c r="EX6">
        <v>0</v>
      </c>
      <c r="EY6">
        <v>0</v>
      </c>
      <c r="EZ6">
        <v>225</v>
      </c>
      <c r="FA6">
        <v>0</v>
      </c>
      <c r="FB6">
        <v>0</v>
      </c>
      <c r="FC6">
        <v>225</v>
      </c>
      <c r="FD6">
        <v>0</v>
      </c>
      <c r="FE6">
        <v>225</v>
      </c>
      <c r="FF6">
        <v>0</v>
      </c>
      <c r="FG6">
        <v>0</v>
      </c>
      <c r="FH6">
        <v>0</v>
      </c>
      <c r="FI6">
        <v>0</v>
      </c>
      <c r="FJ6">
        <v>0</v>
      </c>
      <c r="FK6">
        <v>245.45454545454547</v>
      </c>
      <c r="FL6">
        <v>0</v>
      </c>
      <c r="FM6">
        <v>0</v>
      </c>
      <c r="FN6">
        <v>400</v>
      </c>
      <c r="FO6">
        <v>0</v>
      </c>
      <c r="FP6">
        <v>0</v>
      </c>
      <c r="FQ6">
        <v>400</v>
      </c>
      <c r="FR6">
        <v>0</v>
      </c>
      <c r="FS6">
        <v>0</v>
      </c>
      <c r="FT6">
        <v>90000</v>
      </c>
      <c r="FU6">
        <v>0</v>
      </c>
      <c r="FV6">
        <v>0</v>
      </c>
      <c r="FW6">
        <v>90000</v>
      </c>
      <c r="FX6">
        <v>0</v>
      </c>
      <c r="FY6">
        <v>400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90000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</row>
    <row r="7" spans="1:289" x14ac:dyDescent="0.35">
      <c r="A7" s="102">
        <v>44409</v>
      </c>
      <c r="B7" s="103" t="s">
        <v>394</v>
      </c>
      <c r="C7" s="104">
        <v>44410</v>
      </c>
      <c r="D7" s="103" t="s">
        <v>370</v>
      </c>
      <c r="E7" s="103" t="s">
        <v>297</v>
      </c>
      <c r="F7" s="103" t="s">
        <v>356</v>
      </c>
      <c r="G7" s="103" t="s">
        <v>209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03" t="s">
        <v>231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1</v>
      </c>
      <c r="CV7">
        <v>0.66666666666666663</v>
      </c>
      <c r="CW7">
        <v>0.66666666666666663</v>
      </c>
      <c r="CX7">
        <v>0</v>
      </c>
      <c r="CY7">
        <v>0</v>
      </c>
      <c r="CZ7">
        <v>8</v>
      </c>
      <c r="DA7">
        <v>0</v>
      </c>
      <c r="DB7">
        <v>0</v>
      </c>
      <c r="DC7">
        <v>4</v>
      </c>
      <c r="DD7">
        <v>0</v>
      </c>
      <c r="DE7">
        <v>0</v>
      </c>
      <c r="DF7">
        <v>8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3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1900</v>
      </c>
      <c r="FA7">
        <v>0</v>
      </c>
      <c r="FB7">
        <v>0</v>
      </c>
      <c r="FC7">
        <v>1900</v>
      </c>
      <c r="FD7">
        <v>0</v>
      </c>
      <c r="FE7">
        <v>1900</v>
      </c>
      <c r="FF7">
        <v>0</v>
      </c>
      <c r="FG7">
        <v>0</v>
      </c>
      <c r="FH7">
        <v>0</v>
      </c>
      <c r="FI7">
        <v>0</v>
      </c>
      <c r="FJ7">
        <v>0</v>
      </c>
      <c r="FK7">
        <v>237.5</v>
      </c>
      <c r="FL7">
        <v>0</v>
      </c>
      <c r="FM7">
        <v>0</v>
      </c>
      <c r="FN7">
        <v>400</v>
      </c>
      <c r="FO7">
        <v>0</v>
      </c>
      <c r="FP7">
        <v>0</v>
      </c>
      <c r="FQ7">
        <v>400</v>
      </c>
      <c r="FR7">
        <v>0</v>
      </c>
      <c r="FS7">
        <v>0</v>
      </c>
      <c r="FT7">
        <v>760000</v>
      </c>
      <c r="FU7">
        <v>0</v>
      </c>
      <c r="FV7">
        <v>0</v>
      </c>
      <c r="FW7">
        <v>760000</v>
      </c>
      <c r="FX7">
        <v>0</v>
      </c>
      <c r="FY7">
        <v>400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760000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</row>
    <row r="8" spans="1:289" x14ac:dyDescent="0.35">
      <c r="A8" s="102">
        <v>44409</v>
      </c>
      <c r="B8" s="103" t="s">
        <v>394</v>
      </c>
      <c r="C8" s="104">
        <v>44410</v>
      </c>
      <c r="D8" s="103" t="s">
        <v>384</v>
      </c>
      <c r="E8" s="103" t="s">
        <v>297</v>
      </c>
      <c r="F8" s="103" t="s">
        <v>356</v>
      </c>
      <c r="G8" s="103" t="s">
        <v>209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03" t="s">
        <v>231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0.66666666666666663</v>
      </c>
      <c r="CW8">
        <v>0.65277777777777779</v>
      </c>
      <c r="CX8">
        <v>0</v>
      </c>
      <c r="CY8">
        <v>1.3888888888888888E-2</v>
      </c>
      <c r="CZ8">
        <v>7.833333333333333</v>
      </c>
      <c r="DA8">
        <v>0</v>
      </c>
      <c r="DB8">
        <v>0.16666666666666666</v>
      </c>
      <c r="DC8">
        <v>4</v>
      </c>
      <c r="DD8">
        <v>0</v>
      </c>
      <c r="DE8">
        <v>0</v>
      </c>
      <c r="DF8">
        <v>7.833333333333333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1875</v>
      </c>
      <c r="FA8">
        <v>0</v>
      </c>
      <c r="FB8">
        <v>0</v>
      </c>
      <c r="FC8">
        <v>1875</v>
      </c>
      <c r="FD8">
        <v>0</v>
      </c>
      <c r="FE8">
        <v>1875</v>
      </c>
      <c r="FF8">
        <v>0</v>
      </c>
      <c r="FG8">
        <v>0</v>
      </c>
      <c r="FH8">
        <v>0</v>
      </c>
      <c r="FI8">
        <v>0</v>
      </c>
      <c r="FJ8">
        <v>0</v>
      </c>
      <c r="FK8">
        <v>239.36170212765958</v>
      </c>
      <c r="FL8">
        <v>0</v>
      </c>
      <c r="FM8">
        <v>0</v>
      </c>
      <c r="FN8">
        <v>400</v>
      </c>
      <c r="FO8">
        <v>0</v>
      </c>
      <c r="FP8">
        <v>0</v>
      </c>
      <c r="FQ8">
        <v>400</v>
      </c>
      <c r="FR8">
        <v>0</v>
      </c>
      <c r="FS8">
        <v>0</v>
      </c>
      <c r="FT8">
        <v>750000</v>
      </c>
      <c r="FU8">
        <v>0</v>
      </c>
      <c r="FV8">
        <v>0</v>
      </c>
      <c r="FW8">
        <v>750000</v>
      </c>
      <c r="FX8">
        <v>0</v>
      </c>
      <c r="FY8">
        <v>400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750000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</row>
    <row r="9" spans="1:289" x14ac:dyDescent="0.35">
      <c r="A9" s="102">
        <v>44409</v>
      </c>
      <c r="B9" s="103" t="s">
        <v>394</v>
      </c>
      <c r="C9" s="104">
        <v>44410</v>
      </c>
      <c r="D9" s="103" t="s">
        <v>399</v>
      </c>
      <c r="E9" s="103" t="s">
        <v>297</v>
      </c>
      <c r="F9" s="103" t="s">
        <v>356</v>
      </c>
      <c r="G9" s="103" t="s">
        <v>209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03" t="s">
        <v>231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1</v>
      </c>
      <c r="CV9">
        <v>0.64583333333333337</v>
      </c>
      <c r="CW9">
        <v>0.64583333333333337</v>
      </c>
      <c r="CX9">
        <v>0</v>
      </c>
      <c r="CY9">
        <v>0</v>
      </c>
      <c r="CZ9">
        <v>7.75</v>
      </c>
      <c r="DA9">
        <v>0</v>
      </c>
      <c r="DB9">
        <v>0</v>
      </c>
      <c r="DC9">
        <v>4.25</v>
      </c>
      <c r="DD9">
        <v>0</v>
      </c>
      <c r="DE9">
        <v>0</v>
      </c>
      <c r="DF9">
        <v>7.75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</v>
      </c>
      <c r="EF9">
        <v>0</v>
      </c>
      <c r="EG9">
        <v>3.25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1925</v>
      </c>
      <c r="FA9">
        <v>0</v>
      </c>
      <c r="FB9">
        <v>0</v>
      </c>
      <c r="FC9">
        <v>1925</v>
      </c>
      <c r="FD9">
        <v>0</v>
      </c>
      <c r="FE9">
        <v>1925</v>
      </c>
      <c r="FF9">
        <v>0</v>
      </c>
      <c r="FG9">
        <v>0</v>
      </c>
      <c r="FH9">
        <v>0</v>
      </c>
      <c r="FI9">
        <v>0</v>
      </c>
      <c r="FJ9">
        <v>0</v>
      </c>
      <c r="FK9">
        <v>248.38709677419354</v>
      </c>
      <c r="FL9">
        <v>0</v>
      </c>
      <c r="FM9">
        <v>0</v>
      </c>
      <c r="FN9">
        <v>400</v>
      </c>
      <c r="FO9">
        <v>0</v>
      </c>
      <c r="FP9">
        <v>0</v>
      </c>
      <c r="FQ9">
        <v>400</v>
      </c>
      <c r="FR9">
        <v>0</v>
      </c>
      <c r="FS9">
        <v>0</v>
      </c>
      <c r="FT9">
        <v>770000</v>
      </c>
      <c r="FU9">
        <v>0</v>
      </c>
      <c r="FV9">
        <v>0</v>
      </c>
      <c r="FW9">
        <v>770000</v>
      </c>
      <c r="FX9">
        <v>0</v>
      </c>
      <c r="FY9">
        <v>400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770000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</row>
    <row r="10" spans="1:289" x14ac:dyDescent="0.35">
      <c r="A10" s="102">
        <v>44409</v>
      </c>
      <c r="B10" s="103" t="s">
        <v>394</v>
      </c>
      <c r="C10" s="104">
        <v>44410</v>
      </c>
      <c r="D10" s="103" t="s">
        <v>408</v>
      </c>
      <c r="E10" s="103" t="s">
        <v>297</v>
      </c>
      <c r="F10" s="103" t="s">
        <v>356</v>
      </c>
      <c r="G10" s="103" t="s">
        <v>209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03" t="s">
        <v>231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B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0.66666666666666663</v>
      </c>
      <c r="CW10">
        <v>0.66666666666666663</v>
      </c>
      <c r="CX10">
        <v>0</v>
      </c>
      <c r="CY10">
        <v>0</v>
      </c>
      <c r="CZ10">
        <v>8</v>
      </c>
      <c r="DA10">
        <v>0</v>
      </c>
      <c r="DB10">
        <v>0</v>
      </c>
      <c r="DC10">
        <v>4</v>
      </c>
      <c r="DD10">
        <v>0</v>
      </c>
      <c r="DE10">
        <v>0</v>
      </c>
      <c r="DF10">
        <v>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1</v>
      </c>
      <c r="EF10">
        <v>0</v>
      </c>
      <c r="EG10">
        <v>3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1950</v>
      </c>
      <c r="FA10">
        <v>0</v>
      </c>
      <c r="FB10">
        <v>0</v>
      </c>
      <c r="FC10">
        <v>1950</v>
      </c>
      <c r="FD10">
        <v>0</v>
      </c>
      <c r="FE10">
        <v>1950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243.75</v>
      </c>
      <c r="FL10">
        <v>0</v>
      </c>
      <c r="FM10">
        <v>0</v>
      </c>
      <c r="FN10">
        <v>400</v>
      </c>
      <c r="FO10">
        <v>0</v>
      </c>
      <c r="FP10">
        <v>0</v>
      </c>
      <c r="FQ10">
        <v>400</v>
      </c>
      <c r="FR10">
        <v>0</v>
      </c>
      <c r="FS10">
        <v>0</v>
      </c>
      <c r="FT10">
        <v>780000</v>
      </c>
      <c r="FU10">
        <v>0</v>
      </c>
      <c r="FV10">
        <v>0</v>
      </c>
      <c r="FW10">
        <v>780000</v>
      </c>
      <c r="FX10">
        <v>0</v>
      </c>
      <c r="FY10">
        <v>400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780000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</row>
    <row r="11" spans="1:289" x14ac:dyDescent="0.35">
      <c r="A11" s="102">
        <v>44409</v>
      </c>
      <c r="B11" s="103" t="s">
        <v>394</v>
      </c>
      <c r="C11" s="104">
        <v>44410</v>
      </c>
      <c r="D11" s="103" t="s">
        <v>418</v>
      </c>
      <c r="E11" s="103" t="s">
        <v>419</v>
      </c>
      <c r="F11" s="103" t="s">
        <v>420</v>
      </c>
      <c r="G11" s="103" t="s">
        <v>209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03" t="s">
        <v>231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B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1</v>
      </c>
      <c r="CV11">
        <v>0.66666666666666663</v>
      </c>
      <c r="CW11">
        <v>0</v>
      </c>
      <c r="CX11">
        <v>0</v>
      </c>
      <c r="CY11">
        <v>0.66666666666666663</v>
      </c>
      <c r="CZ11">
        <v>0</v>
      </c>
      <c r="DA11">
        <v>0</v>
      </c>
      <c r="DB11">
        <v>8</v>
      </c>
      <c r="DC11">
        <v>4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8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1</v>
      </c>
      <c r="EF11">
        <v>0</v>
      </c>
      <c r="EG11">
        <v>3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</row>
    <row r="12" spans="1:289" x14ac:dyDescent="0.35">
      <c r="A12" s="102">
        <v>44409</v>
      </c>
      <c r="B12" s="103" t="s">
        <v>394</v>
      </c>
      <c r="C12" s="104">
        <v>44410</v>
      </c>
      <c r="D12" s="103" t="s">
        <v>287</v>
      </c>
      <c r="E12" s="103" t="s">
        <v>288</v>
      </c>
      <c r="F12" s="103" t="s">
        <v>289</v>
      </c>
      <c r="G12" s="103" t="s">
        <v>212</v>
      </c>
      <c r="H12">
        <v>1</v>
      </c>
      <c r="I12">
        <v>0</v>
      </c>
      <c r="J12">
        <v>12</v>
      </c>
      <c r="K12">
        <v>0</v>
      </c>
      <c r="L12">
        <v>0</v>
      </c>
      <c r="M12">
        <v>0</v>
      </c>
      <c r="N12">
        <v>12</v>
      </c>
      <c r="O12">
        <v>0</v>
      </c>
      <c r="P12">
        <v>0</v>
      </c>
      <c r="Q12" s="103" t="s">
        <v>231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B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12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12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12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</row>
    <row r="13" spans="1:289" x14ac:dyDescent="0.35">
      <c r="A13" s="102">
        <v>44409</v>
      </c>
      <c r="B13" s="103" t="s">
        <v>394</v>
      </c>
      <c r="C13" s="104">
        <v>44410</v>
      </c>
      <c r="D13" s="103" t="s">
        <v>964</v>
      </c>
      <c r="E13" s="103" t="s">
        <v>308</v>
      </c>
      <c r="F13" s="103" t="s">
        <v>309</v>
      </c>
      <c r="G13" s="103" t="s">
        <v>212</v>
      </c>
      <c r="H13">
        <v>1</v>
      </c>
      <c r="I13">
        <v>0</v>
      </c>
      <c r="J13">
        <v>12</v>
      </c>
      <c r="K13">
        <v>0</v>
      </c>
      <c r="L13">
        <v>0</v>
      </c>
      <c r="M13">
        <v>0</v>
      </c>
      <c r="N13">
        <v>12</v>
      </c>
      <c r="O13">
        <v>0</v>
      </c>
      <c r="P13">
        <v>0</v>
      </c>
      <c r="Q13" s="103" t="s">
        <v>231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B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12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12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12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</row>
    <row r="14" spans="1:289" x14ac:dyDescent="0.35">
      <c r="A14" s="102">
        <v>44409</v>
      </c>
      <c r="B14" s="103" t="s">
        <v>394</v>
      </c>
      <c r="C14" s="104">
        <v>44410</v>
      </c>
      <c r="D14" s="103" t="s">
        <v>324</v>
      </c>
      <c r="E14" s="103" t="s">
        <v>325</v>
      </c>
      <c r="F14" s="103" t="s">
        <v>326</v>
      </c>
      <c r="G14" s="103" t="s">
        <v>212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103" t="s">
        <v>231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B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12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12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</row>
    <row r="15" spans="1:289" x14ac:dyDescent="0.35">
      <c r="A15" s="102">
        <v>44409</v>
      </c>
      <c r="B15" s="103" t="s">
        <v>394</v>
      </c>
      <c r="C15" s="104">
        <v>44410</v>
      </c>
      <c r="D15" s="103" t="s">
        <v>340</v>
      </c>
      <c r="E15" s="103" t="s">
        <v>325</v>
      </c>
      <c r="F15" s="103" t="s">
        <v>326</v>
      </c>
      <c r="G15" s="103" t="s">
        <v>212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03" t="s">
        <v>231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B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1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12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12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</row>
    <row r="16" spans="1:289" x14ac:dyDescent="0.35">
      <c r="A16" s="102">
        <v>44409</v>
      </c>
      <c r="B16" s="103" t="s">
        <v>394</v>
      </c>
      <c r="C16" s="104">
        <v>44410</v>
      </c>
      <c r="D16" s="103" t="s">
        <v>355</v>
      </c>
      <c r="E16" s="103" t="s">
        <v>297</v>
      </c>
      <c r="F16" s="103" t="s">
        <v>356</v>
      </c>
      <c r="G16" s="103" t="s">
        <v>212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03" t="s">
        <v>231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B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12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12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</row>
    <row r="17" spans="1:289" x14ac:dyDescent="0.35">
      <c r="A17" s="102">
        <v>44409</v>
      </c>
      <c r="B17" s="103" t="s">
        <v>394</v>
      </c>
      <c r="C17" s="104">
        <v>44410</v>
      </c>
      <c r="D17" s="103" t="s">
        <v>370</v>
      </c>
      <c r="E17" s="103" t="s">
        <v>297</v>
      </c>
      <c r="F17" s="103" t="s">
        <v>356</v>
      </c>
      <c r="G17" s="103" t="s">
        <v>212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03" t="s">
        <v>231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B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</row>
    <row r="18" spans="1:289" x14ac:dyDescent="0.35">
      <c r="A18" s="102">
        <v>44409</v>
      </c>
      <c r="B18" s="103" t="s">
        <v>394</v>
      </c>
      <c r="C18" s="104">
        <v>44410</v>
      </c>
      <c r="D18" s="103" t="s">
        <v>384</v>
      </c>
      <c r="E18" s="103" t="s">
        <v>297</v>
      </c>
      <c r="F18" s="103" t="s">
        <v>356</v>
      </c>
      <c r="G18" s="103" t="s">
        <v>212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03" t="s">
        <v>231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B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1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12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12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</row>
    <row r="19" spans="1:289" x14ac:dyDescent="0.35">
      <c r="A19" s="102">
        <v>44409</v>
      </c>
      <c r="B19" s="103" t="s">
        <v>394</v>
      </c>
      <c r="C19" s="104">
        <v>44410</v>
      </c>
      <c r="D19" s="103" t="s">
        <v>399</v>
      </c>
      <c r="E19" s="103" t="s">
        <v>297</v>
      </c>
      <c r="F19" s="103" t="s">
        <v>356</v>
      </c>
      <c r="G19" s="103" t="s">
        <v>212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03" t="s">
        <v>231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B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12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12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</row>
    <row r="20" spans="1:289" x14ac:dyDescent="0.35">
      <c r="A20" s="102">
        <v>44409</v>
      </c>
      <c r="B20" s="103" t="s">
        <v>394</v>
      </c>
      <c r="C20" s="104">
        <v>44410</v>
      </c>
      <c r="D20" s="103" t="s">
        <v>408</v>
      </c>
      <c r="E20" s="103" t="s">
        <v>297</v>
      </c>
      <c r="F20" s="103" t="s">
        <v>356</v>
      </c>
      <c r="G20" s="103" t="s">
        <v>212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03" t="s">
        <v>231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B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1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12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12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</row>
    <row r="21" spans="1:289" x14ac:dyDescent="0.35">
      <c r="A21" s="102">
        <v>44409</v>
      </c>
      <c r="B21" s="103" t="s">
        <v>394</v>
      </c>
      <c r="C21" s="104">
        <v>44410</v>
      </c>
      <c r="D21" s="103" t="s">
        <v>418</v>
      </c>
      <c r="E21" s="103" t="s">
        <v>419</v>
      </c>
      <c r="F21" s="103" t="s">
        <v>420</v>
      </c>
      <c r="G21" s="103" t="s">
        <v>212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103" t="s">
        <v>231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B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12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12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</row>
    <row r="22" spans="1:289" x14ac:dyDescent="0.35">
      <c r="A22" s="102">
        <v>44409</v>
      </c>
      <c r="B22" s="103" t="s">
        <v>394</v>
      </c>
      <c r="C22" s="104">
        <v>44411</v>
      </c>
      <c r="D22" s="103" t="s">
        <v>287</v>
      </c>
      <c r="E22" s="103" t="s">
        <v>288</v>
      </c>
      <c r="F22" s="103" t="s">
        <v>289</v>
      </c>
      <c r="G22" s="103" t="s">
        <v>209</v>
      </c>
      <c r="H22">
        <v>1</v>
      </c>
      <c r="I22">
        <v>0.83333333333333348</v>
      </c>
      <c r="J22">
        <v>11.999999999999998</v>
      </c>
      <c r="K22">
        <v>10</v>
      </c>
      <c r="L22">
        <v>0</v>
      </c>
      <c r="M22">
        <v>0</v>
      </c>
      <c r="N22">
        <v>2</v>
      </c>
      <c r="O22">
        <v>0</v>
      </c>
      <c r="P22">
        <v>0</v>
      </c>
      <c r="Q22" s="103" t="s">
        <v>965</v>
      </c>
      <c r="R22">
        <v>4390</v>
      </c>
      <c r="S22">
        <v>0</v>
      </c>
      <c r="T22">
        <v>400</v>
      </c>
      <c r="U22">
        <v>0</v>
      </c>
      <c r="V22">
        <v>439</v>
      </c>
      <c r="W22">
        <v>0</v>
      </c>
      <c r="Y22">
        <v>0</v>
      </c>
      <c r="Z22">
        <v>4390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400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B22">
        <v>10</v>
      </c>
      <c r="BC22">
        <v>10</v>
      </c>
      <c r="BU22">
        <v>0.16666666666666666</v>
      </c>
      <c r="BV22">
        <v>0</v>
      </c>
      <c r="BW22">
        <v>0.16666666666666666</v>
      </c>
      <c r="BX22">
        <v>0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1</v>
      </c>
      <c r="CV22">
        <v>0.59545454545454546</v>
      </c>
      <c r="CW22">
        <v>0.59545454545454546</v>
      </c>
      <c r="CX22">
        <v>0</v>
      </c>
      <c r="CY22">
        <v>0</v>
      </c>
      <c r="CZ22">
        <v>6.55</v>
      </c>
      <c r="DA22">
        <v>0</v>
      </c>
      <c r="DB22">
        <v>0</v>
      </c>
      <c r="DC22">
        <v>4.45</v>
      </c>
      <c r="DD22">
        <v>0</v>
      </c>
      <c r="DE22">
        <v>0</v>
      </c>
      <c r="DF22">
        <v>6.55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2.3333333333333335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4075</v>
      </c>
      <c r="FA22">
        <v>0</v>
      </c>
      <c r="FB22">
        <v>0</v>
      </c>
      <c r="FC22">
        <v>4075</v>
      </c>
      <c r="FD22">
        <v>0</v>
      </c>
      <c r="FE22">
        <v>4075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622.13740458015263</v>
      </c>
      <c r="FL22">
        <v>0</v>
      </c>
      <c r="FM22">
        <v>0</v>
      </c>
      <c r="FN22">
        <v>400</v>
      </c>
      <c r="FO22">
        <v>0</v>
      </c>
      <c r="FP22">
        <v>0</v>
      </c>
      <c r="FQ22">
        <v>400</v>
      </c>
      <c r="FR22">
        <v>0</v>
      </c>
      <c r="FS22">
        <v>0</v>
      </c>
      <c r="FT22">
        <v>1630000</v>
      </c>
      <c r="FU22">
        <v>0</v>
      </c>
      <c r="FV22">
        <v>0</v>
      </c>
      <c r="FW22">
        <v>1630000</v>
      </c>
      <c r="FX22">
        <v>0</v>
      </c>
      <c r="FY22">
        <v>400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1630000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</row>
    <row r="23" spans="1:289" x14ac:dyDescent="0.35">
      <c r="A23" s="102">
        <v>44409</v>
      </c>
      <c r="B23" s="103" t="s">
        <v>394</v>
      </c>
      <c r="C23" s="104">
        <v>44411</v>
      </c>
      <c r="D23" s="103" t="s">
        <v>964</v>
      </c>
      <c r="E23" s="103" t="s">
        <v>308</v>
      </c>
      <c r="F23" s="103" t="s">
        <v>309</v>
      </c>
      <c r="G23" s="103" t="s">
        <v>209</v>
      </c>
      <c r="H23">
        <v>1</v>
      </c>
      <c r="I23">
        <v>0.83333333333333348</v>
      </c>
      <c r="J23">
        <v>11.999999999999998</v>
      </c>
      <c r="K23">
        <v>10</v>
      </c>
      <c r="L23">
        <v>0</v>
      </c>
      <c r="M23">
        <v>0</v>
      </c>
      <c r="N23">
        <v>2</v>
      </c>
      <c r="O23">
        <v>0</v>
      </c>
      <c r="P23">
        <v>0</v>
      </c>
      <c r="Q23" s="103" t="s">
        <v>965</v>
      </c>
      <c r="R23">
        <v>2000</v>
      </c>
      <c r="S23">
        <v>0</v>
      </c>
      <c r="T23">
        <v>400</v>
      </c>
      <c r="U23">
        <v>0</v>
      </c>
      <c r="V23">
        <v>200</v>
      </c>
      <c r="W23">
        <v>0</v>
      </c>
      <c r="Y23">
        <v>0</v>
      </c>
      <c r="Z23">
        <v>2000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400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B23">
        <v>10</v>
      </c>
      <c r="BC23">
        <v>10</v>
      </c>
      <c r="BU23">
        <v>0.16666666666666666</v>
      </c>
      <c r="BV23">
        <v>0</v>
      </c>
      <c r="BW23">
        <v>0.16666666666666666</v>
      </c>
      <c r="BX23">
        <v>0</v>
      </c>
      <c r="BY23">
        <v>0</v>
      </c>
      <c r="BZ23">
        <v>0</v>
      </c>
      <c r="CA23">
        <v>0</v>
      </c>
      <c r="CB23">
        <v>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1</v>
      </c>
      <c r="CV23">
        <v>0.3611111111111111</v>
      </c>
      <c r="CW23">
        <v>0.3611111111111111</v>
      </c>
      <c r="CX23">
        <v>0</v>
      </c>
      <c r="CY23">
        <v>0</v>
      </c>
      <c r="CZ23">
        <v>4.333333333333333</v>
      </c>
      <c r="DA23">
        <v>0</v>
      </c>
      <c r="DB23">
        <v>0</v>
      </c>
      <c r="DC23">
        <v>7.6666666666666661</v>
      </c>
      <c r="DD23">
        <v>0</v>
      </c>
      <c r="DE23">
        <v>0</v>
      </c>
      <c r="DF23">
        <v>4.333333333333333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4.5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950</v>
      </c>
      <c r="FA23">
        <v>0</v>
      </c>
      <c r="FB23">
        <v>0</v>
      </c>
      <c r="FC23">
        <v>950</v>
      </c>
      <c r="FD23">
        <v>0</v>
      </c>
      <c r="FE23">
        <v>950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219.23076923076925</v>
      </c>
      <c r="FL23">
        <v>0</v>
      </c>
      <c r="FM23">
        <v>0</v>
      </c>
      <c r="FN23">
        <v>400</v>
      </c>
      <c r="FO23">
        <v>0</v>
      </c>
      <c r="FP23">
        <v>0</v>
      </c>
      <c r="FQ23">
        <v>400</v>
      </c>
      <c r="FR23">
        <v>0</v>
      </c>
      <c r="FS23">
        <v>0</v>
      </c>
      <c r="FT23">
        <v>380000</v>
      </c>
      <c r="FU23">
        <v>0</v>
      </c>
      <c r="FV23">
        <v>0</v>
      </c>
      <c r="FW23">
        <v>380000</v>
      </c>
      <c r="FX23">
        <v>0</v>
      </c>
      <c r="FY23">
        <v>400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380000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</row>
    <row r="24" spans="1:289" x14ac:dyDescent="0.35">
      <c r="A24" s="102">
        <v>44409</v>
      </c>
      <c r="B24" s="103" t="s">
        <v>394</v>
      </c>
      <c r="C24" s="104">
        <v>44411</v>
      </c>
      <c r="D24" s="103" t="s">
        <v>324</v>
      </c>
      <c r="E24" s="103" t="s">
        <v>325</v>
      </c>
      <c r="F24" s="103" t="s">
        <v>326</v>
      </c>
      <c r="G24" s="103" t="s">
        <v>209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03" t="s">
        <v>231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1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12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</v>
      </c>
      <c r="EF24">
        <v>0</v>
      </c>
      <c r="EG24">
        <v>8.8333333333333339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12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12</v>
      </c>
      <c r="JZ24">
        <v>0</v>
      </c>
      <c r="KA24">
        <v>0</v>
      </c>
      <c r="KB24">
        <v>0</v>
      </c>
      <c r="KC24">
        <v>0</v>
      </c>
    </row>
    <row r="25" spans="1:289" x14ac:dyDescent="0.35">
      <c r="A25" s="102">
        <v>44409</v>
      </c>
      <c r="B25" s="103" t="s">
        <v>394</v>
      </c>
      <c r="C25" s="104">
        <v>44411</v>
      </c>
      <c r="D25" s="103" t="s">
        <v>340</v>
      </c>
      <c r="E25" s="103" t="s">
        <v>325</v>
      </c>
      <c r="F25" s="103" t="s">
        <v>326</v>
      </c>
      <c r="G25" s="103" t="s">
        <v>209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103" t="s">
        <v>231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1</v>
      </c>
      <c r="CV25">
        <v>0.45833333333333331</v>
      </c>
      <c r="CW25">
        <v>0</v>
      </c>
      <c r="CX25">
        <v>0</v>
      </c>
      <c r="CY25">
        <v>0.45833333333333331</v>
      </c>
      <c r="CZ25">
        <v>0</v>
      </c>
      <c r="DA25">
        <v>0</v>
      </c>
      <c r="DB25">
        <v>5.5</v>
      </c>
      <c r="DC25">
        <v>6.5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6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1</v>
      </c>
      <c r="EF25">
        <v>0</v>
      </c>
      <c r="EG25">
        <v>3.3333333333333335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2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</row>
    <row r="26" spans="1:289" x14ac:dyDescent="0.35">
      <c r="A26" s="102">
        <v>44409</v>
      </c>
      <c r="B26" s="103" t="s">
        <v>394</v>
      </c>
      <c r="C26" s="104">
        <v>44411</v>
      </c>
      <c r="D26" s="103" t="s">
        <v>355</v>
      </c>
      <c r="E26" s="103" t="s">
        <v>297</v>
      </c>
      <c r="F26" s="103" t="s">
        <v>356</v>
      </c>
      <c r="G26" s="103" t="s">
        <v>209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03" t="s">
        <v>231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B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0.64393939393939392</v>
      </c>
      <c r="CV26">
        <v>0.38823529411764707</v>
      </c>
      <c r="CW26">
        <v>0.38823529411764707</v>
      </c>
      <c r="CX26">
        <v>0</v>
      </c>
      <c r="CY26">
        <v>0</v>
      </c>
      <c r="CZ26">
        <v>2.75</v>
      </c>
      <c r="DA26">
        <v>0</v>
      </c>
      <c r="DB26">
        <v>0</v>
      </c>
      <c r="DC26">
        <v>4.333333333333333</v>
      </c>
      <c r="DD26">
        <v>0</v>
      </c>
      <c r="DE26">
        <v>3.9166666666666665</v>
      </c>
      <c r="DF26">
        <v>2.75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1.3333333333333333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1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425</v>
      </c>
      <c r="FA26">
        <v>0</v>
      </c>
      <c r="FB26">
        <v>0</v>
      </c>
      <c r="FC26">
        <v>425</v>
      </c>
      <c r="FD26">
        <v>0</v>
      </c>
      <c r="FE26">
        <v>425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154.54545454545453</v>
      </c>
      <c r="FL26">
        <v>0</v>
      </c>
      <c r="FM26">
        <v>0</v>
      </c>
      <c r="FN26">
        <v>400</v>
      </c>
      <c r="FO26">
        <v>0</v>
      </c>
      <c r="FP26">
        <v>0</v>
      </c>
      <c r="FQ26">
        <v>400</v>
      </c>
      <c r="FR26">
        <v>0</v>
      </c>
      <c r="FS26">
        <v>0</v>
      </c>
      <c r="FT26">
        <v>170000</v>
      </c>
      <c r="FU26">
        <v>0</v>
      </c>
      <c r="FV26">
        <v>0</v>
      </c>
      <c r="FW26">
        <v>170000</v>
      </c>
      <c r="FX26">
        <v>0</v>
      </c>
      <c r="FY26">
        <v>400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170000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</row>
    <row r="27" spans="1:289" x14ac:dyDescent="0.35">
      <c r="A27" s="102">
        <v>44409</v>
      </c>
      <c r="B27" s="103" t="s">
        <v>394</v>
      </c>
      <c r="C27" s="104">
        <v>44411</v>
      </c>
      <c r="D27" s="103" t="s">
        <v>370</v>
      </c>
      <c r="E27" s="103" t="s">
        <v>297</v>
      </c>
      <c r="F27" s="103" t="s">
        <v>356</v>
      </c>
      <c r="G27" s="103" t="s">
        <v>209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103" t="s">
        <v>231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B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0.46527777777777773</v>
      </c>
      <c r="CW27">
        <v>0.46527777777777773</v>
      </c>
      <c r="CX27">
        <v>0</v>
      </c>
      <c r="CY27">
        <v>0</v>
      </c>
      <c r="CZ27">
        <v>5.583333333333333</v>
      </c>
      <c r="DA27">
        <v>0</v>
      </c>
      <c r="DB27">
        <v>0</v>
      </c>
      <c r="DC27">
        <v>6.416666666666667</v>
      </c>
      <c r="DD27">
        <v>0</v>
      </c>
      <c r="DE27">
        <v>0</v>
      </c>
      <c r="DF27">
        <v>5.583333333333333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2.5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1</v>
      </c>
      <c r="EF27">
        <v>0</v>
      </c>
      <c r="EG27">
        <v>0.91666666666666663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1025</v>
      </c>
      <c r="FA27">
        <v>0</v>
      </c>
      <c r="FB27">
        <v>0</v>
      </c>
      <c r="FC27">
        <v>1025</v>
      </c>
      <c r="FD27">
        <v>0</v>
      </c>
      <c r="FE27">
        <v>1025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183.58208955223881</v>
      </c>
      <c r="FL27">
        <v>0</v>
      </c>
      <c r="FM27">
        <v>0</v>
      </c>
      <c r="FN27">
        <v>400</v>
      </c>
      <c r="FO27">
        <v>0</v>
      </c>
      <c r="FP27">
        <v>0</v>
      </c>
      <c r="FQ27">
        <v>400</v>
      </c>
      <c r="FR27">
        <v>0</v>
      </c>
      <c r="FS27">
        <v>0</v>
      </c>
      <c r="FT27">
        <v>410000</v>
      </c>
      <c r="FU27">
        <v>0</v>
      </c>
      <c r="FV27">
        <v>0</v>
      </c>
      <c r="FW27">
        <v>410000</v>
      </c>
      <c r="FX27">
        <v>0</v>
      </c>
      <c r="FY27">
        <v>400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410000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</row>
    <row r="28" spans="1:289" x14ac:dyDescent="0.35">
      <c r="A28" s="102">
        <v>44409</v>
      </c>
      <c r="B28" s="103" t="s">
        <v>394</v>
      </c>
      <c r="C28" s="104">
        <v>44411</v>
      </c>
      <c r="D28" s="103" t="s">
        <v>384</v>
      </c>
      <c r="E28" s="103" t="s">
        <v>297</v>
      </c>
      <c r="F28" s="103" t="s">
        <v>356</v>
      </c>
      <c r="G28" s="103" t="s">
        <v>209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103" t="s">
        <v>231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B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0.83333333333333337</v>
      </c>
      <c r="CV28">
        <v>0.55000000000000004</v>
      </c>
      <c r="CW28">
        <v>0.55000000000000004</v>
      </c>
      <c r="CX28">
        <v>0</v>
      </c>
      <c r="CY28">
        <v>0</v>
      </c>
      <c r="CZ28">
        <v>5.5</v>
      </c>
      <c r="DA28">
        <v>0</v>
      </c>
      <c r="DB28">
        <v>0</v>
      </c>
      <c r="DC28">
        <v>4.5</v>
      </c>
      <c r="DD28">
        <v>0</v>
      </c>
      <c r="DE28">
        <v>2</v>
      </c>
      <c r="DF28">
        <v>5.5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1.3333333333333333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0.16666666666666666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950</v>
      </c>
      <c r="FA28">
        <v>0</v>
      </c>
      <c r="FB28">
        <v>0</v>
      </c>
      <c r="FC28">
        <v>950</v>
      </c>
      <c r="FD28">
        <v>0</v>
      </c>
      <c r="FE28">
        <v>950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172.72727272727272</v>
      </c>
      <c r="FL28">
        <v>0</v>
      </c>
      <c r="FM28">
        <v>0</v>
      </c>
      <c r="FN28">
        <v>400</v>
      </c>
      <c r="FO28">
        <v>0</v>
      </c>
      <c r="FP28">
        <v>0</v>
      </c>
      <c r="FQ28">
        <v>400</v>
      </c>
      <c r="FR28">
        <v>0</v>
      </c>
      <c r="FS28">
        <v>0</v>
      </c>
      <c r="FT28">
        <v>380000</v>
      </c>
      <c r="FU28">
        <v>0</v>
      </c>
      <c r="FV28">
        <v>0</v>
      </c>
      <c r="FW28">
        <v>380000</v>
      </c>
      <c r="FX28">
        <v>0</v>
      </c>
      <c r="FY28">
        <v>400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380000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</row>
    <row r="29" spans="1:289" x14ac:dyDescent="0.35">
      <c r="A29" s="102">
        <v>44409</v>
      </c>
      <c r="B29" s="103" t="s">
        <v>394</v>
      </c>
      <c r="C29" s="104">
        <v>44411</v>
      </c>
      <c r="D29" s="103" t="s">
        <v>399</v>
      </c>
      <c r="E29" s="103" t="s">
        <v>297</v>
      </c>
      <c r="F29" s="103" t="s">
        <v>356</v>
      </c>
      <c r="G29" s="103" t="s">
        <v>209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03" t="s">
        <v>231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B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</v>
      </c>
      <c r="CV29">
        <v>0.54166666666666663</v>
      </c>
      <c r="CW29">
        <v>0.54166666666666663</v>
      </c>
      <c r="CX29">
        <v>0</v>
      </c>
      <c r="CY29">
        <v>0</v>
      </c>
      <c r="CZ29">
        <v>6.5</v>
      </c>
      <c r="DA29">
        <v>0</v>
      </c>
      <c r="DB29">
        <v>0</v>
      </c>
      <c r="DC29">
        <v>5.5</v>
      </c>
      <c r="DD29">
        <v>0</v>
      </c>
      <c r="DE29">
        <v>0</v>
      </c>
      <c r="DF29">
        <v>6.5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2.5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1325</v>
      </c>
      <c r="FA29">
        <v>0</v>
      </c>
      <c r="FB29">
        <v>0</v>
      </c>
      <c r="FC29">
        <v>1325</v>
      </c>
      <c r="FD29">
        <v>0</v>
      </c>
      <c r="FE29">
        <v>1325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203.84615384615384</v>
      </c>
      <c r="FL29">
        <v>0</v>
      </c>
      <c r="FM29">
        <v>0</v>
      </c>
      <c r="FN29">
        <v>400</v>
      </c>
      <c r="FO29">
        <v>0</v>
      </c>
      <c r="FP29">
        <v>0</v>
      </c>
      <c r="FQ29">
        <v>400</v>
      </c>
      <c r="FR29">
        <v>0</v>
      </c>
      <c r="FS29">
        <v>0</v>
      </c>
      <c r="FT29">
        <v>530000</v>
      </c>
      <c r="FU29">
        <v>0</v>
      </c>
      <c r="FV29">
        <v>0</v>
      </c>
      <c r="FW29">
        <v>530000</v>
      </c>
      <c r="FX29">
        <v>0</v>
      </c>
      <c r="FY29">
        <v>400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530000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</row>
    <row r="30" spans="1:289" x14ac:dyDescent="0.35">
      <c r="A30" s="102">
        <v>44409</v>
      </c>
      <c r="B30" s="103" t="s">
        <v>394</v>
      </c>
      <c r="C30" s="104">
        <v>44411</v>
      </c>
      <c r="D30" s="103" t="s">
        <v>408</v>
      </c>
      <c r="E30" s="103" t="s">
        <v>297</v>
      </c>
      <c r="F30" s="103" t="s">
        <v>356</v>
      </c>
      <c r="G30" s="103" t="s">
        <v>209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03" t="s">
        <v>231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B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1</v>
      </c>
      <c r="CV30">
        <v>0.54166666666666663</v>
      </c>
      <c r="CW30">
        <v>0.54166666666666663</v>
      </c>
      <c r="CX30">
        <v>0</v>
      </c>
      <c r="CY30">
        <v>0</v>
      </c>
      <c r="CZ30">
        <v>6.5</v>
      </c>
      <c r="DA30">
        <v>0</v>
      </c>
      <c r="DB30">
        <v>0</v>
      </c>
      <c r="DC30">
        <v>5.5</v>
      </c>
      <c r="DD30">
        <v>0</v>
      </c>
      <c r="DE30">
        <v>0</v>
      </c>
      <c r="DF30">
        <v>6.5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2.5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2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1300</v>
      </c>
      <c r="FA30">
        <v>0</v>
      </c>
      <c r="FB30">
        <v>0</v>
      </c>
      <c r="FC30">
        <v>1300</v>
      </c>
      <c r="FD30">
        <v>0</v>
      </c>
      <c r="FE30">
        <v>1300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200</v>
      </c>
      <c r="FL30">
        <v>0</v>
      </c>
      <c r="FM30">
        <v>0</v>
      </c>
      <c r="FN30">
        <v>400</v>
      </c>
      <c r="FO30">
        <v>0</v>
      </c>
      <c r="FP30">
        <v>0</v>
      </c>
      <c r="FQ30">
        <v>400</v>
      </c>
      <c r="FR30">
        <v>0</v>
      </c>
      <c r="FS30">
        <v>0</v>
      </c>
      <c r="FT30">
        <v>520000</v>
      </c>
      <c r="FU30">
        <v>0</v>
      </c>
      <c r="FV30">
        <v>0</v>
      </c>
      <c r="FW30">
        <v>520000</v>
      </c>
      <c r="FX30">
        <v>0</v>
      </c>
      <c r="FY30">
        <v>400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520000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</row>
    <row r="31" spans="1:289" x14ac:dyDescent="0.35">
      <c r="A31" s="102">
        <v>44409</v>
      </c>
      <c r="B31" s="103" t="s">
        <v>394</v>
      </c>
      <c r="C31" s="104">
        <v>44411</v>
      </c>
      <c r="D31" s="103" t="s">
        <v>418</v>
      </c>
      <c r="E31" s="103" t="s">
        <v>419</v>
      </c>
      <c r="F31" s="103" t="s">
        <v>420</v>
      </c>
      <c r="G31" s="103" t="s">
        <v>209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03" t="s">
        <v>231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B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1</v>
      </c>
      <c r="CV31">
        <v>0.91666666666666663</v>
      </c>
      <c r="CW31">
        <v>0</v>
      </c>
      <c r="CX31">
        <v>0</v>
      </c>
      <c r="CY31">
        <v>0.91666666666666663</v>
      </c>
      <c r="CZ31">
        <v>0</v>
      </c>
      <c r="DA31">
        <v>0</v>
      </c>
      <c r="DB31">
        <v>11</v>
      </c>
      <c r="DC31">
        <v>1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2.5</v>
      </c>
      <c r="DK31">
        <v>0</v>
      </c>
      <c r="DL31">
        <v>0</v>
      </c>
      <c r="DM31">
        <v>8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1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3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</row>
    <row r="32" spans="1:289" x14ac:dyDescent="0.35">
      <c r="A32" s="102">
        <v>44409</v>
      </c>
      <c r="B32" s="103" t="s">
        <v>394</v>
      </c>
      <c r="C32" s="104">
        <v>44411</v>
      </c>
      <c r="D32" s="103" t="s">
        <v>287</v>
      </c>
      <c r="E32" s="103" t="s">
        <v>288</v>
      </c>
      <c r="F32" s="103" t="s">
        <v>289</v>
      </c>
      <c r="G32" s="103" t="s">
        <v>212</v>
      </c>
      <c r="H32">
        <v>1</v>
      </c>
      <c r="I32">
        <v>0</v>
      </c>
      <c r="J32">
        <v>12</v>
      </c>
      <c r="K32">
        <v>0</v>
      </c>
      <c r="L32">
        <v>0</v>
      </c>
      <c r="M32">
        <v>0</v>
      </c>
      <c r="N32">
        <v>12</v>
      </c>
      <c r="O32">
        <v>0</v>
      </c>
      <c r="P32">
        <v>0</v>
      </c>
      <c r="Q32" s="103" t="s">
        <v>231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B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12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12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</row>
    <row r="33" spans="1:289" x14ac:dyDescent="0.35">
      <c r="A33" s="102">
        <v>44409</v>
      </c>
      <c r="B33" s="103" t="s">
        <v>394</v>
      </c>
      <c r="C33" s="104">
        <v>44411</v>
      </c>
      <c r="D33" s="103" t="s">
        <v>964</v>
      </c>
      <c r="E33" s="103" t="s">
        <v>308</v>
      </c>
      <c r="F33" s="103" t="s">
        <v>309</v>
      </c>
      <c r="G33" s="103" t="s">
        <v>212</v>
      </c>
      <c r="H33">
        <v>1</v>
      </c>
      <c r="I33">
        <v>0</v>
      </c>
      <c r="J33">
        <v>12</v>
      </c>
      <c r="K33">
        <v>0</v>
      </c>
      <c r="L33">
        <v>0</v>
      </c>
      <c r="M33">
        <v>0</v>
      </c>
      <c r="N33">
        <v>12</v>
      </c>
      <c r="O33">
        <v>0</v>
      </c>
      <c r="P33">
        <v>0</v>
      </c>
      <c r="Q33" s="103" t="s">
        <v>231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B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12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1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12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</row>
    <row r="34" spans="1:289" x14ac:dyDescent="0.35">
      <c r="A34" s="102">
        <v>44409</v>
      </c>
      <c r="B34" s="103" t="s">
        <v>394</v>
      </c>
      <c r="C34" s="104">
        <v>44411</v>
      </c>
      <c r="D34" s="103" t="s">
        <v>324</v>
      </c>
      <c r="E34" s="103" t="s">
        <v>325</v>
      </c>
      <c r="F34" s="103" t="s">
        <v>326</v>
      </c>
      <c r="G34" s="103" t="s">
        <v>212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03" t="s">
        <v>231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B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1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12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1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1</v>
      </c>
      <c r="JZ34">
        <v>0</v>
      </c>
      <c r="KA34">
        <v>0</v>
      </c>
      <c r="KB34">
        <v>0</v>
      </c>
      <c r="KC34">
        <v>0</v>
      </c>
    </row>
    <row r="35" spans="1:289" x14ac:dyDescent="0.35">
      <c r="A35" s="102">
        <v>44409</v>
      </c>
      <c r="B35" s="103" t="s">
        <v>394</v>
      </c>
      <c r="C35" s="104">
        <v>44411</v>
      </c>
      <c r="D35" s="103" t="s">
        <v>340</v>
      </c>
      <c r="E35" s="103" t="s">
        <v>325</v>
      </c>
      <c r="F35" s="103" t="s">
        <v>326</v>
      </c>
      <c r="G35" s="103" t="s">
        <v>212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103" t="s">
        <v>231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B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12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</row>
    <row r="36" spans="1:289" x14ac:dyDescent="0.35">
      <c r="A36" s="102">
        <v>44409</v>
      </c>
      <c r="B36" s="103" t="s">
        <v>394</v>
      </c>
      <c r="C36" s="104">
        <v>44411</v>
      </c>
      <c r="D36" s="103" t="s">
        <v>355</v>
      </c>
      <c r="E36" s="103" t="s">
        <v>297</v>
      </c>
      <c r="F36" s="103" t="s">
        <v>356</v>
      </c>
      <c r="G36" s="103" t="s">
        <v>212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103" t="s">
        <v>231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B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1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12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</row>
    <row r="37" spans="1:289" x14ac:dyDescent="0.35">
      <c r="A37" s="102">
        <v>44409</v>
      </c>
      <c r="B37" s="103" t="s">
        <v>394</v>
      </c>
      <c r="C37" s="104">
        <v>44411</v>
      </c>
      <c r="D37" s="103" t="s">
        <v>370</v>
      </c>
      <c r="E37" s="103" t="s">
        <v>297</v>
      </c>
      <c r="F37" s="103" t="s">
        <v>356</v>
      </c>
      <c r="G37" s="103" t="s">
        <v>212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103" t="s">
        <v>231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B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1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12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12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</row>
    <row r="38" spans="1:289" x14ac:dyDescent="0.35">
      <c r="A38" s="102">
        <v>44409</v>
      </c>
      <c r="B38" s="103" t="s">
        <v>394</v>
      </c>
      <c r="C38" s="104">
        <v>44411</v>
      </c>
      <c r="D38" s="103" t="s">
        <v>384</v>
      </c>
      <c r="E38" s="103" t="s">
        <v>297</v>
      </c>
      <c r="F38" s="103" t="s">
        <v>356</v>
      </c>
      <c r="G38" s="103" t="s">
        <v>212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03" t="s">
        <v>231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B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1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12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12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</row>
    <row r="39" spans="1:289" x14ac:dyDescent="0.35">
      <c r="A39" s="102">
        <v>44409</v>
      </c>
      <c r="B39" s="103" t="s">
        <v>394</v>
      </c>
      <c r="C39" s="104">
        <v>44411</v>
      </c>
      <c r="D39" s="103" t="s">
        <v>399</v>
      </c>
      <c r="E39" s="103" t="s">
        <v>297</v>
      </c>
      <c r="F39" s="103" t="s">
        <v>356</v>
      </c>
      <c r="G39" s="103" t="s">
        <v>212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103" t="s">
        <v>231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B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1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12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12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</row>
    <row r="40" spans="1:289" x14ac:dyDescent="0.35">
      <c r="A40" s="102">
        <v>44409</v>
      </c>
      <c r="B40" s="103" t="s">
        <v>394</v>
      </c>
      <c r="C40" s="104">
        <v>44411</v>
      </c>
      <c r="D40" s="103" t="s">
        <v>408</v>
      </c>
      <c r="E40" s="103" t="s">
        <v>297</v>
      </c>
      <c r="F40" s="103" t="s">
        <v>356</v>
      </c>
      <c r="G40" s="103" t="s">
        <v>212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03" t="s">
        <v>231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B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1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12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12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</row>
    <row r="41" spans="1:289" x14ac:dyDescent="0.35">
      <c r="A41" s="102">
        <v>44409</v>
      </c>
      <c r="B41" s="103" t="s">
        <v>394</v>
      </c>
      <c r="C41" s="104">
        <v>44411</v>
      </c>
      <c r="D41" s="103" t="s">
        <v>418</v>
      </c>
      <c r="E41" s="103" t="s">
        <v>419</v>
      </c>
      <c r="F41" s="103" t="s">
        <v>420</v>
      </c>
      <c r="G41" s="103" t="s">
        <v>212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103" t="s">
        <v>231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B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1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12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12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</row>
    <row r="42" spans="1:289" x14ac:dyDescent="0.35">
      <c r="A42" s="102">
        <v>44409</v>
      </c>
      <c r="B42" s="103" t="s">
        <v>394</v>
      </c>
      <c r="C42" s="104">
        <v>44412</v>
      </c>
      <c r="D42" s="103" t="s">
        <v>287</v>
      </c>
      <c r="E42" s="103" t="s">
        <v>288</v>
      </c>
      <c r="F42" s="103" t="s">
        <v>289</v>
      </c>
      <c r="G42" s="103" t="s">
        <v>209</v>
      </c>
      <c r="H42">
        <v>1</v>
      </c>
      <c r="I42">
        <v>1</v>
      </c>
      <c r="J42">
        <v>9.5833333333333339</v>
      </c>
      <c r="K42">
        <v>9.5833333333333339</v>
      </c>
      <c r="L42">
        <v>0</v>
      </c>
      <c r="M42">
        <v>0</v>
      </c>
      <c r="N42">
        <v>0</v>
      </c>
      <c r="O42">
        <v>0</v>
      </c>
      <c r="P42">
        <v>0</v>
      </c>
      <c r="Q42" s="103" t="s">
        <v>231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B42">
        <v>0</v>
      </c>
      <c r="BC42">
        <v>9.5833333333333339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1</v>
      </c>
      <c r="CV42">
        <v>0.86111111111111116</v>
      </c>
      <c r="CW42">
        <v>0.86111111111111116</v>
      </c>
      <c r="CX42">
        <v>0</v>
      </c>
      <c r="CY42">
        <v>0</v>
      </c>
      <c r="CZ42">
        <v>10.333333333333334</v>
      </c>
      <c r="DA42">
        <v>0</v>
      </c>
      <c r="DB42">
        <v>0</v>
      </c>
      <c r="DC42">
        <v>1.6666666666666667</v>
      </c>
      <c r="DD42">
        <v>0</v>
      </c>
      <c r="DE42">
        <v>0</v>
      </c>
      <c r="DF42">
        <v>10.333333333333334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0.15</v>
      </c>
      <c r="DY42">
        <v>0.4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0.11666666666666667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6175</v>
      </c>
      <c r="FA42">
        <v>0</v>
      </c>
      <c r="FB42">
        <v>0</v>
      </c>
      <c r="FC42">
        <v>6175</v>
      </c>
      <c r="FD42">
        <v>0</v>
      </c>
      <c r="FE42">
        <v>6175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597.58064516129025</v>
      </c>
      <c r="FL42">
        <v>0</v>
      </c>
      <c r="FM42">
        <v>0</v>
      </c>
      <c r="FN42">
        <v>400</v>
      </c>
      <c r="FO42">
        <v>0</v>
      </c>
      <c r="FP42">
        <v>0</v>
      </c>
      <c r="FQ42">
        <v>400</v>
      </c>
      <c r="FR42">
        <v>0</v>
      </c>
      <c r="FS42">
        <v>0</v>
      </c>
      <c r="FT42">
        <v>2470000</v>
      </c>
      <c r="FU42">
        <v>0</v>
      </c>
      <c r="FV42">
        <v>0</v>
      </c>
      <c r="FW42">
        <v>2470000</v>
      </c>
      <c r="FX42">
        <v>0</v>
      </c>
      <c r="FY42">
        <v>400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2470000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2</v>
      </c>
      <c r="JO42">
        <v>0</v>
      </c>
      <c r="JP42">
        <v>2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</row>
    <row r="43" spans="1:289" x14ac:dyDescent="0.35">
      <c r="A43" s="102">
        <v>44409</v>
      </c>
      <c r="B43" s="103" t="s">
        <v>394</v>
      </c>
      <c r="C43" s="104">
        <v>44412</v>
      </c>
      <c r="D43" s="103" t="s">
        <v>964</v>
      </c>
      <c r="E43" s="103" t="s">
        <v>308</v>
      </c>
      <c r="F43" s="103" t="s">
        <v>309</v>
      </c>
      <c r="G43" s="103" t="s">
        <v>209</v>
      </c>
      <c r="H43">
        <v>1</v>
      </c>
      <c r="I43">
        <v>1</v>
      </c>
      <c r="J43">
        <v>9.5</v>
      </c>
      <c r="K43">
        <v>9.5</v>
      </c>
      <c r="L43">
        <v>0</v>
      </c>
      <c r="M43">
        <v>0</v>
      </c>
      <c r="N43">
        <v>0</v>
      </c>
      <c r="O43">
        <v>0</v>
      </c>
      <c r="P43">
        <v>0</v>
      </c>
      <c r="Q43" s="103" t="s">
        <v>231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B43">
        <v>0</v>
      </c>
      <c r="BC43">
        <v>9.5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1</v>
      </c>
      <c r="CV43">
        <v>0.87638888888888877</v>
      </c>
      <c r="CW43">
        <v>0.80833333333333324</v>
      </c>
      <c r="CX43">
        <v>0</v>
      </c>
      <c r="CY43">
        <v>6.805555555555555E-2</v>
      </c>
      <c r="CZ43">
        <v>9.6999999999999993</v>
      </c>
      <c r="DA43">
        <v>0</v>
      </c>
      <c r="DB43">
        <v>0.81666666666666665</v>
      </c>
      <c r="DC43">
        <v>1.4833333333333334</v>
      </c>
      <c r="DD43">
        <v>0</v>
      </c>
      <c r="DE43">
        <v>0</v>
      </c>
      <c r="DF43">
        <v>9.6999999999999993</v>
      </c>
      <c r="DG43">
        <v>0</v>
      </c>
      <c r="DH43">
        <v>0</v>
      </c>
      <c r="DI43">
        <v>0</v>
      </c>
      <c r="DJ43">
        <v>0.81666666666666665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0.15</v>
      </c>
      <c r="DY43">
        <v>0.21666666666666667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0.11666666666666667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2250</v>
      </c>
      <c r="FA43">
        <v>0</v>
      </c>
      <c r="FB43">
        <v>0</v>
      </c>
      <c r="FC43">
        <v>2250</v>
      </c>
      <c r="FD43">
        <v>0</v>
      </c>
      <c r="FE43">
        <v>2250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231.95876288659795</v>
      </c>
      <c r="FL43">
        <v>0</v>
      </c>
      <c r="FM43">
        <v>0</v>
      </c>
      <c r="FN43">
        <v>400</v>
      </c>
      <c r="FO43">
        <v>0</v>
      </c>
      <c r="FP43">
        <v>0</v>
      </c>
      <c r="FQ43">
        <v>400</v>
      </c>
      <c r="FR43">
        <v>0</v>
      </c>
      <c r="FS43">
        <v>0</v>
      </c>
      <c r="FT43">
        <v>900000</v>
      </c>
      <c r="FU43">
        <v>0</v>
      </c>
      <c r="FV43">
        <v>0</v>
      </c>
      <c r="FW43">
        <v>900000</v>
      </c>
      <c r="FX43">
        <v>0</v>
      </c>
      <c r="FY43">
        <v>400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900000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</v>
      </c>
      <c r="JL43">
        <v>2</v>
      </c>
      <c r="JM43">
        <v>0</v>
      </c>
      <c r="JN43">
        <v>1</v>
      </c>
      <c r="JO43">
        <v>0</v>
      </c>
      <c r="JP43">
        <v>0</v>
      </c>
      <c r="JQ43">
        <v>0</v>
      </c>
      <c r="JR43">
        <v>2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</row>
    <row r="44" spans="1:289" x14ac:dyDescent="0.35">
      <c r="A44" s="102">
        <v>44409</v>
      </c>
      <c r="B44" s="103" t="s">
        <v>394</v>
      </c>
      <c r="C44" s="104">
        <v>44412</v>
      </c>
      <c r="D44" s="103" t="s">
        <v>324</v>
      </c>
      <c r="E44" s="103" t="s">
        <v>325</v>
      </c>
      <c r="F44" s="103" t="s">
        <v>326</v>
      </c>
      <c r="G44" s="103" t="s">
        <v>209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103" t="s">
        <v>231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B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</v>
      </c>
      <c r="CV44">
        <v>0.8833333333333333</v>
      </c>
      <c r="CW44">
        <v>0.15555555555555553</v>
      </c>
      <c r="CX44">
        <v>0</v>
      </c>
      <c r="CY44">
        <v>0.72777777777777775</v>
      </c>
      <c r="CZ44">
        <v>1.8666666666666667</v>
      </c>
      <c r="DA44">
        <v>0</v>
      </c>
      <c r="DB44">
        <v>8.7333333333333343</v>
      </c>
      <c r="DC44">
        <v>1.4</v>
      </c>
      <c r="DD44">
        <v>0</v>
      </c>
      <c r="DE44">
        <v>0</v>
      </c>
      <c r="DF44">
        <v>1.8666666666666667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</v>
      </c>
      <c r="DS44">
        <v>0</v>
      </c>
      <c r="DT44">
        <v>0</v>
      </c>
      <c r="DU44">
        <v>0</v>
      </c>
      <c r="DV44">
        <v>0</v>
      </c>
      <c r="DW44">
        <v>7</v>
      </c>
      <c r="DX44">
        <v>0.15</v>
      </c>
      <c r="DY44">
        <v>0.13333333333333333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</v>
      </c>
      <c r="EF44">
        <v>0</v>
      </c>
      <c r="EG44">
        <v>0</v>
      </c>
      <c r="EH44">
        <v>0</v>
      </c>
      <c r="EI44">
        <v>0.11666666666666667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12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12</v>
      </c>
      <c r="JZ44">
        <v>0</v>
      </c>
      <c r="KA44">
        <v>0</v>
      </c>
      <c r="KB44">
        <v>0</v>
      </c>
      <c r="KC44">
        <v>0</v>
      </c>
    </row>
    <row r="45" spans="1:289" x14ac:dyDescent="0.35">
      <c r="A45" s="102">
        <v>44409</v>
      </c>
      <c r="B45" s="103" t="s">
        <v>394</v>
      </c>
      <c r="C45" s="104">
        <v>44412</v>
      </c>
      <c r="D45" s="103" t="s">
        <v>340</v>
      </c>
      <c r="E45" s="103" t="s">
        <v>325</v>
      </c>
      <c r="F45" s="103" t="s">
        <v>326</v>
      </c>
      <c r="G45" s="103" t="s">
        <v>209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03" t="s">
        <v>231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B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0.36249999999999999</v>
      </c>
      <c r="CV45">
        <v>0.70881226053639856</v>
      </c>
      <c r="CW45">
        <v>0</v>
      </c>
      <c r="CX45">
        <v>0</v>
      </c>
      <c r="CY45">
        <v>0.70881226053639856</v>
      </c>
      <c r="CZ45">
        <v>0</v>
      </c>
      <c r="DA45">
        <v>0</v>
      </c>
      <c r="DB45">
        <v>3.0833333333333335</v>
      </c>
      <c r="DC45">
        <v>1.2666666666666666</v>
      </c>
      <c r="DD45">
        <v>0</v>
      </c>
      <c r="DE45">
        <v>7.65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3</v>
      </c>
      <c r="DX45">
        <v>0.15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1</v>
      </c>
      <c r="EF45">
        <v>0</v>
      </c>
      <c r="EG45">
        <v>0</v>
      </c>
      <c r="EH45">
        <v>0</v>
      </c>
      <c r="EI45">
        <v>0.11666666666666667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8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</row>
    <row r="46" spans="1:289" x14ac:dyDescent="0.35">
      <c r="A46" s="102">
        <v>44409</v>
      </c>
      <c r="B46" s="103" t="s">
        <v>394</v>
      </c>
      <c r="C46" s="104">
        <v>44412</v>
      </c>
      <c r="D46" s="103" t="s">
        <v>355</v>
      </c>
      <c r="E46" s="103" t="s">
        <v>297</v>
      </c>
      <c r="F46" s="103" t="s">
        <v>356</v>
      </c>
      <c r="G46" s="103" t="s">
        <v>209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103" t="s">
        <v>231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B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0.10555555555555556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1.2666666666666666</v>
      </c>
      <c r="DD46">
        <v>0</v>
      </c>
      <c r="DE46">
        <v>10.733333333333333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0.15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</v>
      </c>
      <c r="EF46">
        <v>0</v>
      </c>
      <c r="EG46">
        <v>0</v>
      </c>
      <c r="EH46">
        <v>0</v>
      </c>
      <c r="EI46">
        <v>0.11666666666666667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11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50</v>
      </c>
      <c r="FA46">
        <v>0</v>
      </c>
      <c r="FB46">
        <v>0</v>
      </c>
      <c r="FC46">
        <v>50</v>
      </c>
      <c r="FD46">
        <v>0</v>
      </c>
      <c r="FE46">
        <v>50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400</v>
      </c>
      <c r="FO46">
        <v>0</v>
      </c>
      <c r="FP46">
        <v>0</v>
      </c>
      <c r="FQ46">
        <v>400</v>
      </c>
      <c r="FR46">
        <v>0</v>
      </c>
      <c r="FS46">
        <v>0</v>
      </c>
      <c r="FT46">
        <v>20000</v>
      </c>
      <c r="FU46">
        <v>0</v>
      </c>
      <c r="FV46">
        <v>0</v>
      </c>
      <c r="FW46">
        <v>20000</v>
      </c>
      <c r="FX46">
        <v>0</v>
      </c>
      <c r="FY46">
        <v>400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20000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</row>
    <row r="47" spans="1:289" x14ac:dyDescent="0.35">
      <c r="A47" s="102">
        <v>44409</v>
      </c>
      <c r="B47" s="103" t="s">
        <v>394</v>
      </c>
      <c r="C47" s="104">
        <v>44412</v>
      </c>
      <c r="D47" s="103" t="s">
        <v>370</v>
      </c>
      <c r="E47" s="103" t="s">
        <v>297</v>
      </c>
      <c r="F47" s="103" t="s">
        <v>356</v>
      </c>
      <c r="G47" s="103" t="s">
        <v>209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103" t="s">
        <v>231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B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1</v>
      </c>
      <c r="CV47">
        <v>0.85</v>
      </c>
      <c r="CW47">
        <v>0.85</v>
      </c>
      <c r="CX47">
        <v>0</v>
      </c>
      <c r="CY47">
        <v>0</v>
      </c>
      <c r="CZ47">
        <v>10.199999999999999</v>
      </c>
      <c r="DA47">
        <v>0</v>
      </c>
      <c r="DB47">
        <v>0</v>
      </c>
      <c r="DC47">
        <v>1.7999999999999998</v>
      </c>
      <c r="DD47">
        <v>0</v>
      </c>
      <c r="DE47">
        <v>0</v>
      </c>
      <c r="DF47">
        <v>10.199999999999999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0.15</v>
      </c>
      <c r="DY47">
        <v>0.13333333333333333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0.4</v>
      </c>
      <c r="EH47">
        <v>0</v>
      </c>
      <c r="EI47">
        <v>0.11666666666666667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2375</v>
      </c>
      <c r="FA47">
        <v>0</v>
      </c>
      <c r="FB47">
        <v>0</v>
      </c>
      <c r="FC47">
        <v>2375</v>
      </c>
      <c r="FD47">
        <v>0</v>
      </c>
      <c r="FE47">
        <v>2375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232.84313725490199</v>
      </c>
      <c r="FL47">
        <v>0</v>
      </c>
      <c r="FM47">
        <v>0</v>
      </c>
      <c r="FN47">
        <v>400</v>
      </c>
      <c r="FO47">
        <v>0</v>
      </c>
      <c r="FP47">
        <v>0</v>
      </c>
      <c r="FQ47">
        <v>400</v>
      </c>
      <c r="FR47">
        <v>0</v>
      </c>
      <c r="FS47">
        <v>0</v>
      </c>
      <c r="FT47">
        <v>950000</v>
      </c>
      <c r="FU47">
        <v>0</v>
      </c>
      <c r="FV47">
        <v>0</v>
      </c>
      <c r="FW47">
        <v>950000</v>
      </c>
      <c r="FX47">
        <v>0</v>
      </c>
      <c r="FY47">
        <v>400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950000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</row>
    <row r="48" spans="1:289" x14ac:dyDescent="0.35">
      <c r="A48" s="102">
        <v>44409</v>
      </c>
      <c r="B48" s="103" t="s">
        <v>394</v>
      </c>
      <c r="C48" s="104">
        <v>44412</v>
      </c>
      <c r="D48" s="103" t="s">
        <v>384</v>
      </c>
      <c r="E48" s="103" t="s">
        <v>297</v>
      </c>
      <c r="F48" s="103" t="s">
        <v>356</v>
      </c>
      <c r="G48" s="103" t="s">
        <v>209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103" t="s">
        <v>231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B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1</v>
      </c>
      <c r="CV48">
        <v>0.8833333333333333</v>
      </c>
      <c r="CW48">
        <v>0.8833333333333333</v>
      </c>
      <c r="CX48">
        <v>0</v>
      </c>
      <c r="CY48">
        <v>0</v>
      </c>
      <c r="CZ48">
        <v>10.6</v>
      </c>
      <c r="DA48">
        <v>0</v>
      </c>
      <c r="DB48">
        <v>0</v>
      </c>
      <c r="DC48">
        <v>1.4</v>
      </c>
      <c r="DD48">
        <v>0</v>
      </c>
      <c r="DE48">
        <v>0</v>
      </c>
      <c r="DF48">
        <v>10.6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0.15</v>
      </c>
      <c r="DY48">
        <v>0.13333333333333333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1</v>
      </c>
      <c r="EF48">
        <v>0</v>
      </c>
      <c r="EG48">
        <v>0</v>
      </c>
      <c r="EH48">
        <v>0</v>
      </c>
      <c r="EI48">
        <v>0.11666666666666667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2250</v>
      </c>
      <c r="FA48">
        <v>0</v>
      </c>
      <c r="FB48">
        <v>0</v>
      </c>
      <c r="FC48">
        <v>2250</v>
      </c>
      <c r="FD48">
        <v>0</v>
      </c>
      <c r="FE48">
        <v>2250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212.26415094339623</v>
      </c>
      <c r="FL48">
        <v>0</v>
      </c>
      <c r="FM48">
        <v>0</v>
      </c>
      <c r="FN48">
        <v>400</v>
      </c>
      <c r="FO48">
        <v>0</v>
      </c>
      <c r="FP48">
        <v>0</v>
      </c>
      <c r="FQ48">
        <v>400</v>
      </c>
      <c r="FR48">
        <v>0</v>
      </c>
      <c r="FS48">
        <v>0</v>
      </c>
      <c r="FT48">
        <v>900000</v>
      </c>
      <c r="FU48">
        <v>0</v>
      </c>
      <c r="FV48">
        <v>0</v>
      </c>
      <c r="FW48">
        <v>900000</v>
      </c>
      <c r="FX48">
        <v>0</v>
      </c>
      <c r="FY48">
        <v>400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900000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</row>
    <row r="49" spans="1:289" x14ac:dyDescent="0.35">
      <c r="A49" s="102">
        <v>44409</v>
      </c>
      <c r="B49" s="103" t="s">
        <v>394</v>
      </c>
      <c r="C49" s="104">
        <v>44412</v>
      </c>
      <c r="D49" s="103" t="s">
        <v>399</v>
      </c>
      <c r="E49" s="103" t="s">
        <v>297</v>
      </c>
      <c r="F49" s="103" t="s">
        <v>356</v>
      </c>
      <c r="G49" s="103" t="s">
        <v>209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03" t="s">
        <v>231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B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0.8833333333333333</v>
      </c>
      <c r="CW49">
        <v>0.8833333333333333</v>
      </c>
      <c r="CX49">
        <v>0</v>
      </c>
      <c r="CY49">
        <v>0</v>
      </c>
      <c r="CZ49">
        <v>10.6</v>
      </c>
      <c r="DA49">
        <v>0</v>
      </c>
      <c r="DB49">
        <v>0</v>
      </c>
      <c r="DC49">
        <v>1.4</v>
      </c>
      <c r="DD49">
        <v>0</v>
      </c>
      <c r="DE49">
        <v>0</v>
      </c>
      <c r="DF49">
        <v>10.6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0.15</v>
      </c>
      <c r="DY49">
        <v>0.13333333333333333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0</v>
      </c>
      <c r="EI49">
        <v>0.11666666666666667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2325</v>
      </c>
      <c r="FA49">
        <v>0</v>
      </c>
      <c r="FB49">
        <v>0</v>
      </c>
      <c r="FC49">
        <v>2325</v>
      </c>
      <c r="FD49">
        <v>0</v>
      </c>
      <c r="FE49">
        <v>2325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219.33962264150944</v>
      </c>
      <c r="FL49">
        <v>0</v>
      </c>
      <c r="FM49">
        <v>0</v>
      </c>
      <c r="FN49">
        <v>400</v>
      </c>
      <c r="FO49">
        <v>0</v>
      </c>
      <c r="FP49">
        <v>0</v>
      </c>
      <c r="FQ49">
        <v>400</v>
      </c>
      <c r="FR49">
        <v>0</v>
      </c>
      <c r="FS49">
        <v>0</v>
      </c>
      <c r="FT49">
        <v>930000</v>
      </c>
      <c r="FU49">
        <v>0</v>
      </c>
      <c r="FV49">
        <v>0</v>
      </c>
      <c r="FW49">
        <v>930000</v>
      </c>
      <c r="FX49">
        <v>0</v>
      </c>
      <c r="FY49">
        <v>400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930000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</row>
    <row r="50" spans="1:289" x14ac:dyDescent="0.35">
      <c r="A50" s="102">
        <v>44409</v>
      </c>
      <c r="B50" s="103" t="s">
        <v>394</v>
      </c>
      <c r="C50" s="104">
        <v>44412</v>
      </c>
      <c r="D50" s="103" t="s">
        <v>408</v>
      </c>
      <c r="E50" s="103" t="s">
        <v>297</v>
      </c>
      <c r="F50" s="103" t="s">
        <v>356</v>
      </c>
      <c r="G50" s="103" t="s">
        <v>209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103" t="s">
        <v>231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B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0.75</v>
      </c>
      <c r="CV50">
        <v>0.8</v>
      </c>
      <c r="CW50">
        <v>0.8</v>
      </c>
      <c r="CX50">
        <v>0</v>
      </c>
      <c r="CY50">
        <v>0</v>
      </c>
      <c r="CZ50">
        <v>7.2</v>
      </c>
      <c r="DA50">
        <v>0</v>
      </c>
      <c r="DB50">
        <v>0</v>
      </c>
      <c r="DC50">
        <v>1.7999999999999998</v>
      </c>
      <c r="DD50">
        <v>0</v>
      </c>
      <c r="DE50">
        <v>3</v>
      </c>
      <c r="DF50">
        <v>7.2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0.15</v>
      </c>
      <c r="DY50">
        <v>0.13333333333333333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1</v>
      </c>
      <c r="EF50">
        <v>0</v>
      </c>
      <c r="EG50">
        <v>0.4</v>
      </c>
      <c r="EH50">
        <v>0</v>
      </c>
      <c r="EI50">
        <v>0.11666666666666667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3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1425</v>
      </c>
      <c r="FA50">
        <v>0</v>
      </c>
      <c r="FB50">
        <v>0</v>
      </c>
      <c r="FC50">
        <v>1425</v>
      </c>
      <c r="FD50">
        <v>0</v>
      </c>
      <c r="FE50">
        <v>1425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197.91666666666666</v>
      </c>
      <c r="FL50">
        <v>0</v>
      </c>
      <c r="FM50">
        <v>0</v>
      </c>
      <c r="FN50">
        <v>400</v>
      </c>
      <c r="FO50">
        <v>0</v>
      </c>
      <c r="FP50">
        <v>0</v>
      </c>
      <c r="FQ50">
        <v>400</v>
      </c>
      <c r="FR50">
        <v>0</v>
      </c>
      <c r="FS50">
        <v>0</v>
      </c>
      <c r="FT50">
        <v>570000</v>
      </c>
      <c r="FU50">
        <v>0</v>
      </c>
      <c r="FV50">
        <v>0</v>
      </c>
      <c r="FW50">
        <v>570000</v>
      </c>
      <c r="FX50">
        <v>0</v>
      </c>
      <c r="FY50">
        <v>400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570000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</row>
    <row r="51" spans="1:289" x14ac:dyDescent="0.35">
      <c r="A51" s="102">
        <v>44409</v>
      </c>
      <c r="B51" s="103" t="s">
        <v>394</v>
      </c>
      <c r="C51" s="104">
        <v>44412</v>
      </c>
      <c r="D51" s="103" t="s">
        <v>418</v>
      </c>
      <c r="E51" s="103" t="s">
        <v>419</v>
      </c>
      <c r="F51" s="103" t="s">
        <v>420</v>
      </c>
      <c r="G51" s="103" t="s">
        <v>209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03" t="s">
        <v>231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B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1</v>
      </c>
      <c r="CV51">
        <v>0.87272727272727268</v>
      </c>
      <c r="CW51">
        <v>0</v>
      </c>
      <c r="CX51">
        <v>0</v>
      </c>
      <c r="CY51">
        <v>0.87272727272727268</v>
      </c>
      <c r="CZ51">
        <v>0</v>
      </c>
      <c r="DA51">
        <v>0</v>
      </c>
      <c r="DB51">
        <v>9.6</v>
      </c>
      <c r="DC51">
        <v>1.4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10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0.15</v>
      </c>
      <c r="DY51">
        <v>0.13333333333333333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</v>
      </c>
      <c r="EF51">
        <v>0</v>
      </c>
      <c r="EG51">
        <v>0</v>
      </c>
      <c r="EH51">
        <v>0</v>
      </c>
      <c r="EI51">
        <v>0.11666666666666667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</row>
    <row r="52" spans="1:289" x14ac:dyDescent="0.35">
      <c r="A52" s="102">
        <v>44409</v>
      </c>
      <c r="B52" s="103" t="s">
        <v>394</v>
      </c>
      <c r="C52" s="104">
        <v>44412</v>
      </c>
      <c r="D52" s="103" t="s">
        <v>287</v>
      </c>
      <c r="E52" s="103" t="s">
        <v>288</v>
      </c>
      <c r="F52" s="103" t="s">
        <v>289</v>
      </c>
      <c r="G52" s="103" t="s">
        <v>212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103" t="s">
        <v>231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B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1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12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12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</row>
    <row r="53" spans="1:289" x14ac:dyDescent="0.35">
      <c r="A53" s="102">
        <v>44409</v>
      </c>
      <c r="B53" s="103" t="s">
        <v>394</v>
      </c>
      <c r="C53" s="104">
        <v>44412</v>
      </c>
      <c r="D53" s="103" t="s">
        <v>964</v>
      </c>
      <c r="E53" s="103" t="s">
        <v>308</v>
      </c>
      <c r="F53" s="103" t="s">
        <v>309</v>
      </c>
      <c r="G53" s="103" t="s">
        <v>212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03" t="s">
        <v>231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B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1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12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12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</row>
    <row r="54" spans="1:289" x14ac:dyDescent="0.35">
      <c r="A54" s="102">
        <v>44409</v>
      </c>
      <c r="B54" s="103" t="s">
        <v>394</v>
      </c>
      <c r="C54" s="104">
        <v>44412</v>
      </c>
      <c r="D54" s="103" t="s">
        <v>324</v>
      </c>
      <c r="E54" s="103" t="s">
        <v>325</v>
      </c>
      <c r="F54" s="103" t="s">
        <v>326</v>
      </c>
      <c r="G54" s="103" t="s">
        <v>212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03" t="s">
        <v>231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B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1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12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12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</row>
    <row r="55" spans="1:289" x14ac:dyDescent="0.35">
      <c r="A55" s="102">
        <v>44409</v>
      </c>
      <c r="B55" s="103" t="s">
        <v>394</v>
      </c>
      <c r="C55" s="104">
        <v>44412</v>
      </c>
      <c r="D55" s="103" t="s">
        <v>340</v>
      </c>
      <c r="E55" s="103" t="s">
        <v>325</v>
      </c>
      <c r="F55" s="103" t="s">
        <v>326</v>
      </c>
      <c r="G55" s="103" t="s">
        <v>212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03" t="s">
        <v>231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B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12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12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</row>
    <row r="56" spans="1:289" x14ac:dyDescent="0.35">
      <c r="A56" s="102">
        <v>44409</v>
      </c>
      <c r="B56" s="103" t="s">
        <v>394</v>
      </c>
      <c r="C56" s="104">
        <v>44412</v>
      </c>
      <c r="D56" s="103" t="s">
        <v>355</v>
      </c>
      <c r="E56" s="103" t="s">
        <v>297</v>
      </c>
      <c r="F56" s="103" t="s">
        <v>356</v>
      </c>
      <c r="G56" s="103" t="s">
        <v>212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03" t="s">
        <v>231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B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12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12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</row>
    <row r="57" spans="1:289" x14ac:dyDescent="0.35">
      <c r="A57" s="102">
        <v>44409</v>
      </c>
      <c r="B57" s="103" t="s">
        <v>394</v>
      </c>
      <c r="C57" s="104">
        <v>44412</v>
      </c>
      <c r="D57" s="103" t="s">
        <v>370</v>
      </c>
      <c r="E57" s="103" t="s">
        <v>297</v>
      </c>
      <c r="F57" s="103" t="s">
        <v>356</v>
      </c>
      <c r="G57" s="103" t="s">
        <v>212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03" t="s">
        <v>231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B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1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12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12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</row>
    <row r="58" spans="1:289" x14ac:dyDescent="0.35">
      <c r="A58" s="102">
        <v>44409</v>
      </c>
      <c r="B58" s="103" t="s">
        <v>394</v>
      </c>
      <c r="C58" s="104">
        <v>44412</v>
      </c>
      <c r="D58" s="103" t="s">
        <v>384</v>
      </c>
      <c r="E58" s="103" t="s">
        <v>297</v>
      </c>
      <c r="F58" s="103" t="s">
        <v>356</v>
      </c>
      <c r="G58" s="103" t="s">
        <v>212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03" t="s">
        <v>231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B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1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12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12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</row>
    <row r="59" spans="1:289" x14ac:dyDescent="0.35">
      <c r="A59" s="102">
        <v>44409</v>
      </c>
      <c r="B59" s="103" t="s">
        <v>394</v>
      </c>
      <c r="C59" s="104">
        <v>44412</v>
      </c>
      <c r="D59" s="103" t="s">
        <v>399</v>
      </c>
      <c r="E59" s="103" t="s">
        <v>297</v>
      </c>
      <c r="F59" s="103" t="s">
        <v>356</v>
      </c>
      <c r="G59" s="103" t="s">
        <v>212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03" t="s">
        <v>231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B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12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12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</row>
    <row r="60" spans="1:289" x14ac:dyDescent="0.35">
      <c r="A60" s="102">
        <v>44409</v>
      </c>
      <c r="B60" s="103" t="s">
        <v>394</v>
      </c>
      <c r="C60" s="104">
        <v>44412</v>
      </c>
      <c r="D60" s="103" t="s">
        <v>408</v>
      </c>
      <c r="E60" s="103" t="s">
        <v>297</v>
      </c>
      <c r="F60" s="103" t="s">
        <v>356</v>
      </c>
      <c r="G60" s="103" t="s">
        <v>212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103" t="s">
        <v>231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B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1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12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12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</row>
    <row r="61" spans="1:289" x14ac:dyDescent="0.35">
      <c r="A61" s="102">
        <v>44409</v>
      </c>
      <c r="B61" s="103" t="s">
        <v>394</v>
      </c>
      <c r="C61" s="104">
        <v>44412</v>
      </c>
      <c r="D61" s="103" t="s">
        <v>418</v>
      </c>
      <c r="E61" s="103" t="s">
        <v>419</v>
      </c>
      <c r="F61" s="103" t="s">
        <v>420</v>
      </c>
      <c r="G61" s="103" t="s">
        <v>212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103" t="s">
        <v>231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B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1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12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12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</row>
    <row r="62" spans="1:289" x14ac:dyDescent="0.35">
      <c r="A62" s="102">
        <v>44409</v>
      </c>
      <c r="B62" s="103" t="s">
        <v>394</v>
      </c>
      <c r="C62" s="104">
        <v>44413</v>
      </c>
      <c r="D62" s="103" t="s">
        <v>287</v>
      </c>
      <c r="E62" s="103" t="s">
        <v>288</v>
      </c>
      <c r="F62" s="103" t="s">
        <v>289</v>
      </c>
      <c r="G62" s="103" t="s">
        <v>209</v>
      </c>
      <c r="H62">
        <v>1</v>
      </c>
      <c r="I62">
        <v>1</v>
      </c>
      <c r="J62">
        <v>9.5833333333333339</v>
      </c>
      <c r="K62">
        <v>9.5833333333333339</v>
      </c>
      <c r="L62">
        <v>0</v>
      </c>
      <c r="M62">
        <v>0</v>
      </c>
      <c r="N62">
        <v>0</v>
      </c>
      <c r="O62">
        <v>0</v>
      </c>
      <c r="P62">
        <v>0</v>
      </c>
      <c r="Q62" s="103" t="s">
        <v>231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B62">
        <v>0</v>
      </c>
      <c r="BC62">
        <v>9.5833333333333339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</row>
    <row r="63" spans="1:289" x14ac:dyDescent="0.35">
      <c r="A63" s="102">
        <v>44409</v>
      </c>
      <c r="B63" s="103" t="s">
        <v>394</v>
      </c>
      <c r="C63" s="104">
        <v>44413</v>
      </c>
      <c r="D63" s="103" t="s">
        <v>964</v>
      </c>
      <c r="E63" s="103" t="s">
        <v>308</v>
      </c>
      <c r="F63" s="103" t="s">
        <v>309</v>
      </c>
      <c r="G63" s="103" t="s">
        <v>209</v>
      </c>
      <c r="H63">
        <v>1</v>
      </c>
      <c r="I63">
        <v>1</v>
      </c>
      <c r="J63">
        <v>9.5</v>
      </c>
      <c r="K63">
        <v>9.5</v>
      </c>
      <c r="L63">
        <v>0</v>
      </c>
      <c r="M63">
        <v>0</v>
      </c>
      <c r="N63">
        <v>0</v>
      </c>
      <c r="O63">
        <v>0</v>
      </c>
      <c r="P63">
        <v>0</v>
      </c>
      <c r="Q63" s="103" t="s">
        <v>231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B63">
        <v>0</v>
      </c>
      <c r="BC63">
        <v>9.5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</row>
    <row r="64" spans="1:289" x14ac:dyDescent="0.35">
      <c r="A64" s="102">
        <v>44409</v>
      </c>
      <c r="B64" s="103" t="s">
        <v>394</v>
      </c>
      <c r="C64" s="104">
        <v>44413</v>
      </c>
      <c r="D64" s="103" t="s">
        <v>324</v>
      </c>
      <c r="E64" s="103" t="s">
        <v>325</v>
      </c>
      <c r="F64" s="103" t="s">
        <v>326</v>
      </c>
      <c r="G64" s="103" t="s">
        <v>209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03" t="s">
        <v>231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B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</row>
    <row r="65" spans="1:289" x14ac:dyDescent="0.35">
      <c r="A65" s="102">
        <v>44409</v>
      </c>
      <c r="B65" s="103" t="s">
        <v>394</v>
      </c>
      <c r="C65" s="104">
        <v>44413</v>
      </c>
      <c r="D65" s="103" t="s">
        <v>340</v>
      </c>
      <c r="E65" s="103" t="s">
        <v>325</v>
      </c>
      <c r="F65" s="103" t="s">
        <v>326</v>
      </c>
      <c r="G65" s="103" t="s">
        <v>209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03" t="s">
        <v>231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B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</row>
    <row r="66" spans="1:289" x14ac:dyDescent="0.35">
      <c r="A66" s="102">
        <v>44409</v>
      </c>
      <c r="B66" s="103" t="s">
        <v>394</v>
      </c>
      <c r="C66" s="104">
        <v>44413</v>
      </c>
      <c r="D66" s="103" t="s">
        <v>355</v>
      </c>
      <c r="E66" s="103" t="s">
        <v>297</v>
      </c>
      <c r="F66" s="103" t="s">
        <v>356</v>
      </c>
      <c r="G66" s="103" t="s">
        <v>209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03" t="s">
        <v>231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B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</row>
    <row r="67" spans="1:289" x14ac:dyDescent="0.35">
      <c r="A67" s="102">
        <v>44409</v>
      </c>
      <c r="B67" s="103" t="s">
        <v>394</v>
      </c>
      <c r="C67" s="104">
        <v>44413</v>
      </c>
      <c r="D67" s="103" t="s">
        <v>370</v>
      </c>
      <c r="E67" s="103" t="s">
        <v>297</v>
      </c>
      <c r="F67" s="103" t="s">
        <v>356</v>
      </c>
      <c r="G67" s="103" t="s">
        <v>209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03" t="s">
        <v>231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B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</row>
    <row r="68" spans="1:289" x14ac:dyDescent="0.35">
      <c r="A68" s="102">
        <v>44409</v>
      </c>
      <c r="B68" s="103" t="s">
        <v>394</v>
      </c>
      <c r="C68" s="104">
        <v>44413</v>
      </c>
      <c r="D68" s="103" t="s">
        <v>384</v>
      </c>
      <c r="E68" s="103" t="s">
        <v>297</v>
      </c>
      <c r="F68" s="103" t="s">
        <v>356</v>
      </c>
      <c r="G68" s="103" t="s">
        <v>209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03" t="s">
        <v>231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B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</row>
    <row r="69" spans="1:289" x14ac:dyDescent="0.35">
      <c r="A69" s="102">
        <v>44409</v>
      </c>
      <c r="B69" s="103" t="s">
        <v>394</v>
      </c>
      <c r="C69" s="104">
        <v>44413</v>
      </c>
      <c r="D69" s="103" t="s">
        <v>399</v>
      </c>
      <c r="E69" s="103" t="s">
        <v>297</v>
      </c>
      <c r="F69" s="103" t="s">
        <v>356</v>
      </c>
      <c r="G69" s="103" t="s">
        <v>209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03" t="s">
        <v>231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B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</row>
    <row r="70" spans="1:289" x14ac:dyDescent="0.35">
      <c r="A70" s="102">
        <v>44409</v>
      </c>
      <c r="B70" s="103" t="s">
        <v>394</v>
      </c>
      <c r="C70" s="104">
        <v>44413</v>
      </c>
      <c r="D70" s="103" t="s">
        <v>408</v>
      </c>
      <c r="E70" s="103" t="s">
        <v>297</v>
      </c>
      <c r="F70" s="103" t="s">
        <v>356</v>
      </c>
      <c r="G70" s="103" t="s">
        <v>209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03" t="s">
        <v>231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B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</row>
    <row r="71" spans="1:289" x14ac:dyDescent="0.35">
      <c r="A71" s="102">
        <v>44409</v>
      </c>
      <c r="B71" s="103" t="s">
        <v>394</v>
      </c>
      <c r="C71" s="104">
        <v>44413</v>
      </c>
      <c r="D71" s="103" t="s">
        <v>418</v>
      </c>
      <c r="E71" s="103" t="s">
        <v>419</v>
      </c>
      <c r="F71" s="103" t="s">
        <v>420</v>
      </c>
      <c r="G71" s="103" t="s">
        <v>209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103" t="s">
        <v>231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B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</row>
    <row r="72" spans="1:289" x14ac:dyDescent="0.35">
      <c r="A72" s="102">
        <v>44409</v>
      </c>
      <c r="B72" s="103" t="s">
        <v>394</v>
      </c>
      <c r="C72" s="104">
        <v>44413</v>
      </c>
      <c r="D72" s="103" t="s">
        <v>287</v>
      </c>
      <c r="E72" s="103" t="s">
        <v>288</v>
      </c>
      <c r="F72" s="103" t="s">
        <v>289</v>
      </c>
      <c r="G72" s="103" t="s">
        <v>212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103" t="s">
        <v>231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B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</row>
    <row r="73" spans="1:289" x14ac:dyDescent="0.35">
      <c r="A73" s="102">
        <v>44409</v>
      </c>
      <c r="B73" s="103" t="s">
        <v>394</v>
      </c>
      <c r="C73" s="104">
        <v>44413</v>
      </c>
      <c r="D73" s="103" t="s">
        <v>964</v>
      </c>
      <c r="E73" s="103" t="s">
        <v>308</v>
      </c>
      <c r="F73" s="103" t="s">
        <v>309</v>
      </c>
      <c r="G73" s="103" t="s">
        <v>212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103" t="s">
        <v>231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B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</row>
    <row r="74" spans="1:289" x14ac:dyDescent="0.35">
      <c r="A74" s="102">
        <v>44409</v>
      </c>
      <c r="B74" s="103" t="s">
        <v>394</v>
      </c>
      <c r="C74" s="104">
        <v>44413</v>
      </c>
      <c r="D74" s="103" t="s">
        <v>324</v>
      </c>
      <c r="E74" s="103" t="s">
        <v>325</v>
      </c>
      <c r="F74" s="103" t="s">
        <v>326</v>
      </c>
      <c r="G74" s="103" t="s">
        <v>212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03" t="s">
        <v>231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B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</row>
    <row r="75" spans="1:289" x14ac:dyDescent="0.35">
      <c r="A75" s="102">
        <v>44409</v>
      </c>
      <c r="B75" s="103" t="s">
        <v>394</v>
      </c>
      <c r="C75" s="104">
        <v>44413</v>
      </c>
      <c r="D75" s="103" t="s">
        <v>340</v>
      </c>
      <c r="E75" s="103" t="s">
        <v>325</v>
      </c>
      <c r="F75" s="103" t="s">
        <v>326</v>
      </c>
      <c r="G75" s="103" t="s">
        <v>212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03" t="s">
        <v>231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B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</row>
    <row r="76" spans="1:289" x14ac:dyDescent="0.35">
      <c r="A76" s="102">
        <v>44409</v>
      </c>
      <c r="B76" s="103" t="s">
        <v>394</v>
      </c>
      <c r="C76" s="104">
        <v>44413</v>
      </c>
      <c r="D76" s="103" t="s">
        <v>355</v>
      </c>
      <c r="E76" s="103" t="s">
        <v>297</v>
      </c>
      <c r="F76" s="103" t="s">
        <v>356</v>
      </c>
      <c r="G76" s="103" t="s">
        <v>212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03" t="s">
        <v>231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B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</row>
    <row r="77" spans="1:289" x14ac:dyDescent="0.35">
      <c r="A77" s="102">
        <v>44409</v>
      </c>
      <c r="B77" s="103" t="s">
        <v>394</v>
      </c>
      <c r="C77" s="104">
        <v>44413</v>
      </c>
      <c r="D77" s="103" t="s">
        <v>370</v>
      </c>
      <c r="E77" s="103" t="s">
        <v>297</v>
      </c>
      <c r="F77" s="103" t="s">
        <v>356</v>
      </c>
      <c r="G77" s="103" t="s">
        <v>212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103" t="s">
        <v>231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B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</row>
    <row r="78" spans="1:289" x14ac:dyDescent="0.35">
      <c r="A78" s="102">
        <v>44409</v>
      </c>
      <c r="B78" s="103" t="s">
        <v>394</v>
      </c>
      <c r="C78" s="104">
        <v>44413</v>
      </c>
      <c r="D78" s="103" t="s">
        <v>384</v>
      </c>
      <c r="E78" s="103" t="s">
        <v>297</v>
      </c>
      <c r="F78" s="103" t="s">
        <v>356</v>
      </c>
      <c r="G78" s="103" t="s">
        <v>212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103" t="s">
        <v>231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B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</row>
    <row r="79" spans="1:289" x14ac:dyDescent="0.35">
      <c r="A79" s="102">
        <v>44409</v>
      </c>
      <c r="B79" s="103" t="s">
        <v>394</v>
      </c>
      <c r="C79" s="104">
        <v>44413</v>
      </c>
      <c r="D79" s="103" t="s">
        <v>399</v>
      </c>
      <c r="E79" s="103" t="s">
        <v>297</v>
      </c>
      <c r="F79" s="103" t="s">
        <v>356</v>
      </c>
      <c r="G79" s="103" t="s">
        <v>212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03" t="s">
        <v>231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B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</row>
    <row r="80" spans="1:289" x14ac:dyDescent="0.35">
      <c r="A80" s="102">
        <v>44409</v>
      </c>
      <c r="B80" s="103" t="s">
        <v>394</v>
      </c>
      <c r="C80" s="104">
        <v>44413</v>
      </c>
      <c r="D80" s="103" t="s">
        <v>408</v>
      </c>
      <c r="E80" s="103" t="s">
        <v>297</v>
      </c>
      <c r="F80" s="103" t="s">
        <v>356</v>
      </c>
      <c r="G80" s="103" t="s">
        <v>212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03" t="s">
        <v>231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B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</row>
    <row r="81" spans="1:289" x14ac:dyDescent="0.35">
      <c r="A81" s="102">
        <v>44409</v>
      </c>
      <c r="B81" s="103" t="s">
        <v>394</v>
      </c>
      <c r="C81" s="104">
        <v>44413</v>
      </c>
      <c r="D81" s="103" t="s">
        <v>418</v>
      </c>
      <c r="E81" s="103" t="s">
        <v>419</v>
      </c>
      <c r="F81" s="103" t="s">
        <v>420</v>
      </c>
      <c r="G81" s="103" t="s">
        <v>212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03" t="s">
        <v>231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B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</row>
    <row r="82" spans="1:289" x14ac:dyDescent="0.35">
      <c r="A82" s="102">
        <v>44409</v>
      </c>
      <c r="B82" s="103" t="s">
        <v>394</v>
      </c>
      <c r="C82" s="104">
        <v>44414</v>
      </c>
      <c r="D82" s="103" t="s">
        <v>287</v>
      </c>
      <c r="E82" s="103" t="s">
        <v>288</v>
      </c>
      <c r="F82" s="103" t="s">
        <v>289</v>
      </c>
      <c r="G82" s="103" t="s">
        <v>209</v>
      </c>
      <c r="H82">
        <v>1</v>
      </c>
      <c r="I82">
        <v>1</v>
      </c>
      <c r="J82">
        <v>9.5833333333333339</v>
      </c>
      <c r="K82">
        <v>9.5833333333333339</v>
      </c>
      <c r="L82">
        <v>0</v>
      </c>
      <c r="M82">
        <v>0</v>
      </c>
      <c r="N82">
        <v>0</v>
      </c>
      <c r="O82">
        <v>0</v>
      </c>
      <c r="P82">
        <v>0</v>
      </c>
      <c r="Q82" s="103" t="s">
        <v>231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B82">
        <v>0</v>
      </c>
      <c r="BC82">
        <v>9.5833333333333339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</row>
    <row r="83" spans="1:289" x14ac:dyDescent="0.35">
      <c r="A83" s="102">
        <v>44409</v>
      </c>
      <c r="B83" s="103" t="s">
        <v>394</v>
      </c>
      <c r="C83" s="104">
        <v>44414</v>
      </c>
      <c r="D83" s="103" t="s">
        <v>964</v>
      </c>
      <c r="E83" s="103" t="s">
        <v>308</v>
      </c>
      <c r="F83" s="103" t="s">
        <v>309</v>
      </c>
      <c r="G83" s="103" t="s">
        <v>209</v>
      </c>
      <c r="H83">
        <v>1</v>
      </c>
      <c r="I83">
        <v>1</v>
      </c>
      <c r="J83">
        <v>9.5</v>
      </c>
      <c r="K83">
        <v>9.5</v>
      </c>
      <c r="L83">
        <v>0</v>
      </c>
      <c r="M83">
        <v>0</v>
      </c>
      <c r="N83">
        <v>0</v>
      </c>
      <c r="O83">
        <v>0</v>
      </c>
      <c r="P83">
        <v>0</v>
      </c>
      <c r="Q83" s="103" t="s">
        <v>231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B83">
        <v>0</v>
      </c>
      <c r="BC83">
        <v>9.5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</row>
    <row r="84" spans="1:289" x14ac:dyDescent="0.35">
      <c r="A84" s="102">
        <v>44409</v>
      </c>
      <c r="B84" s="103" t="s">
        <v>394</v>
      </c>
      <c r="C84" s="104">
        <v>44414</v>
      </c>
      <c r="D84" s="103" t="s">
        <v>324</v>
      </c>
      <c r="E84" s="103" t="s">
        <v>325</v>
      </c>
      <c r="F84" s="103" t="s">
        <v>326</v>
      </c>
      <c r="G84" s="103" t="s">
        <v>209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03" t="s">
        <v>231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B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</row>
    <row r="85" spans="1:289" x14ac:dyDescent="0.35">
      <c r="A85" s="102">
        <v>44409</v>
      </c>
      <c r="B85" s="103" t="s">
        <v>394</v>
      </c>
      <c r="C85" s="104">
        <v>44414</v>
      </c>
      <c r="D85" s="103" t="s">
        <v>340</v>
      </c>
      <c r="E85" s="103" t="s">
        <v>325</v>
      </c>
      <c r="F85" s="103" t="s">
        <v>326</v>
      </c>
      <c r="G85" s="103" t="s">
        <v>209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03" t="s">
        <v>231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B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</row>
    <row r="86" spans="1:289" x14ac:dyDescent="0.35">
      <c r="A86" s="102">
        <v>44409</v>
      </c>
      <c r="B86" s="103" t="s">
        <v>394</v>
      </c>
      <c r="C86" s="104">
        <v>44414</v>
      </c>
      <c r="D86" s="103" t="s">
        <v>355</v>
      </c>
      <c r="E86" s="103" t="s">
        <v>297</v>
      </c>
      <c r="F86" s="103" t="s">
        <v>356</v>
      </c>
      <c r="G86" s="103" t="s">
        <v>209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03" t="s">
        <v>231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B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</row>
    <row r="87" spans="1:289" x14ac:dyDescent="0.35">
      <c r="A87" s="102">
        <v>44409</v>
      </c>
      <c r="B87" s="103" t="s">
        <v>394</v>
      </c>
      <c r="C87" s="104">
        <v>44414</v>
      </c>
      <c r="D87" s="103" t="s">
        <v>370</v>
      </c>
      <c r="E87" s="103" t="s">
        <v>297</v>
      </c>
      <c r="F87" s="103" t="s">
        <v>356</v>
      </c>
      <c r="G87" s="103" t="s">
        <v>209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103" t="s">
        <v>231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B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</row>
    <row r="88" spans="1:289" x14ac:dyDescent="0.35">
      <c r="A88" s="102">
        <v>44409</v>
      </c>
      <c r="B88" s="103" t="s">
        <v>394</v>
      </c>
      <c r="C88" s="104">
        <v>44414</v>
      </c>
      <c r="D88" s="103" t="s">
        <v>384</v>
      </c>
      <c r="E88" s="103" t="s">
        <v>297</v>
      </c>
      <c r="F88" s="103" t="s">
        <v>356</v>
      </c>
      <c r="G88" s="103" t="s">
        <v>209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03" t="s">
        <v>231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B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</row>
    <row r="89" spans="1:289" x14ac:dyDescent="0.35">
      <c r="A89" s="102">
        <v>44409</v>
      </c>
      <c r="B89" s="103" t="s">
        <v>394</v>
      </c>
      <c r="C89" s="104">
        <v>44414</v>
      </c>
      <c r="D89" s="103" t="s">
        <v>399</v>
      </c>
      <c r="E89" s="103" t="s">
        <v>297</v>
      </c>
      <c r="F89" s="103" t="s">
        <v>356</v>
      </c>
      <c r="G89" s="103" t="s">
        <v>209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03" t="s">
        <v>231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B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</row>
    <row r="90" spans="1:289" x14ac:dyDescent="0.35">
      <c r="A90" s="102">
        <v>44409</v>
      </c>
      <c r="B90" s="103" t="s">
        <v>394</v>
      </c>
      <c r="C90" s="104">
        <v>44414</v>
      </c>
      <c r="D90" s="103" t="s">
        <v>408</v>
      </c>
      <c r="E90" s="103" t="s">
        <v>297</v>
      </c>
      <c r="F90" s="103" t="s">
        <v>356</v>
      </c>
      <c r="G90" s="103" t="s">
        <v>209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03" t="s">
        <v>231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B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</row>
    <row r="91" spans="1:289" x14ac:dyDescent="0.35">
      <c r="A91" s="102">
        <v>44409</v>
      </c>
      <c r="B91" s="103" t="s">
        <v>394</v>
      </c>
      <c r="C91" s="104">
        <v>44414</v>
      </c>
      <c r="D91" s="103" t="s">
        <v>418</v>
      </c>
      <c r="E91" s="103" t="s">
        <v>419</v>
      </c>
      <c r="F91" s="103" t="s">
        <v>420</v>
      </c>
      <c r="G91" s="103" t="s">
        <v>209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103" t="s">
        <v>231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B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</row>
    <row r="92" spans="1:289" x14ac:dyDescent="0.35">
      <c r="A92" s="102">
        <v>44409</v>
      </c>
      <c r="B92" s="103" t="s">
        <v>394</v>
      </c>
      <c r="C92" s="104">
        <v>44414</v>
      </c>
      <c r="D92" s="103" t="s">
        <v>287</v>
      </c>
      <c r="E92" s="103" t="s">
        <v>288</v>
      </c>
      <c r="F92" s="103" t="s">
        <v>289</v>
      </c>
      <c r="G92" s="103" t="s">
        <v>212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03" t="s">
        <v>231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B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</row>
    <row r="93" spans="1:289" x14ac:dyDescent="0.35">
      <c r="A93" s="102">
        <v>44409</v>
      </c>
      <c r="B93" s="103" t="s">
        <v>394</v>
      </c>
      <c r="C93" s="104">
        <v>44414</v>
      </c>
      <c r="D93" s="103" t="s">
        <v>964</v>
      </c>
      <c r="E93" s="103" t="s">
        <v>308</v>
      </c>
      <c r="F93" s="103" t="s">
        <v>309</v>
      </c>
      <c r="G93" s="103" t="s">
        <v>212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03" t="s">
        <v>231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B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</row>
    <row r="94" spans="1:289" x14ac:dyDescent="0.35">
      <c r="A94" s="102">
        <v>44409</v>
      </c>
      <c r="B94" s="103" t="s">
        <v>394</v>
      </c>
      <c r="C94" s="104">
        <v>44414</v>
      </c>
      <c r="D94" s="103" t="s">
        <v>324</v>
      </c>
      <c r="E94" s="103" t="s">
        <v>325</v>
      </c>
      <c r="F94" s="103" t="s">
        <v>326</v>
      </c>
      <c r="G94" s="103" t="s">
        <v>212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03" t="s">
        <v>231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B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</row>
    <row r="95" spans="1:289" x14ac:dyDescent="0.35">
      <c r="A95" s="102">
        <v>44409</v>
      </c>
      <c r="B95" s="103" t="s">
        <v>394</v>
      </c>
      <c r="C95" s="104">
        <v>44414</v>
      </c>
      <c r="D95" s="103" t="s">
        <v>340</v>
      </c>
      <c r="E95" s="103" t="s">
        <v>325</v>
      </c>
      <c r="F95" s="103" t="s">
        <v>326</v>
      </c>
      <c r="G95" s="103" t="s">
        <v>212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03" t="s">
        <v>231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B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</row>
    <row r="96" spans="1:289" x14ac:dyDescent="0.35">
      <c r="A96" s="102">
        <v>44409</v>
      </c>
      <c r="B96" s="103" t="s">
        <v>394</v>
      </c>
      <c r="C96" s="104">
        <v>44414</v>
      </c>
      <c r="D96" s="103" t="s">
        <v>355</v>
      </c>
      <c r="E96" s="103" t="s">
        <v>297</v>
      </c>
      <c r="F96" s="103" t="s">
        <v>356</v>
      </c>
      <c r="G96" s="103" t="s">
        <v>212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103" t="s">
        <v>231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B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</row>
    <row r="97" spans="1:289" x14ac:dyDescent="0.35">
      <c r="A97" s="102">
        <v>44409</v>
      </c>
      <c r="B97" s="103" t="s">
        <v>394</v>
      </c>
      <c r="C97" s="104">
        <v>44414</v>
      </c>
      <c r="D97" s="103" t="s">
        <v>370</v>
      </c>
      <c r="E97" s="103" t="s">
        <v>297</v>
      </c>
      <c r="F97" s="103" t="s">
        <v>356</v>
      </c>
      <c r="G97" s="103" t="s">
        <v>212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103" t="s">
        <v>231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B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</row>
    <row r="98" spans="1:289" x14ac:dyDescent="0.35">
      <c r="A98" s="102">
        <v>44409</v>
      </c>
      <c r="B98" s="103" t="s">
        <v>394</v>
      </c>
      <c r="C98" s="104">
        <v>44414</v>
      </c>
      <c r="D98" s="103" t="s">
        <v>384</v>
      </c>
      <c r="E98" s="103" t="s">
        <v>297</v>
      </c>
      <c r="F98" s="103" t="s">
        <v>356</v>
      </c>
      <c r="G98" s="103" t="s">
        <v>212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103" t="s">
        <v>231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B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</row>
    <row r="99" spans="1:289" x14ac:dyDescent="0.35">
      <c r="A99" s="102">
        <v>44409</v>
      </c>
      <c r="B99" s="103" t="s">
        <v>394</v>
      </c>
      <c r="C99" s="104">
        <v>44414</v>
      </c>
      <c r="D99" s="103" t="s">
        <v>399</v>
      </c>
      <c r="E99" s="103" t="s">
        <v>297</v>
      </c>
      <c r="F99" s="103" t="s">
        <v>356</v>
      </c>
      <c r="G99" s="103" t="s">
        <v>212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03" t="s">
        <v>231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B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</row>
    <row r="100" spans="1:289" x14ac:dyDescent="0.35">
      <c r="A100" s="102">
        <v>44409</v>
      </c>
      <c r="B100" s="103" t="s">
        <v>394</v>
      </c>
      <c r="C100" s="104">
        <v>44414</v>
      </c>
      <c r="D100" s="103" t="s">
        <v>408</v>
      </c>
      <c r="E100" s="103" t="s">
        <v>297</v>
      </c>
      <c r="F100" s="103" t="s">
        <v>356</v>
      </c>
      <c r="G100" s="103" t="s">
        <v>212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03" t="s">
        <v>231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B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</row>
    <row r="101" spans="1:289" x14ac:dyDescent="0.35">
      <c r="A101" s="102">
        <v>44409</v>
      </c>
      <c r="B101" s="103" t="s">
        <v>394</v>
      </c>
      <c r="C101" s="104">
        <v>44414</v>
      </c>
      <c r="D101" s="103" t="s">
        <v>418</v>
      </c>
      <c r="E101" s="103" t="s">
        <v>419</v>
      </c>
      <c r="F101" s="103" t="s">
        <v>420</v>
      </c>
      <c r="G101" s="103" t="s">
        <v>212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03" t="s">
        <v>231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B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</row>
    <row r="102" spans="1:289" x14ac:dyDescent="0.35">
      <c r="A102" s="102">
        <v>44409</v>
      </c>
      <c r="B102" s="103" t="s">
        <v>394</v>
      </c>
      <c r="C102" s="104">
        <v>44415</v>
      </c>
      <c r="D102" s="103" t="s">
        <v>287</v>
      </c>
      <c r="E102" s="103" t="s">
        <v>288</v>
      </c>
      <c r="F102" s="103" t="s">
        <v>289</v>
      </c>
      <c r="G102" s="103" t="s">
        <v>209</v>
      </c>
      <c r="H102">
        <v>1</v>
      </c>
      <c r="I102">
        <v>1</v>
      </c>
      <c r="J102">
        <v>9.5833333333333339</v>
      </c>
      <c r="K102">
        <v>9.5833333333333339</v>
      </c>
      <c r="L102">
        <v>0</v>
      </c>
      <c r="M102">
        <v>0</v>
      </c>
      <c r="N102">
        <v>0</v>
      </c>
      <c r="O102">
        <v>0</v>
      </c>
      <c r="P102">
        <v>0</v>
      </c>
      <c r="Q102" s="103" t="s">
        <v>231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B102">
        <v>0</v>
      </c>
      <c r="BC102">
        <v>9.5833333333333339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</row>
    <row r="103" spans="1:289" x14ac:dyDescent="0.35">
      <c r="A103" s="102">
        <v>44409</v>
      </c>
      <c r="B103" s="103" t="s">
        <v>394</v>
      </c>
      <c r="C103" s="104">
        <v>44415</v>
      </c>
      <c r="D103" s="103" t="s">
        <v>964</v>
      </c>
      <c r="E103" s="103" t="s">
        <v>308</v>
      </c>
      <c r="F103" s="103" t="s">
        <v>309</v>
      </c>
      <c r="G103" s="103" t="s">
        <v>209</v>
      </c>
      <c r="H103">
        <v>1</v>
      </c>
      <c r="I103">
        <v>1</v>
      </c>
      <c r="J103">
        <v>9.5</v>
      </c>
      <c r="K103">
        <v>9.5</v>
      </c>
      <c r="L103">
        <v>0</v>
      </c>
      <c r="M103">
        <v>0</v>
      </c>
      <c r="N103">
        <v>0</v>
      </c>
      <c r="O103">
        <v>0</v>
      </c>
      <c r="P103">
        <v>0</v>
      </c>
      <c r="Q103" s="103" t="s">
        <v>231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B103">
        <v>0</v>
      </c>
      <c r="BC103">
        <v>9.5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</row>
    <row r="104" spans="1:289" x14ac:dyDescent="0.35">
      <c r="A104" s="102">
        <v>44409</v>
      </c>
      <c r="B104" s="103" t="s">
        <v>394</v>
      </c>
      <c r="C104" s="104">
        <v>44415</v>
      </c>
      <c r="D104" s="103" t="s">
        <v>324</v>
      </c>
      <c r="E104" s="103" t="s">
        <v>325</v>
      </c>
      <c r="F104" s="103" t="s">
        <v>326</v>
      </c>
      <c r="G104" s="103" t="s">
        <v>209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03" t="s">
        <v>231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B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</row>
    <row r="105" spans="1:289" x14ac:dyDescent="0.35">
      <c r="A105" s="102">
        <v>44409</v>
      </c>
      <c r="B105" s="103" t="s">
        <v>394</v>
      </c>
      <c r="C105" s="104">
        <v>44415</v>
      </c>
      <c r="D105" s="103" t="s">
        <v>340</v>
      </c>
      <c r="E105" s="103" t="s">
        <v>325</v>
      </c>
      <c r="F105" s="103" t="s">
        <v>326</v>
      </c>
      <c r="G105" s="103" t="s">
        <v>209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03" t="s">
        <v>231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B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</row>
    <row r="106" spans="1:289" x14ac:dyDescent="0.35">
      <c r="A106" s="102">
        <v>44409</v>
      </c>
      <c r="B106" s="103" t="s">
        <v>394</v>
      </c>
      <c r="C106" s="104">
        <v>44415</v>
      </c>
      <c r="D106" s="103" t="s">
        <v>355</v>
      </c>
      <c r="E106" s="103" t="s">
        <v>297</v>
      </c>
      <c r="F106" s="103" t="s">
        <v>356</v>
      </c>
      <c r="G106" s="103" t="s">
        <v>209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03" t="s">
        <v>231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B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</row>
    <row r="107" spans="1:289" x14ac:dyDescent="0.35">
      <c r="A107" s="102">
        <v>44409</v>
      </c>
      <c r="B107" s="103" t="s">
        <v>394</v>
      </c>
      <c r="C107" s="104">
        <v>44415</v>
      </c>
      <c r="D107" s="103" t="s">
        <v>370</v>
      </c>
      <c r="E107" s="103" t="s">
        <v>297</v>
      </c>
      <c r="F107" s="103" t="s">
        <v>356</v>
      </c>
      <c r="G107" s="103" t="s">
        <v>209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03" t="s">
        <v>231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B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</row>
    <row r="108" spans="1:289" x14ac:dyDescent="0.35">
      <c r="A108" s="102">
        <v>44409</v>
      </c>
      <c r="B108" s="103" t="s">
        <v>394</v>
      </c>
      <c r="C108" s="104">
        <v>44415</v>
      </c>
      <c r="D108" s="103" t="s">
        <v>384</v>
      </c>
      <c r="E108" s="103" t="s">
        <v>297</v>
      </c>
      <c r="F108" s="103" t="s">
        <v>356</v>
      </c>
      <c r="G108" s="103" t="s">
        <v>209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03" t="s">
        <v>231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B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</row>
    <row r="109" spans="1:289" x14ac:dyDescent="0.35">
      <c r="A109" s="102">
        <v>44409</v>
      </c>
      <c r="B109" s="103" t="s">
        <v>394</v>
      </c>
      <c r="C109" s="104">
        <v>44415</v>
      </c>
      <c r="D109" s="103" t="s">
        <v>399</v>
      </c>
      <c r="E109" s="103" t="s">
        <v>297</v>
      </c>
      <c r="F109" s="103" t="s">
        <v>356</v>
      </c>
      <c r="G109" s="103" t="s">
        <v>209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03" t="s">
        <v>231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</row>
    <row r="110" spans="1:289" x14ac:dyDescent="0.35">
      <c r="A110" s="102">
        <v>44409</v>
      </c>
      <c r="B110" s="103" t="s">
        <v>394</v>
      </c>
      <c r="C110" s="104">
        <v>44415</v>
      </c>
      <c r="D110" s="103" t="s">
        <v>408</v>
      </c>
      <c r="E110" s="103" t="s">
        <v>297</v>
      </c>
      <c r="F110" s="103" t="s">
        <v>356</v>
      </c>
      <c r="G110" s="103" t="s">
        <v>209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103" t="s">
        <v>231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B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</row>
    <row r="111" spans="1:289" x14ac:dyDescent="0.35">
      <c r="A111" s="102">
        <v>44409</v>
      </c>
      <c r="B111" s="103" t="s">
        <v>394</v>
      </c>
      <c r="C111" s="104">
        <v>44415</v>
      </c>
      <c r="D111" s="103" t="s">
        <v>418</v>
      </c>
      <c r="E111" s="103" t="s">
        <v>419</v>
      </c>
      <c r="F111" s="103" t="s">
        <v>420</v>
      </c>
      <c r="G111" s="103" t="s">
        <v>209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103" t="s">
        <v>231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B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</row>
    <row r="112" spans="1:289" x14ac:dyDescent="0.35">
      <c r="A112" s="102">
        <v>44409</v>
      </c>
      <c r="B112" s="103" t="s">
        <v>394</v>
      </c>
      <c r="C112" s="104">
        <v>44415</v>
      </c>
      <c r="D112" s="103" t="s">
        <v>287</v>
      </c>
      <c r="E112" s="103" t="s">
        <v>288</v>
      </c>
      <c r="F112" s="103" t="s">
        <v>289</v>
      </c>
      <c r="G112" s="103" t="s">
        <v>212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103" t="s">
        <v>231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B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</row>
    <row r="113" spans="1:289" x14ac:dyDescent="0.35">
      <c r="A113" s="102">
        <v>44409</v>
      </c>
      <c r="B113" s="103" t="s">
        <v>394</v>
      </c>
      <c r="C113" s="104">
        <v>44415</v>
      </c>
      <c r="D113" s="103" t="s">
        <v>964</v>
      </c>
      <c r="E113" s="103" t="s">
        <v>308</v>
      </c>
      <c r="F113" s="103" t="s">
        <v>309</v>
      </c>
      <c r="G113" s="103" t="s">
        <v>212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03" t="s">
        <v>231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B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</row>
    <row r="114" spans="1:289" x14ac:dyDescent="0.35">
      <c r="A114" s="102">
        <v>44409</v>
      </c>
      <c r="B114" s="103" t="s">
        <v>394</v>
      </c>
      <c r="C114" s="104">
        <v>44415</v>
      </c>
      <c r="D114" s="103" t="s">
        <v>324</v>
      </c>
      <c r="E114" s="103" t="s">
        <v>325</v>
      </c>
      <c r="F114" s="103" t="s">
        <v>326</v>
      </c>
      <c r="G114" s="103" t="s">
        <v>212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103" t="s">
        <v>231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B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</row>
    <row r="115" spans="1:289" x14ac:dyDescent="0.35">
      <c r="A115" s="102">
        <v>44409</v>
      </c>
      <c r="B115" s="103" t="s">
        <v>394</v>
      </c>
      <c r="C115" s="104">
        <v>44415</v>
      </c>
      <c r="D115" s="103" t="s">
        <v>340</v>
      </c>
      <c r="E115" s="103" t="s">
        <v>325</v>
      </c>
      <c r="F115" s="103" t="s">
        <v>326</v>
      </c>
      <c r="G115" s="103" t="s">
        <v>212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03" t="s">
        <v>231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B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</row>
    <row r="116" spans="1:289" x14ac:dyDescent="0.35">
      <c r="A116" s="102">
        <v>44409</v>
      </c>
      <c r="B116" s="103" t="s">
        <v>394</v>
      </c>
      <c r="C116" s="104">
        <v>44415</v>
      </c>
      <c r="D116" s="103" t="s">
        <v>355</v>
      </c>
      <c r="E116" s="103" t="s">
        <v>297</v>
      </c>
      <c r="F116" s="103" t="s">
        <v>356</v>
      </c>
      <c r="G116" s="103" t="s">
        <v>212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103" t="s">
        <v>231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B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</row>
    <row r="117" spans="1:289" x14ac:dyDescent="0.35">
      <c r="A117" s="102">
        <v>44409</v>
      </c>
      <c r="B117" s="103" t="s">
        <v>394</v>
      </c>
      <c r="C117" s="104">
        <v>44415</v>
      </c>
      <c r="D117" s="103" t="s">
        <v>370</v>
      </c>
      <c r="E117" s="103" t="s">
        <v>297</v>
      </c>
      <c r="F117" s="103" t="s">
        <v>356</v>
      </c>
      <c r="G117" s="103" t="s">
        <v>212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03" t="s">
        <v>231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B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</row>
    <row r="118" spans="1:289" x14ac:dyDescent="0.35">
      <c r="A118" s="102">
        <v>44409</v>
      </c>
      <c r="B118" s="103" t="s">
        <v>394</v>
      </c>
      <c r="C118" s="104">
        <v>44415</v>
      </c>
      <c r="D118" s="103" t="s">
        <v>384</v>
      </c>
      <c r="E118" s="103" t="s">
        <v>297</v>
      </c>
      <c r="F118" s="103" t="s">
        <v>356</v>
      </c>
      <c r="G118" s="103" t="s">
        <v>212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03" t="s">
        <v>231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B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</row>
    <row r="119" spans="1:289" x14ac:dyDescent="0.35">
      <c r="A119" s="102">
        <v>44409</v>
      </c>
      <c r="B119" s="103" t="s">
        <v>394</v>
      </c>
      <c r="C119" s="104">
        <v>44415</v>
      </c>
      <c r="D119" s="103" t="s">
        <v>399</v>
      </c>
      <c r="E119" s="103" t="s">
        <v>297</v>
      </c>
      <c r="F119" s="103" t="s">
        <v>356</v>
      </c>
      <c r="G119" s="103" t="s">
        <v>212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103" t="s">
        <v>231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B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</row>
    <row r="120" spans="1:289" x14ac:dyDescent="0.35">
      <c r="A120" s="102">
        <v>44409</v>
      </c>
      <c r="B120" s="103" t="s">
        <v>394</v>
      </c>
      <c r="C120" s="104">
        <v>44415</v>
      </c>
      <c r="D120" s="103" t="s">
        <v>408</v>
      </c>
      <c r="E120" s="103" t="s">
        <v>297</v>
      </c>
      <c r="F120" s="103" t="s">
        <v>356</v>
      </c>
      <c r="G120" s="103" t="s">
        <v>212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03" t="s">
        <v>231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B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</row>
    <row r="121" spans="1:289" x14ac:dyDescent="0.35">
      <c r="A121" s="102">
        <v>44409</v>
      </c>
      <c r="B121" s="103" t="s">
        <v>394</v>
      </c>
      <c r="C121" s="104">
        <v>44415</v>
      </c>
      <c r="D121" s="103" t="s">
        <v>418</v>
      </c>
      <c r="E121" s="103" t="s">
        <v>419</v>
      </c>
      <c r="F121" s="103" t="s">
        <v>420</v>
      </c>
      <c r="G121" s="103" t="s">
        <v>212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103" t="s">
        <v>231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B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tabColor rgb="FF00B050"/>
  </sheetPr>
  <dimension ref="A1:DT145"/>
  <sheetViews>
    <sheetView workbookViewId="0">
      <selection activeCell="G23" sqref="G23"/>
    </sheetView>
  </sheetViews>
  <sheetFormatPr defaultRowHeight="14.5" x14ac:dyDescent="0.35"/>
  <cols>
    <col min="1" max="2" width="10.54296875" bestFit="1" customWidth="1"/>
    <col min="3" max="3" width="15.7265625" bestFit="1" customWidth="1"/>
    <col min="4" max="4" width="14.81640625" bestFit="1" customWidth="1"/>
    <col min="5" max="5" width="11.26953125" bestFit="1" customWidth="1"/>
    <col min="6" max="6" width="7.1796875" bestFit="1" customWidth="1"/>
    <col min="7" max="7" width="7.54296875" bestFit="1" customWidth="1"/>
    <col min="8" max="8" width="10.7265625" bestFit="1" customWidth="1"/>
    <col min="9" max="9" width="5.7265625" bestFit="1" customWidth="1"/>
    <col min="10" max="11" width="7.453125" bestFit="1" customWidth="1"/>
    <col min="12" max="12" width="5.453125" bestFit="1" customWidth="1"/>
    <col min="13" max="13" width="4.7265625" bestFit="1" customWidth="1"/>
    <col min="14" max="14" width="5.54296875" bestFit="1" customWidth="1"/>
    <col min="15" max="15" width="10.7265625" bestFit="1" customWidth="1"/>
    <col min="16" max="16" width="7.453125" bestFit="1" customWidth="1"/>
    <col min="17" max="17" width="10.7265625" bestFit="1" customWidth="1"/>
    <col min="18" max="18" width="11.7265625" bestFit="1" customWidth="1"/>
    <col min="19" max="19" width="8" bestFit="1" customWidth="1"/>
    <col min="20" max="21" width="10.7265625" bestFit="1" customWidth="1"/>
    <col min="22" max="22" width="8" bestFit="1" customWidth="1"/>
    <col min="23" max="25" width="11.7265625" bestFit="1" customWidth="1"/>
    <col min="26" max="26" width="7.7265625" bestFit="1" customWidth="1"/>
    <col min="27" max="27" width="6.26953125" bestFit="1" customWidth="1"/>
    <col min="28" max="28" width="5.54296875" bestFit="1" customWidth="1"/>
    <col min="29" max="30" width="8.26953125" bestFit="1" customWidth="1"/>
    <col min="31" max="31" width="8" bestFit="1" customWidth="1"/>
    <col min="32" max="32" width="14.26953125" bestFit="1" customWidth="1"/>
    <col min="33" max="33" width="16.7265625" bestFit="1" customWidth="1"/>
    <col min="34" max="34" width="15" bestFit="1" customWidth="1"/>
    <col min="35" max="35" width="12.453125" bestFit="1" customWidth="1"/>
    <col min="36" max="36" width="13.7265625" bestFit="1" customWidth="1"/>
    <col min="37" max="37" width="18" bestFit="1" customWidth="1"/>
    <col min="38" max="38" width="20" bestFit="1" customWidth="1"/>
    <col min="39" max="39" width="16.26953125" bestFit="1" customWidth="1"/>
    <col min="40" max="40" width="18.7265625" bestFit="1" customWidth="1"/>
    <col min="41" max="41" width="19.26953125" bestFit="1" customWidth="1"/>
    <col min="43" max="43" width="11.7265625" bestFit="1" customWidth="1"/>
    <col min="44" max="44" width="26.7265625" bestFit="1" customWidth="1"/>
    <col min="45" max="45" width="15.54296875" bestFit="1" customWidth="1"/>
    <col min="46" max="46" width="26.1796875" bestFit="1" customWidth="1"/>
    <col min="47" max="47" width="17.453125" bestFit="1" customWidth="1"/>
    <col min="48" max="49" width="20.26953125" bestFit="1" customWidth="1"/>
    <col min="50" max="50" width="16.1796875" bestFit="1" customWidth="1"/>
    <col min="51" max="51" width="14.54296875" bestFit="1" customWidth="1"/>
    <col min="52" max="52" width="17" bestFit="1" customWidth="1"/>
    <col min="53" max="53" width="6.54296875" bestFit="1" customWidth="1"/>
    <col min="54" max="54" width="32.26953125" bestFit="1" customWidth="1"/>
    <col min="55" max="55" width="14.26953125" bestFit="1" customWidth="1"/>
    <col min="56" max="56" width="15.453125" bestFit="1" customWidth="1"/>
    <col min="57" max="57" width="23" bestFit="1" customWidth="1"/>
    <col min="58" max="58" width="19.7265625" bestFit="1" customWidth="1"/>
    <col min="59" max="59" width="20.54296875" bestFit="1" customWidth="1"/>
    <col min="60" max="60" width="12.1796875" bestFit="1" customWidth="1"/>
    <col min="61" max="61" width="13" bestFit="1" customWidth="1"/>
    <col min="62" max="62" width="19.54296875" bestFit="1" customWidth="1"/>
    <col min="63" max="63" width="20.54296875" bestFit="1" customWidth="1"/>
    <col min="64" max="64" width="13.7265625" bestFit="1" customWidth="1"/>
    <col min="65" max="65" width="7.81640625" bestFit="1" customWidth="1"/>
    <col min="66" max="66" width="9.81640625" bestFit="1" customWidth="1"/>
    <col min="67" max="67" width="18.54296875" bestFit="1" customWidth="1"/>
    <col min="68" max="68" width="11" bestFit="1" customWidth="1"/>
    <col min="69" max="70" width="9" bestFit="1" customWidth="1"/>
    <col min="71" max="71" width="18" bestFit="1" customWidth="1"/>
    <col min="72" max="72" width="22.81640625" bestFit="1" customWidth="1"/>
    <col min="73" max="73" width="21.81640625" bestFit="1" customWidth="1"/>
    <col min="74" max="74" width="19.7265625" bestFit="1" customWidth="1"/>
    <col min="75" max="75" width="26.7265625" bestFit="1" customWidth="1"/>
    <col min="76" max="76" width="19.1796875" bestFit="1" customWidth="1"/>
    <col min="77" max="77" width="25.7265625" bestFit="1" customWidth="1"/>
    <col min="78" max="78" width="23.7265625" bestFit="1" customWidth="1"/>
    <col min="79" max="79" width="15.7265625" bestFit="1" customWidth="1"/>
    <col min="80" max="80" width="14.1796875" bestFit="1" customWidth="1"/>
    <col min="81" max="81" width="5.81640625" bestFit="1" customWidth="1"/>
    <col min="82" max="82" width="7" bestFit="1" customWidth="1"/>
    <col min="83" max="83" width="9.7265625" bestFit="1" customWidth="1"/>
    <col min="84" max="84" width="8.26953125" bestFit="1" customWidth="1"/>
    <col min="86" max="86" width="10.26953125" bestFit="1" customWidth="1"/>
    <col min="87" max="87" width="12.26953125" bestFit="1" customWidth="1"/>
    <col min="88" max="88" width="13" bestFit="1" customWidth="1"/>
    <col min="89" max="89" width="15.54296875" bestFit="1" customWidth="1"/>
    <col min="90" max="90" width="6.26953125" bestFit="1" customWidth="1"/>
    <col min="91" max="91" width="6.453125" bestFit="1" customWidth="1"/>
    <col min="92" max="92" width="12.26953125" bestFit="1" customWidth="1"/>
    <col min="93" max="93" width="10" bestFit="1" customWidth="1"/>
    <col min="94" max="94" width="10.54296875" bestFit="1" customWidth="1"/>
    <col min="95" max="95" width="11" bestFit="1" customWidth="1"/>
    <col min="96" max="96" width="10.81640625" bestFit="1" customWidth="1"/>
    <col min="97" max="97" width="11.26953125" bestFit="1" customWidth="1"/>
    <col min="98" max="98" width="15.26953125" bestFit="1" customWidth="1"/>
    <col min="99" max="99" width="13.81640625" bestFit="1" customWidth="1"/>
    <col min="100" max="100" width="16.7265625" bestFit="1" customWidth="1"/>
    <col min="101" max="119" width="7.453125" bestFit="1" customWidth="1"/>
    <col min="120" max="121" width="8.453125" bestFit="1" customWidth="1"/>
    <col min="122" max="122" width="17" bestFit="1" customWidth="1"/>
    <col min="123" max="123" width="17.7265625" bestFit="1" customWidth="1"/>
    <col min="124" max="124" width="6.7265625" bestFit="1" customWidth="1"/>
  </cols>
  <sheetData>
    <row r="1" spans="1:124" x14ac:dyDescent="0.3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25</v>
      </c>
      <c r="J1" t="s">
        <v>26</v>
      </c>
      <c r="K1" t="s">
        <v>31</v>
      </c>
      <c r="L1" t="s">
        <v>27</v>
      </c>
      <c r="M1" t="s">
        <v>28</v>
      </c>
      <c r="N1" t="s">
        <v>29</v>
      </c>
      <c r="O1" t="s">
        <v>79</v>
      </c>
      <c r="P1" t="s">
        <v>148</v>
      </c>
      <c r="Q1" t="s">
        <v>76</v>
      </c>
      <c r="R1" t="s">
        <v>96</v>
      </c>
      <c r="S1" t="s">
        <v>149</v>
      </c>
      <c r="T1" t="s">
        <v>77</v>
      </c>
      <c r="U1" t="s">
        <v>78</v>
      </c>
      <c r="V1" t="s">
        <v>150</v>
      </c>
      <c r="W1" t="s">
        <v>84</v>
      </c>
      <c r="X1" t="s">
        <v>85</v>
      </c>
      <c r="Y1" t="s">
        <v>86</v>
      </c>
      <c r="Z1" t="s">
        <v>151</v>
      </c>
      <c r="AA1" t="s">
        <v>3</v>
      </c>
      <c r="AB1" t="s">
        <v>105</v>
      </c>
      <c r="AC1" t="s">
        <v>106</v>
      </c>
      <c r="AD1" t="s">
        <v>107</v>
      </c>
      <c r="AE1" t="s">
        <v>108</v>
      </c>
      <c r="AF1" t="s">
        <v>534</v>
      </c>
      <c r="AG1" t="s">
        <v>535</v>
      </c>
      <c r="AH1" t="s">
        <v>130</v>
      </c>
      <c r="AI1" t="s">
        <v>19</v>
      </c>
      <c r="AJ1" t="s">
        <v>30</v>
      </c>
      <c r="AK1" t="s">
        <v>15</v>
      </c>
      <c r="AL1" t="s">
        <v>16</v>
      </c>
      <c r="AM1" t="s">
        <v>133</v>
      </c>
      <c r="AN1" t="s">
        <v>134</v>
      </c>
      <c r="AO1" t="s">
        <v>143</v>
      </c>
      <c r="AP1" t="s">
        <v>136</v>
      </c>
      <c r="AQ1" t="s">
        <v>137</v>
      </c>
      <c r="AR1" t="s">
        <v>138</v>
      </c>
      <c r="AS1" t="s">
        <v>139</v>
      </c>
      <c r="AT1" t="s">
        <v>140</v>
      </c>
      <c r="AU1" t="s">
        <v>141</v>
      </c>
      <c r="AV1" t="s">
        <v>142</v>
      </c>
      <c r="AW1" t="s">
        <v>144</v>
      </c>
      <c r="AX1" t="s">
        <v>145</v>
      </c>
      <c r="AY1" t="s">
        <v>147</v>
      </c>
      <c r="AZ1" t="s">
        <v>557</v>
      </c>
      <c r="BA1" t="s">
        <v>152</v>
      </c>
      <c r="BB1" t="s">
        <v>153</v>
      </c>
      <c r="BC1" t="s">
        <v>154</v>
      </c>
      <c r="BD1" t="s">
        <v>155</v>
      </c>
      <c r="BE1" t="s">
        <v>156</v>
      </c>
      <c r="BF1" t="s">
        <v>157</v>
      </c>
      <c r="BG1" t="s">
        <v>158</v>
      </c>
      <c r="BH1" t="s">
        <v>159</v>
      </c>
      <c r="BI1" t="s">
        <v>160</v>
      </c>
      <c r="BJ1" t="s">
        <v>161</v>
      </c>
      <c r="BK1" t="s">
        <v>162</v>
      </c>
      <c r="BL1" t="s">
        <v>163</v>
      </c>
      <c r="BM1" t="s">
        <v>164</v>
      </c>
      <c r="BN1" t="s">
        <v>165</v>
      </c>
      <c r="BO1" t="s">
        <v>166</v>
      </c>
      <c r="BP1" t="s">
        <v>167</v>
      </c>
      <c r="BQ1" t="s">
        <v>197</v>
      </c>
      <c r="BR1" t="s">
        <v>198</v>
      </c>
      <c r="BS1" t="s">
        <v>199</v>
      </c>
      <c r="BT1" t="s">
        <v>200</v>
      </c>
      <c r="BU1" t="s">
        <v>201</v>
      </c>
      <c r="BV1" t="s">
        <v>187</v>
      </c>
      <c r="BW1" t="s">
        <v>188</v>
      </c>
      <c r="BX1" t="s">
        <v>189</v>
      </c>
      <c r="BY1" t="s">
        <v>190</v>
      </c>
      <c r="BZ1" t="s">
        <v>191</v>
      </c>
      <c r="CA1" t="s">
        <v>93</v>
      </c>
      <c r="CB1" t="s">
        <v>71</v>
      </c>
      <c r="CC1" t="s">
        <v>72</v>
      </c>
      <c r="CD1" t="s">
        <v>73</v>
      </c>
      <c r="CE1" t="s">
        <v>74</v>
      </c>
      <c r="CF1" t="s">
        <v>35</v>
      </c>
      <c r="CG1" t="s">
        <v>36</v>
      </c>
      <c r="CH1" t="s">
        <v>37</v>
      </c>
      <c r="CI1" t="s">
        <v>38</v>
      </c>
      <c r="CJ1" t="s">
        <v>39</v>
      </c>
      <c r="CK1" t="s">
        <v>97</v>
      </c>
      <c r="CL1" t="s">
        <v>538</v>
      </c>
      <c r="CM1" t="s">
        <v>539</v>
      </c>
      <c r="CN1" t="s">
        <v>537</v>
      </c>
      <c r="CO1" t="s">
        <v>41</v>
      </c>
      <c r="CP1" t="s">
        <v>46</v>
      </c>
      <c r="CQ1" t="s">
        <v>42</v>
      </c>
      <c r="CR1" t="s">
        <v>43</v>
      </c>
      <c r="CS1" t="s">
        <v>44</v>
      </c>
      <c r="CT1" t="s">
        <v>45</v>
      </c>
      <c r="CU1" t="s">
        <v>842</v>
      </c>
      <c r="CV1" t="s">
        <v>98</v>
      </c>
      <c r="CW1" t="s">
        <v>49</v>
      </c>
      <c r="CX1" t="s">
        <v>50</v>
      </c>
      <c r="CY1" t="s">
        <v>51</v>
      </c>
      <c r="CZ1" t="s">
        <v>52</v>
      </c>
      <c r="DA1" t="s">
        <v>53</v>
      </c>
      <c r="DB1" t="s">
        <v>54</v>
      </c>
      <c r="DC1" t="s">
        <v>55</v>
      </c>
      <c r="DD1" t="s">
        <v>56</v>
      </c>
      <c r="DE1" t="s">
        <v>57</v>
      </c>
      <c r="DF1" t="s">
        <v>58</v>
      </c>
      <c r="DG1" t="s">
        <v>59</v>
      </c>
      <c r="DH1" t="s">
        <v>60</v>
      </c>
      <c r="DI1" t="s">
        <v>61</v>
      </c>
      <c r="DJ1" t="s">
        <v>62</v>
      </c>
      <c r="DK1" t="s">
        <v>63</v>
      </c>
      <c r="DL1" t="s">
        <v>64</v>
      </c>
      <c r="DM1" t="s">
        <v>65</v>
      </c>
      <c r="DN1" t="s">
        <v>66</v>
      </c>
      <c r="DO1" t="s">
        <v>67</v>
      </c>
      <c r="DP1" t="s">
        <v>169</v>
      </c>
      <c r="DQ1" t="s">
        <v>168</v>
      </c>
      <c r="DR1" t="s">
        <v>94</v>
      </c>
      <c r="DS1" t="s">
        <v>555</v>
      </c>
      <c r="DT1" t="s">
        <v>556</v>
      </c>
    </row>
    <row r="2" spans="1:124" x14ac:dyDescent="0.35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209</v>
      </c>
      <c r="G2" s="103" t="s">
        <v>510</v>
      </c>
      <c r="H2" s="103" t="s">
        <v>281</v>
      </c>
      <c r="I2">
        <v>40</v>
      </c>
      <c r="J2">
        <v>0</v>
      </c>
      <c r="K2">
        <v>3</v>
      </c>
      <c r="L2">
        <v>17</v>
      </c>
      <c r="M2">
        <v>0</v>
      </c>
      <c r="N2">
        <v>0</v>
      </c>
      <c r="O2">
        <v>0</v>
      </c>
      <c r="Q2">
        <v>0</v>
      </c>
      <c r="R2">
        <v>0</v>
      </c>
      <c r="T2">
        <v>0</v>
      </c>
      <c r="U2">
        <v>0</v>
      </c>
      <c r="W2">
        <v>0</v>
      </c>
      <c r="X2">
        <v>0</v>
      </c>
      <c r="Y2">
        <v>0</v>
      </c>
      <c r="AB2" t="s">
        <v>843</v>
      </c>
      <c r="AE2">
        <v>0</v>
      </c>
      <c r="AG2" t="s">
        <v>843</v>
      </c>
      <c r="AI2">
        <v>40</v>
      </c>
      <c r="AK2">
        <v>3</v>
      </c>
      <c r="BA2">
        <v>5</v>
      </c>
      <c r="BK2">
        <v>3</v>
      </c>
      <c r="BL2">
        <v>9</v>
      </c>
      <c r="CB2" s="103"/>
      <c r="CC2" s="103"/>
      <c r="CD2" s="103"/>
      <c r="CE2" s="103"/>
      <c r="CG2">
        <v>0</v>
      </c>
      <c r="CI2">
        <v>0</v>
      </c>
      <c r="CJ2">
        <v>0</v>
      </c>
      <c r="CN2" s="103"/>
      <c r="CP2" s="103"/>
      <c r="CQ2">
        <v>0</v>
      </c>
      <c r="CS2">
        <v>0</v>
      </c>
      <c r="CT2">
        <v>0</v>
      </c>
      <c r="CU2">
        <v>0</v>
      </c>
    </row>
    <row r="3" spans="1:124" x14ac:dyDescent="0.35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209</v>
      </c>
      <c r="G3" s="103" t="s">
        <v>511</v>
      </c>
      <c r="H3" s="103" t="s">
        <v>301</v>
      </c>
      <c r="I3">
        <v>60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Q3">
        <v>0</v>
      </c>
      <c r="R3">
        <v>0</v>
      </c>
      <c r="T3">
        <v>0</v>
      </c>
      <c r="U3">
        <v>0</v>
      </c>
      <c r="W3">
        <v>0</v>
      </c>
      <c r="X3">
        <v>0</v>
      </c>
      <c r="Y3">
        <v>0</v>
      </c>
      <c r="AB3" t="s">
        <v>843</v>
      </c>
      <c r="AE3">
        <v>0</v>
      </c>
      <c r="AG3" t="s">
        <v>843</v>
      </c>
      <c r="AI3">
        <v>60</v>
      </c>
      <c r="CB3" s="103"/>
      <c r="CC3" s="103"/>
      <c r="CD3" s="103"/>
      <c r="CE3" s="103"/>
      <c r="CG3">
        <v>0</v>
      </c>
      <c r="CI3">
        <v>0</v>
      </c>
      <c r="CJ3">
        <v>0</v>
      </c>
      <c r="CN3" s="103"/>
      <c r="CP3" s="103"/>
      <c r="CQ3">
        <v>0</v>
      </c>
      <c r="CS3">
        <v>0</v>
      </c>
      <c r="CT3">
        <v>0</v>
      </c>
      <c r="CU3">
        <v>0</v>
      </c>
    </row>
    <row r="4" spans="1:124" x14ac:dyDescent="0.35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209</v>
      </c>
      <c r="G4" s="103" t="s">
        <v>512</v>
      </c>
      <c r="H4" s="103" t="s">
        <v>317</v>
      </c>
      <c r="I4">
        <v>60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Q4">
        <v>0</v>
      </c>
      <c r="R4">
        <v>0</v>
      </c>
      <c r="T4">
        <v>0</v>
      </c>
      <c r="U4">
        <v>0</v>
      </c>
      <c r="W4">
        <v>0</v>
      </c>
      <c r="X4">
        <v>0</v>
      </c>
      <c r="Y4">
        <v>0</v>
      </c>
      <c r="AB4" t="s">
        <v>843</v>
      </c>
      <c r="AE4">
        <v>0</v>
      </c>
      <c r="AG4" t="s">
        <v>843</v>
      </c>
      <c r="AI4">
        <v>60</v>
      </c>
      <c r="CB4" s="103"/>
      <c r="CC4" s="103"/>
      <c r="CD4" s="103"/>
      <c r="CE4" s="103"/>
      <c r="CG4">
        <v>0</v>
      </c>
      <c r="CI4">
        <v>0</v>
      </c>
      <c r="CJ4">
        <v>0</v>
      </c>
      <c r="CN4" s="103"/>
      <c r="CP4" s="103"/>
      <c r="CQ4">
        <v>0</v>
      </c>
      <c r="CS4">
        <v>0</v>
      </c>
      <c r="CT4">
        <v>0</v>
      </c>
      <c r="CU4">
        <v>0</v>
      </c>
    </row>
    <row r="5" spans="1:124" x14ac:dyDescent="0.35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209</v>
      </c>
      <c r="G5" s="103" t="s">
        <v>513</v>
      </c>
      <c r="H5" s="103" t="s">
        <v>334</v>
      </c>
      <c r="I5">
        <v>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Q5">
        <v>0</v>
      </c>
      <c r="R5">
        <v>0</v>
      </c>
      <c r="T5">
        <v>0</v>
      </c>
      <c r="U5">
        <v>0</v>
      </c>
      <c r="W5">
        <v>0</v>
      </c>
      <c r="X5">
        <v>0</v>
      </c>
      <c r="Y5">
        <v>0</v>
      </c>
      <c r="AB5" t="s">
        <v>843</v>
      </c>
      <c r="AE5">
        <v>0</v>
      </c>
      <c r="AG5" t="s">
        <v>843</v>
      </c>
      <c r="AI5">
        <v>60</v>
      </c>
      <c r="CB5" s="103"/>
      <c r="CC5" s="103"/>
      <c r="CD5" s="103"/>
      <c r="CE5" s="103"/>
      <c r="CG5">
        <v>0</v>
      </c>
      <c r="CI5">
        <v>0</v>
      </c>
      <c r="CJ5">
        <v>0</v>
      </c>
      <c r="CN5" s="103"/>
      <c r="CP5" s="103"/>
      <c r="CQ5">
        <v>0</v>
      </c>
      <c r="CS5">
        <v>0</v>
      </c>
      <c r="CT5">
        <v>0</v>
      </c>
      <c r="CU5">
        <v>0</v>
      </c>
    </row>
    <row r="6" spans="1:124" x14ac:dyDescent="0.35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209</v>
      </c>
      <c r="G6" s="103" t="s">
        <v>514</v>
      </c>
      <c r="H6" s="103" t="s">
        <v>348</v>
      </c>
      <c r="I6">
        <v>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Q6">
        <v>0</v>
      </c>
      <c r="R6">
        <v>0</v>
      </c>
      <c r="T6">
        <v>0</v>
      </c>
      <c r="U6">
        <v>0</v>
      </c>
      <c r="W6">
        <v>0</v>
      </c>
      <c r="X6">
        <v>0</v>
      </c>
      <c r="Y6">
        <v>0</v>
      </c>
      <c r="AB6" t="s">
        <v>843</v>
      </c>
      <c r="AE6">
        <v>0</v>
      </c>
      <c r="AG6" t="s">
        <v>843</v>
      </c>
      <c r="AI6">
        <v>60</v>
      </c>
      <c r="CB6" s="103"/>
      <c r="CC6" s="103"/>
      <c r="CD6" s="103"/>
      <c r="CE6" s="103"/>
      <c r="CG6">
        <v>0</v>
      </c>
      <c r="CI6">
        <v>0</v>
      </c>
      <c r="CJ6">
        <v>0</v>
      </c>
      <c r="CN6" s="103"/>
      <c r="CP6" s="103"/>
      <c r="CQ6">
        <v>0</v>
      </c>
      <c r="CS6">
        <v>0</v>
      </c>
      <c r="CT6">
        <v>0</v>
      </c>
      <c r="CU6">
        <v>0</v>
      </c>
    </row>
    <row r="7" spans="1:124" x14ac:dyDescent="0.35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209</v>
      </c>
      <c r="G7" s="103" t="s">
        <v>515</v>
      </c>
      <c r="H7" s="103" t="s">
        <v>364</v>
      </c>
      <c r="I7">
        <v>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Q7">
        <v>0</v>
      </c>
      <c r="R7">
        <v>0</v>
      </c>
      <c r="T7">
        <v>0</v>
      </c>
      <c r="U7">
        <v>0</v>
      </c>
      <c r="W7">
        <v>0</v>
      </c>
      <c r="X7">
        <v>0</v>
      </c>
      <c r="Y7">
        <v>0</v>
      </c>
      <c r="AB7" t="s">
        <v>843</v>
      </c>
      <c r="AE7">
        <v>0</v>
      </c>
      <c r="AG7" t="s">
        <v>843</v>
      </c>
      <c r="AI7">
        <v>60</v>
      </c>
      <c r="CB7" s="103"/>
      <c r="CC7" s="103"/>
      <c r="CD7" s="103"/>
      <c r="CE7" s="103"/>
      <c r="CG7">
        <v>0</v>
      </c>
      <c r="CI7">
        <v>0</v>
      </c>
      <c r="CJ7">
        <v>0</v>
      </c>
      <c r="CN7" s="103"/>
      <c r="CP7" s="103"/>
      <c r="CQ7">
        <v>0</v>
      </c>
      <c r="CS7">
        <v>0</v>
      </c>
      <c r="CT7">
        <v>0</v>
      </c>
      <c r="CU7">
        <v>0</v>
      </c>
    </row>
    <row r="8" spans="1:124" x14ac:dyDescent="0.35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209</v>
      </c>
      <c r="G8" s="103" t="s">
        <v>516</v>
      </c>
      <c r="H8" s="103" t="s">
        <v>378</v>
      </c>
      <c r="I8">
        <v>0</v>
      </c>
      <c r="J8">
        <v>0</v>
      </c>
      <c r="K8">
        <v>0</v>
      </c>
      <c r="L8">
        <v>60</v>
      </c>
      <c r="M8">
        <v>0</v>
      </c>
      <c r="N8">
        <v>0</v>
      </c>
      <c r="O8">
        <v>0</v>
      </c>
      <c r="Q8">
        <v>0</v>
      </c>
      <c r="R8">
        <v>0</v>
      </c>
      <c r="T8">
        <v>0</v>
      </c>
      <c r="U8">
        <v>0</v>
      </c>
      <c r="W8">
        <v>0</v>
      </c>
      <c r="X8">
        <v>0</v>
      </c>
      <c r="Y8">
        <v>0</v>
      </c>
      <c r="AB8" t="s">
        <v>843</v>
      </c>
      <c r="AE8">
        <v>0</v>
      </c>
      <c r="AG8" t="s">
        <v>843</v>
      </c>
      <c r="BH8">
        <v>60</v>
      </c>
      <c r="CB8" s="103"/>
      <c r="CC8" s="103"/>
      <c r="CD8" s="103"/>
      <c r="CE8" s="103"/>
      <c r="CG8">
        <v>0</v>
      </c>
      <c r="CI8">
        <v>0</v>
      </c>
      <c r="CJ8">
        <v>0</v>
      </c>
      <c r="CN8" s="103"/>
      <c r="CP8" s="103"/>
      <c r="CQ8">
        <v>0</v>
      </c>
      <c r="CS8">
        <v>0</v>
      </c>
      <c r="CT8">
        <v>0</v>
      </c>
      <c r="CU8">
        <v>0</v>
      </c>
    </row>
    <row r="9" spans="1:124" x14ac:dyDescent="0.35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209</v>
      </c>
      <c r="G9" s="103" t="s">
        <v>517</v>
      </c>
      <c r="H9" s="103" t="s">
        <v>392</v>
      </c>
      <c r="I9">
        <v>30</v>
      </c>
      <c r="J9">
        <v>0</v>
      </c>
      <c r="K9">
        <v>0</v>
      </c>
      <c r="L9">
        <v>0</v>
      </c>
      <c r="M9">
        <v>0</v>
      </c>
      <c r="N9">
        <v>30</v>
      </c>
      <c r="O9">
        <v>0</v>
      </c>
      <c r="Q9">
        <v>0</v>
      </c>
      <c r="R9">
        <v>0</v>
      </c>
      <c r="T9">
        <v>0</v>
      </c>
      <c r="U9">
        <v>0</v>
      </c>
      <c r="W9">
        <v>0</v>
      </c>
      <c r="X9">
        <v>0</v>
      </c>
      <c r="Y9">
        <v>0</v>
      </c>
      <c r="AB9" t="s">
        <v>843</v>
      </c>
      <c r="AE9">
        <v>0</v>
      </c>
      <c r="AG9" t="s">
        <v>843</v>
      </c>
      <c r="AI9">
        <v>30</v>
      </c>
      <c r="BV9">
        <v>30</v>
      </c>
      <c r="CB9" s="103"/>
      <c r="CC9" s="103"/>
      <c r="CD9" s="103"/>
      <c r="CE9" s="103"/>
      <c r="CG9">
        <v>0</v>
      </c>
      <c r="CI9">
        <v>0</v>
      </c>
      <c r="CJ9">
        <v>0</v>
      </c>
      <c r="CN9" s="103"/>
      <c r="CP9" s="103"/>
      <c r="CQ9">
        <v>0</v>
      </c>
      <c r="CS9">
        <v>0</v>
      </c>
      <c r="CT9">
        <v>0</v>
      </c>
      <c r="CU9">
        <v>0</v>
      </c>
    </row>
    <row r="10" spans="1:124" x14ac:dyDescent="0.35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209</v>
      </c>
      <c r="G10" s="103" t="s">
        <v>518</v>
      </c>
      <c r="H10" s="103" t="s">
        <v>402</v>
      </c>
      <c r="I10">
        <v>60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Q10">
        <v>0</v>
      </c>
      <c r="R10">
        <v>0</v>
      </c>
      <c r="T10">
        <v>0</v>
      </c>
      <c r="U10">
        <v>0</v>
      </c>
      <c r="W10">
        <v>0</v>
      </c>
      <c r="X10">
        <v>0</v>
      </c>
      <c r="Y10">
        <v>0</v>
      </c>
      <c r="AB10" t="s">
        <v>843</v>
      </c>
      <c r="AE10">
        <v>0</v>
      </c>
      <c r="AG10" t="s">
        <v>843</v>
      </c>
      <c r="AI10">
        <v>60</v>
      </c>
      <c r="CB10" s="103"/>
      <c r="CC10" s="103"/>
      <c r="CD10" s="103"/>
      <c r="CE10" s="103"/>
      <c r="CG10">
        <v>0</v>
      </c>
      <c r="CI10">
        <v>0</v>
      </c>
      <c r="CJ10">
        <v>0</v>
      </c>
      <c r="CN10" s="103"/>
      <c r="CP10" s="103"/>
      <c r="CQ10">
        <v>0</v>
      </c>
      <c r="CS10">
        <v>0</v>
      </c>
      <c r="CT10">
        <v>0</v>
      </c>
      <c r="CU10">
        <v>0</v>
      </c>
    </row>
    <row r="11" spans="1:124" x14ac:dyDescent="0.35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209</v>
      </c>
      <c r="G11" s="103" t="s">
        <v>21</v>
      </c>
      <c r="H11" s="103" t="s">
        <v>412</v>
      </c>
      <c r="I11">
        <v>60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Q11">
        <v>0</v>
      </c>
      <c r="R11">
        <v>0</v>
      </c>
      <c r="T11">
        <v>0</v>
      </c>
      <c r="U11">
        <v>0</v>
      </c>
      <c r="W11">
        <v>0</v>
      </c>
      <c r="X11">
        <v>0</v>
      </c>
      <c r="Y11">
        <v>0</v>
      </c>
      <c r="AB11" t="s">
        <v>843</v>
      </c>
      <c r="AE11">
        <v>0</v>
      </c>
      <c r="AG11" t="s">
        <v>843</v>
      </c>
      <c r="AI11">
        <v>60</v>
      </c>
      <c r="CB11" s="103"/>
      <c r="CC11" s="103"/>
      <c r="CD11" s="103"/>
      <c r="CE11" s="103"/>
      <c r="CG11">
        <v>0</v>
      </c>
      <c r="CI11">
        <v>0</v>
      </c>
      <c r="CJ11">
        <v>0</v>
      </c>
      <c r="CN11" s="103"/>
      <c r="CP11" s="103"/>
      <c r="CQ11">
        <v>0</v>
      </c>
      <c r="CS11">
        <v>0</v>
      </c>
      <c r="CT11">
        <v>0</v>
      </c>
      <c r="CU11">
        <v>0</v>
      </c>
    </row>
    <row r="12" spans="1:124" x14ac:dyDescent="0.35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209</v>
      </c>
      <c r="G12" s="103" t="s">
        <v>22</v>
      </c>
      <c r="H12" s="103" t="s">
        <v>424</v>
      </c>
      <c r="I12">
        <v>60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T12">
        <v>0</v>
      </c>
      <c r="U12">
        <v>0</v>
      </c>
      <c r="W12">
        <v>0</v>
      </c>
      <c r="X12">
        <v>0</v>
      </c>
      <c r="Y12">
        <v>0</v>
      </c>
      <c r="AB12" t="s">
        <v>843</v>
      </c>
      <c r="AE12">
        <v>0</v>
      </c>
      <c r="AG12" t="s">
        <v>843</v>
      </c>
      <c r="AI12">
        <v>60</v>
      </c>
      <c r="CB12" s="103"/>
      <c r="CC12" s="103"/>
      <c r="CD12" s="103"/>
      <c r="CE12" s="103"/>
      <c r="CG12">
        <v>0</v>
      </c>
      <c r="CI12">
        <v>0</v>
      </c>
      <c r="CJ12">
        <v>0</v>
      </c>
      <c r="CN12" s="103"/>
      <c r="CP12" s="103"/>
      <c r="CQ12">
        <v>0</v>
      </c>
      <c r="CS12">
        <v>0</v>
      </c>
      <c r="CT12">
        <v>0</v>
      </c>
      <c r="CU12">
        <v>0</v>
      </c>
    </row>
    <row r="13" spans="1:124" x14ac:dyDescent="0.35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209</v>
      </c>
      <c r="G13" s="103" t="s">
        <v>559</v>
      </c>
      <c r="H13" s="103" t="s">
        <v>437</v>
      </c>
      <c r="I13">
        <v>50</v>
      </c>
      <c r="J13">
        <v>0</v>
      </c>
      <c r="K13">
        <v>3</v>
      </c>
      <c r="L13">
        <v>7</v>
      </c>
      <c r="M13">
        <v>0</v>
      </c>
      <c r="N13">
        <v>0</v>
      </c>
      <c r="O13">
        <v>0</v>
      </c>
      <c r="Q13">
        <v>0</v>
      </c>
      <c r="R13">
        <v>0</v>
      </c>
      <c r="T13">
        <v>0</v>
      </c>
      <c r="U13">
        <v>0</v>
      </c>
      <c r="W13">
        <v>0</v>
      </c>
      <c r="X13">
        <v>0</v>
      </c>
      <c r="Y13">
        <v>0</v>
      </c>
      <c r="AB13" t="s">
        <v>843</v>
      </c>
      <c r="AE13">
        <v>0</v>
      </c>
      <c r="AG13" t="s">
        <v>843</v>
      </c>
      <c r="AI13">
        <v>50</v>
      </c>
      <c r="AK13">
        <v>3</v>
      </c>
      <c r="BL13">
        <v>7</v>
      </c>
      <c r="CB13" s="103"/>
      <c r="CC13" s="103"/>
      <c r="CD13" s="103"/>
      <c r="CE13" s="103"/>
      <c r="CG13">
        <v>0</v>
      </c>
      <c r="CI13">
        <v>0</v>
      </c>
      <c r="CJ13">
        <v>0</v>
      </c>
      <c r="CN13" s="103"/>
      <c r="CP13" s="103"/>
      <c r="CQ13">
        <v>0</v>
      </c>
      <c r="CS13">
        <v>0</v>
      </c>
      <c r="CT13">
        <v>0</v>
      </c>
      <c r="CU13">
        <v>0</v>
      </c>
    </row>
    <row r="14" spans="1:124" x14ac:dyDescent="0.35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212</v>
      </c>
      <c r="G14" s="103" t="s">
        <v>519</v>
      </c>
      <c r="H14" s="103" t="s">
        <v>448</v>
      </c>
      <c r="I14">
        <v>50</v>
      </c>
      <c r="J14">
        <v>0</v>
      </c>
      <c r="K14">
        <v>10</v>
      </c>
      <c r="L14">
        <v>0</v>
      </c>
      <c r="M14">
        <v>0</v>
      </c>
      <c r="N14">
        <v>0</v>
      </c>
      <c r="O14">
        <v>0</v>
      </c>
      <c r="Q14">
        <v>0</v>
      </c>
      <c r="R14">
        <v>0</v>
      </c>
      <c r="T14">
        <v>0</v>
      </c>
      <c r="U14">
        <v>0</v>
      </c>
      <c r="W14">
        <v>1</v>
      </c>
      <c r="X14">
        <v>0</v>
      </c>
      <c r="Y14">
        <v>0</v>
      </c>
      <c r="AB14" t="s">
        <v>843</v>
      </c>
      <c r="AE14">
        <v>0</v>
      </c>
      <c r="AG14" t="s">
        <v>843</v>
      </c>
      <c r="AI14">
        <v>50</v>
      </c>
      <c r="AM14">
        <v>10</v>
      </c>
      <c r="CB14" s="103"/>
      <c r="CC14" s="103"/>
      <c r="CD14" s="103"/>
      <c r="CE14" s="103"/>
      <c r="CG14">
        <v>0</v>
      </c>
      <c r="CI14">
        <v>0</v>
      </c>
      <c r="CJ14">
        <v>0</v>
      </c>
      <c r="CN14" s="103"/>
      <c r="CP14" s="103"/>
      <c r="CQ14">
        <v>0</v>
      </c>
      <c r="CS14">
        <v>0</v>
      </c>
      <c r="CT14">
        <v>0</v>
      </c>
      <c r="CU14">
        <v>0</v>
      </c>
      <c r="DA14">
        <v>1</v>
      </c>
    </row>
    <row r="15" spans="1:124" x14ac:dyDescent="0.35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212</v>
      </c>
      <c r="G15" s="103" t="s">
        <v>520</v>
      </c>
      <c r="H15" s="103" t="s">
        <v>453</v>
      </c>
      <c r="I15">
        <v>60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Q15">
        <v>0</v>
      </c>
      <c r="R15">
        <v>0</v>
      </c>
      <c r="T15">
        <v>0</v>
      </c>
      <c r="U15">
        <v>0</v>
      </c>
      <c r="W15">
        <v>0</v>
      </c>
      <c r="X15">
        <v>0</v>
      </c>
      <c r="Y15">
        <v>0</v>
      </c>
      <c r="AB15" t="s">
        <v>843</v>
      </c>
      <c r="AE15">
        <v>0</v>
      </c>
      <c r="AG15" t="s">
        <v>843</v>
      </c>
      <c r="AI15">
        <v>60</v>
      </c>
      <c r="CB15" s="103"/>
      <c r="CC15" s="103"/>
      <c r="CD15" s="103"/>
      <c r="CE15" s="103"/>
      <c r="CG15">
        <v>0</v>
      </c>
      <c r="CI15">
        <v>0</v>
      </c>
      <c r="CJ15">
        <v>0</v>
      </c>
      <c r="CN15" s="103"/>
      <c r="CP15" s="103"/>
      <c r="CQ15">
        <v>0</v>
      </c>
      <c r="CS15">
        <v>0</v>
      </c>
      <c r="CT15">
        <v>0</v>
      </c>
      <c r="CU15">
        <v>0</v>
      </c>
    </row>
    <row r="16" spans="1:124" x14ac:dyDescent="0.35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212</v>
      </c>
      <c r="G16" s="103" t="s">
        <v>521</v>
      </c>
      <c r="H16" s="103" t="s">
        <v>457</v>
      </c>
      <c r="I16">
        <v>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>
        <v>0</v>
      </c>
      <c r="R16">
        <v>0</v>
      </c>
      <c r="T16">
        <v>0</v>
      </c>
      <c r="U16">
        <v>0</v>
      </c>
      <c r="W16">
        <v>0</v>
      </c>
      <c r="X16">
        <v>0</v>
      </c>
      <c r="Y16">
        <v>0</v>
      </c>
      <c r="AB16" t="s">
        <v>843</v>
      </c>
      <c r="AE16">
        <v>0</v>
      </c>
      <c r="AG16" t="s">
        <v>843</v>
      </c>
      <c r="AI16">
        <v>60</v>
      </c>
      <c r="CB16" s="103"/>
      <c r="CC16" s="103"/>
      <c r="CD16" s="103"/>
      <c r="CE16" s="103"/>
      <c r="CG16">
        <v>0</v>
      </c>
      <c r="CI16">
        <v>0</v>
      </c>
      <c r="CJ16">
        <v>0</v>
      </c>
      <c r="CN16" s="103"/>
      <c r="CP16" s="103"/>
      <c r="CQ16">
        <v>0</v>
      </c>
      <c r="CS16">
        <v>0</v>
      </c>
      <c r="CT16">
        <v>0</v>
      </c>
      <c r="CU16">
        <v>0</v>
      </c>
    </row>
    <row r="17" spans="1:99" x14ac:dyDescent="0.35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212</v>
      </c>
      <c r="G17" s="103" t="s">
        <v>522</v>
      </c>
      <c r="H17" s="103" t="s">
        <v>461</v>
      </c>
      <c r="I17">
        <v>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Q17">
        <v>0</v>
      </c>
      <c r="R17">
        <v>0</v>
      </c>
      <c r="T17">
        <v>0</v>
      </c>
      <c r="U17">
        <v>0</v>
      </c>
      <c r="W17">
        <v>0</v>
      </c>
      <c r="X17">
        <v>0</v>
      </c>
      <c r="Y17">
        <v>0</v>
      </c>
      <c r="AB17" t="s">
        <v>843</v>
      </c>
      <c r="AE17">
        <v>0</v>
      </c>
      <c r="AG17" t="s">
        <v>843</v>
      </c>
      <c r="AI17">
        <v>60</v>
      </c>
      <c r="CB17" s="103"/>
      <c r="CC17" s="103"/>
      <c r="CD17" s="103"/>
      <c r="CE17" s="103"/>
      <c r="CG17">
        <v>0</v>
      </c>
      <c r="CI17">
        <v>0</v>
      </c>
      <c r="CJ17">
        <v>0</v>
      </c>
      <c r="CN17" s="103"/>
      <c r="CP17" s="103"/>
      <c r="CQ17">
        <v>0</v>
      </c>
      <c r="CS17">
        <v>0</v>
      </c>
      <c r="CT17">
        <v>0</v>
      </c>
      <c r="CU17">
        <v>0</v>
      </c>
    </row>
    <row r="18" spans="1:99" x14ac:dyDescent="0.35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212</v>
      </c>
      <c r="G18" s="103" t="s">
        <v>523</v>
      </c>
      <c r="H18" s="103" t="s">
        <v>466</v>
      </c>
      <c r="I18">
        <v>60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Q18">
        <v>0</v>
      </c>
      <c r="R18">
        <v>0</v>
      </c>
      <c r="T18">
        <v>0</v>
      </c>
      <c r="U18">
        <v>0</v>
      </c>
      <c r="W18">
        <v>0</v>
      </c>
      <c r="X18">
        <v>0</v>
      </c>
      <c r="Y18">
        <v>0</v>
      </c>
      <c r="AB18" t="s">
        <v>843</v>
      </c>
      <c r="AE18">
        <v>0</v>
      </c>
      <c r="AG18" t="s">
        <v>843</v>
      </c>
      <c r="AI18">
        <v>60</v>
      </c>
      <c r="CB18" s="103"/>
      <c r="CC18" s="103"/>
      <c r="CD18" s="103"/>
      <c r="CE18" s="103"/>
      <c r="CG18">
        <v>0</v>
      </c>
      <c r="CI18">
        <v>0</v>
      </c>
      <c r="CJ18">
        <v>0</v>
      </c>
      <c r="CN18" s="103"/>
      <c r="CP18" s="103"/>
      <c r="CQ18">
        <v>0</v>
      </c>
      <c r="CS18">
        <v>0</v>
      </c>
      <c r="CT18">
        <v>0</v>
      </c>
      <c r="CU18">
        <v>0</v>
      </c>
    </row>
    <row r="19" spans="1:99" x14ac:dyDescent="0.35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212</v>
      </c>
      <c r="G19" s="103" t="s">
        <v>524</v>
      </c>
      <c r="H19" s="103" t="s">
        <v>469</v>
      </c>
      <c r="I19">
        <v>60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Q19">
        <v>0</v>
      </c>
      <c r="R19">
        <v>0</v>
      </c>
      <c r="T19">
        <v>0</v>
      </c>
      <c r="U19">
        <v>0</v>
      </c>
      <c r="W19">
        <v>0</v>
      </c>
      <c r="X19">
        <v>0</v>
      </c>
      <c r="Y19">
        <v>0</v>
      </c>
      <c r="AB19" t="s">
        <v>843</v>
      </c>
      <c r="AE19">
        <v>0</v>
      </c>
      <c r="AG19" t="s">
        <v>843</v>
      </c>
      <c r="AI19">
        <v>60</v>
      </c>
      <c r="CB19" s="103"/>
      <c r="CC19" s="103"/>
      <c r="CD19" s="103"/>
      <c r="CE19" s="103"/>
      <c r="CG19">
        <v>0</v>
      </c>
      <c r="CI19">
        <v>0</v>
      </c>
      <c r="CJ19">
        <v>0</v>
      </c>
      <c r="CN19" s="103"/>
      <c r="CP19" s="103"/>
      <c r="CQ19">
        <v>0</v>
      </c>
      <c r="CS19">
        <v>0</v>
      </c>
      <c r="CT19">
        <v>0</v>
      </c>
      <c r="CU19">
        <v>0</v>
      </c>
    </row>
    <row r="20" spans="1:99" x14ac:dyDescent="0.35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212</v>
      </c>
      <c r="G20" s="103" t="s">
        <v>525</v>
      </c>
      <c r="H20" s="103" t="s">
        <v>472</v>
      </c>
      <c r="I20">
        <v>0</v>
      </c>
      <c r="J20">
        <v>0</v>
      </c>
      <c r="K20">
        <v>0</v>
      </c>
      <c r="L20">
        <v>60</v>
      </c>
      <c r="M20">
        <v>0</v>
      </c>
      <c r="N20">
        <v>0</v>
      </c>
      <c r="O20">
        <v>0</v>
      </c>
      <c r="Q20">
        <v>0</v>
      </c>
      <c r="R20">
        <v>0</v>
      </c>
      <c r="T20">
        <v>0</v>
      </c>
      <c r="U20">
        <v>0</v>
      </c>
      <c r="W20">
        <v>0</v>
      </c>
      <c r="X20">
        <v>0</v>
      </c>
      <c r="Y20">
        <v>0</v>
      </c>
      <c r="AB20" t="s">
        <v>843</v>
      </c>
      <c r="AE20">
        <v>0</v>
      </c>
      <c r="AG20" t="s">
        <v>843</v>
      </c>
      <c r="BH20">
        <v>60</v>
      </c>
      <c r="CB20" s="103"/>
      <c r="CC20" s="103"/>
      <c r="CD20" s="103"/>
      <c r="CE20" s="103"/>
      <c r="CG20">
        <v>0</v>
      </c>
      <c r="CI20">
        <v>0</v>
      </c>
      <c r="CJ20">
        <v>0</v>
      </c>
      <c r="CN20" s="103"/>
      <c r="CP20" s="103"/>
      <c r="CQ20">
        <v>0</v>
      </c>
      <c r="CS20">
        <v>0</v>
      </c>
      <c r="CT20">
        <v>0</v>
      </c>
      <c r="CU20">
        <v>0</v>
      </c>
    </row>
    <row r="21" spans="1:99" x14ac:dyDescent="0.35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212</v>
      </c>
      <c r="G21" s="103" t="s">
        <v>526</v>
      </c>
      <c r="H21" s="103" t="s">
        <v>478</v>
      </c>
      <c r="I21">
        <v>60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Q21">
        <v>0</v>
      </c>
      <c r="R21">
        <v>0</v>
      </c>
      <c r="T21">
        <v>0</v>
      </c>
      <c r="U21">
        <v>0</v>
      </c>
      <c r="W21">
        <v>0</v>
      </c>
      <c r="X21">
        <v>0</v>
      </c>
      <c r="Y21">
        <v>0</v>
      </c>
      <c r="AB21" t="s">
        <v>843</v>
      </c>
      <c r="AE21">
        <v>0</v>
      </c>
      <c r="AG21" t="s">
        <v>843</v>
      </c>
      <c r="AI21">
        <v>60</v>
      </c>
      <c r="CB21" s="103"/>
      <c r="CC21" s="103"/>
      <c r="CD21" s="103"/>
      <c r="CE21" s="103"/>
      <c r="CG21">
        <v>0</v>
      </c>
      <c r="CI21">
        <v>0</v>
      </c>
      <c r="CJ21">
        <v>0</v>
      </c>
      <c r="CN21" s="103"/>
      <c r="CP21" s="103"/>
      <c r="CQ21">
        <v>0</v>
      </c>
      <c r="CS21">
        <v>0</v>
      </c>
      <c r="CT21">
        <v>0</v>
      </c>
      <c r="CU21">
        <v>0</v>
      </c>
    </row>
    <row r="22" spans="1:99" x14ac:dyDescent="0.35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212</v>
      </c>
      <c r="G22" s="103" t="s">
        <v>527</v>
      </c>
      <c r="H22" s="103" t="s">
        <v>482</v>
      </c>
      <c r="I22">
        <v>60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T22">
        <v>0</v>
      </c>
      <c r="U22">
        <v>0</v>
      </c>
      <c r="W22">
        <v>0</v>
      </c>
      <c r="X22">
        <v>0</v>
      </c>
      <c r="Y22">
        <v>0</v>
      </c>
      <c r="AB22" t="s">
        <v>843</v>
      </c>
      <c r="AE22">
        <v>0</v>
      </c>
      <c r="AG22" t="s">
        <v>843</v>
      </c>
      <c r="AI22">
        <v>60</v>
      </c>
      <c r="CB22" s="103"/>
      <c r="CC22" s="103"/>
      <c r="CD22" s="103"/>
      <c r="CE22" s="103"/>
      <c r="CG22">
        <v>0</v>
      </c>
      <c r="CI22">
        <v>0</v>
      </c>
      <c r="CJ22">
        <v>0</v>
      </c>
      <c r="CN22" s="103"/>
      <c r="CP22" s="103"/>
      <c r="CQ22">
        <v>0</v>
      </c>
      <c r="CS22">
        <v>0</v>
      </c>
      <c r="CT22">
        <v>0</v>
      </c>
      <c r="CU22">
        <v>0</v>
      </c>
    </row>
    <row r="23" spans="1:99" x14ac:dyDescent="0.35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212</v>
      </c>
      <c r="G23" s="103" t="s">
        <v>528</v>
      </c>
      <c r="H23" s="103" t="s">
        <v>487</v>
      </c>
      <c r="I23">
        <v>60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T23">
        <v>0</v>
      </c>
      <c r="U23">
        <v>0</v>
      </c>
      <c r="W23">
        <v>0</v>
      </c>
      <c r="X23">
        <v>0</v>
      </c>
      <c r="Y23">
        <v>0</v>
      </c>
      <c r="AB23" t="s">
        <v>843</v>
      </c>
      <c r="AE23">
        <v>0</v>
      </c>
      <c r="AG23" t="s">
        <v>843</v>
      </c>
      <c r="AI23">
        <v>60</v>
      </c>
      <c r="CB23" s="103"/>
      <c r="CC23" s="103"/>
      <c r="CD23" s="103"/>
      <c r="CE23" s="103"/>
      <c r="CG23">
        <v>0</v>
      </c>
      <c r="CI23">
        <v>0</v>
      </c>
      <c r="CJ23">
        <v>0</v>
      </c>
      <c r="CN23" s="103"/>
      <c r="CP23" s="103"/>
      <c r="CQ23">
        <v>0</v>
      </c>
      <c r="CS23">
        <v>0</v>
      </c>
      <c r="CT23">
        <v>0</v>
      </c>
      <c r="CU23">
        <v>0</v>
      </c>
    </row>
    <row r="24" spans="1:99" x14ac:dyDescent="0.35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212</v>
      </c>
      <c r="G24" s="103" t="s">
        <v>529</v>
      </c>
      <c r="H24" s="103" t="s">
        <v>492</v>
      </c>
      <c r="I24">
        <v>60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T24">
        <v>0</v>
      </c>
      <c r="U24">
        <v>0</v>
      </c>
      <c r="W24">
        <v>0</v>
      </c>
      <c r="X24">
        <v>0</v>
      </c>
      <c r="Y24">
        <v>0</v>
      </c>
      <c r="AB24" t="s">
        <v>843</v>
      </c>
      <c r="AE24">
        <v>0</v>
      </c>
      <c r="AG24" t="s">
        <v>843</v>
      </c>
      <c r="AI24">
        <v>60</v>
      </c>
      <c r="CB24" s="103"/>
      <c r="CC24" s="103"/>
      <c r="CD24" s="103"/>
      <c r="CE24" s="103"/>
      <c r="CG24">
        <v>0</v>
      </c>
      <c r="CI24">
        <v>0</v>
      </c>
      <c r="CJ24">
        <v>0</v>
      </c>
      <c r="CN24" s="103"/>
      <c r="CP24" s="103"/>
      <c r="CQ24">
        <v>0</v>
      </c>
      <c r="CS24">
        <v>0</v>
      </c>
      <c r="CT24">
        <v>0</v>
      </c>
      <c r="CU24">
        <v>0</v>
      </c>
    </row>
    <row r="25" spans="1:99" x14ac:dyDescent="0.35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212</v>
      </c>
      <c r="G25" s="103" t="s">
        <v>530</v>
      </c>
      <c r="H25" s="103" t="s">
        <v>497</v>
      </c>
      <c r="I25">
        <v>60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T25">
        <v>0</v>
      </c>
      <c r="U25">
        <v>0</v>
      </c>
      <c r="W25">
        <v>0</v>
      </c>
      <c r="X25">
        <v>0</v>
      </c>
      <c r="Y25">
        <v>0</v>
      </c>
      <c r="AB25" t="s">
        <v>843</v>
      </c>
      <c r="AE25">
        <v>0</v>
      </c>
      <c r="AG25" t="s">
        <v>843</v>
      </c>
      <c r="AI25">
        <v>60</v>
      </c>
      <c r="CB25" s="103"/>
      <c r="CC25" s="103"/>
      <c r="CD25" s="103"/>
      <c r="CE25" s="103"/>
      <c r="CG25">
        <v>0</v>
      </c>
      <c r="CI25">
        <v>0</v>
      </c>
      <c r="CJ25">
        <v>0</v>
      </c>
      <c r="CN25" s="103"/>
      <c r="CP25" s="103"/>
      <c r="CQ25">
        <v>0</v>
      </c>
      <c r="CS25">
        <v>0</v>
      </c>
      <c r="CT25">
        <v>0</v>
      </c>
      <c r="CU25">
        <v>0</v>
      </c>
    </row>
    <row r="26" spans="1:99" x14ac:dyDescent="0.35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209</v>
      </c>
      <c r="G26" s="103" t="s">
        <v>510</v>
      </c>
      <c r="H26" s="103" t="s">
        <v>281</v>
      </c>
      <c r="I26">
        <v>0</v>
      </c>
      <c r="J26">
        <v>0</v>
      </c>
      <c r="K26">
        <v>60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T26">
        <v>0</v>
      </c>
      <c r="U26">
        <v>0</v>
      </c>
      <c r="W26">
        <v>0</v>
      </c>
      <c r="X26">
        <v>0</v>
      </c>
      <c r="Y26">
        <v>0</v>
      </c>
      <c r="AB26" t="s">
        <v>843</v>
      </c>
      <c r="AE26">
        <v>0</v>
      </c>
      <c r="AG26" t="s">
        <v>843</v>
      </c>
      <c r="AX26">
        <v>30</v>
      </c>
      <c r="AY26">
        <v>30</v>
      </c>
      <c r="CB26" s="103"/>
      <c r="CC26" s="103"/>
      <c r="CD26" s="103"/>
      <c r="CE26" s="103"/>
      <c r="CG26">
        <v>0</v>
      </c>
      <c r="CI26">
        <v>0</v>
      </c>
      <c r="CJ26">
        <v>0</v>
      </c>
      <c r="CN26" s="103"/>
      <c r="CP26" s="103"/>
      <c r="CQ26">
        <v>0</v>
      </c>
      <c r="CS26">
        <v>0</v>
      </c>
      <c r="CT26">
        <v>0</v>
      </c>
      <c r="CU26">
        <v>0</v>
      </c>
    </row>
    <row r="27" spans="1:99" x14ac:dyDescent="0.35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209</v>
      </c>
      <c r="G27" s="103" t="s">
        <v>511</v>
      </c>
      <c r="H27" s="103" t="s">
        <v>301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T27">
        <v>0</v>
      </c>
      <c r="U27">
        <v>0</v>
      </c>
      <c r="W27">
        <v>0</v>
      </c>
      <c r="X27">
        <v>0</v>
      </c>
      <c r="Y27">
        <v>0</v>
      </c>
      <c r="AB27" t="s">
        <v>843</v>
      </c>
      <c r="AE27">
        <v>0</v>
      </c>
      <c r="AG27" t="s">
        <v>843</v>
      </c>
      <c r="AJ27">
        <v>60</v>
      </c>
      <c r="CB27" s="103"/>
      <c r="CC27" s="103"/>
      <c r="CD27" s="103"/>
      <c r="CE27" s="103"/>
      <c r="CG27">
        <v>0</v>
      </c>
      <c r="CI27">
        <v>0</v>
      </c>
      <c r="CJ27">
        <v>0</v>
      </c>
      <c r="CN27" s="103"/>
      <c r="CP27" s="103"/>
      <c r="CQ27">
        <v>0</v>
      </c>
      <c r="CS27">
        <v>0</v>
      </c>
      <c r="CT27">
        <v>0</v>
      </c>
      <c r="CU27">
        <v>0</v>
      </c>
    </row>
    <row r="28" spans="1:99" x14ac:dyDescent="0.35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209</v>
      </c>
      <c r="G28" s="103" t="s">
        <v>512</v>
      </c>
      <c r="H28" s="103" t="s">
        <v>317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T28">
        <v>0</v>
      </c>
      <c r="U28">
        <v>0</v>
      </c>
      <c r="W28">
        <v>0</v>
      </c>
      <c r="X28">
        <v>0</v>
      </c>
      <c r="Y28">
        <v>0</v>
      </c>
      <c r="AB28" t="s">
        <v>843</v>
      </c>
      <c r="AE28">
        <v>0</v>
      </c>
      <c r="AG28" t="s">
        <v>843</v>
      </c>
      <c r="AJ28">
        <v>60</v>
      </c>
      <c r="CB28" s="103"/>
      <c r="CC28" s="103"/>
      <c r="CD28" s="103"/>
      <c r="CE28" s="103"/>
      <c r="CG28">
        <v>0</v>
      </c>
      <c r="CI28">
        <v>0</v>
      </c>
      <c r="CJ28">
        <v>0</v>
      </c>
      <c r="CN28" s="103"/>
      <c r="CP28" s="103"/>
      <c r="CQ28">
        <v>0</v>
      </c>
      <c r="CS28">
        <v>0</v>
      </c>
      <c r="CT28">
        <v>0</v>
      </c>
      <c r="CU28">
        <v>0</v>
      </c>
    </row>
    <row r="29" spans="1:99" x14ac:dyDescent="0.35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209</v>
      </c>
      <c r="G29" s="103" t="s">
        <v>513</v>
      </c>
      <c r="H29" s="103" t="s">
        <v>334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Q29">
        <v>0</v>
      </c>
      <c r="R29">
        <v>0</v>
      </c>
      <c r="T29">
        <v>0</v>
      </c>
      <c r="U29">
        <v>0</v>
      </c>
      <c r="W29">
        <v>0</v>
      </c>
      <c r="X29">
        <v>0</v>
      </c>
      <c r="Y29">
        <v>0</v>
      </c>
      <c r="AB29" t="s">
        <v>843</v>
      </c>
      <c r="AE29">
        <v>0</v>
      </c>
      <c r="AG29" t="s">
        <v>843</v>
      </c>
      <c r="AJ29">
        <v>60</v>
      </c>
      <c r="CB29" s="103"/>
      <c r="CC29" s="103"/>
      <c r="CD29" s="103"/>
      <c r="CE29" s="103"/>
      <c r="CG29">
        <v>0</v>
      </c>
      <c r="CI29">
        <v>0</v>
      </c>
      <c r="CJ29">
        <v>0</v>
      </c>
      <c r="CN29" s="103"/>
      <c r="CP29" s="103"/>
      <c r="CQ29">
        <v>0</v>
      </c>
      <c r="CS29">
        <v>0</v>
      </c>
      <c r="CT29">
        <v>0</v>
      </c>
      <c r="CU29">
        <v>0</v>
      </c>
    </row>
    <row r="30" spans="1:99" x14ac:dyDescent="0.35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209</v>
      </c>
      <c r="G30" s="103" t="s">
        <v>514</v>
      </c>
      <c r="H30" s="103" t="s">
        <v>348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Q30">
        <v>0</v>
      </c>
      <c r="R30">
        <v>0</v>
      </c>
      <c r="T30">
        <v>0</v>
      </c>
      <c r="U30">
        <v>0</v>
      </c>
      <c r="W30">
        <v>0</v>
      </c>
      <c r="X30">
        <v>0</v>
      </c>
      <c r="Y30">
        <v>0</v>
      </c>
      <c r="AB30" t="s">
        <v>843</v>
      </c>
      <c r="AE30">
        <v>0</v>
      </c>
      <c r="AG30" t="s">
        <v>843</v>
      </c>
      <c r="AJ30">
        <v>60</v>
      </c>
      <c r="CB30" s="103"/>
      <c r="CC30" s="103"/>
      <c r="CD30" s="103"/>
      <c r="CE30" s="103"/>
      <c r="CG30">
        <v>0</v>
      </c>
      <c r="CI30">
        <v>0</v>
      </c>
      <c r="CJ30">
        <v>0</v>
      </c>
      <c r="CN30" s="103"/>
      <c r="CP30" s="103"/>
      <c r="CQ30">
        <v>0</v>
      </c>
      <c r="CS30">
        <v>0</v>
      </c>
      <c r="CT30">
        <v>0</v>
      </c>
      <c r="CU30">
        <v>0</v>
      </c>
    </row>
    <row r="31" spans="1:99" x14ac:dyDescent="0.35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209</v>
      </c>
      <c r="G31" s="103" t="s">
        <v>515</v>
      </c>
      <c r="H31" s="103" t="s">
        <v>364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Q31">
        <v>0</v>
      </c>
      <c r="R31">
        <v>0</v>
      </c>
      <c r="T31">
        <v>0</v>
      </c>
      <c r="U31">
        <v>0</v>
      </c>
      <c r="W31">
        <v>0</v>
      </c>
      <c r="X31">
        <v>0</v>
      </c>
      <c r="Y31">
        <v>0</v>
      </c>
      <c r="AB31" t="s">
        <v>843</v>
      </c>
      <c r="AE31">
        <v>0</v>
      </c>
      <c r="AG31" t="s">
        <v>843</v>
      </c>
      <c r="AJ31">
        <v>60</v>
      </c>
      <c r="CB31" s="103"/>
      <c r="CC31" s="103"/>
      <c r="CD31" s="103"/>
      <c r="CE31" s="103"/>
      <c r="CG31">
        <v>0</v>
      </c>
      <c r="CI31">
        <v>0</v>
      </c>
      <c r="CJ31">
        <v>0</v>
      </c>
      <c r="CN31" s="103"/>
      <c r="CP31" s="103"/>
      <c r="CQ31">
        <v>0</v>
      </c>
      <c r="CS31">
        <v>0</v>
      </c>
      <c r="CT31">
        <v>0</v>
      </c>
      <c r="CU31">
        <v>0</v>
      </c>
    </row>
    <row r="32" spans="1:99" x14ac:dyDescent="0.35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209</v>
      </c>
      <c r="G32" s="103" t="s">
        <v>516</v>
      </c>
      <c r="H32" s="103" t="s">
        <v>378</v>
      </c>
      <c r="I32">
        <v>0</v>
      </c>
      <c r="J32">
        <v>0</v>
      </c>
      <c r="K32">
        <v>0</v>
      </c>
      <c r="L32">
        <v>60</v>
      </c>
      <c r="M32">
        <v>0</v>
      </c>
      <c r="N32">
        <v>0</v>
      </c>
      <c r="O32">
        <v>0</v>
      </c>
      <c r="Q32">
        <v>0</v>
      </c>
      <c r="R32">
        <v>0</v>
      </c>
      <c r="T32">
        <v>0</v>
      </c>
      <c r="U32">
        <v>0</v>
      </c>
      <c r="W32">
        <v>0</v>
      </c>
      <c r="X32">
        <v>0</v>
      </c>
      <c r="Y32">
        <v>0</v>
      </c>
      <c r="AB32" t="s">
        <v>843</v>
      </c>
      <c r="AE32">
        <v>0</v>
      </c>
      <c r="AG32" t="s">
        <v>843</v>
      </c>
      <c r="AJ32">
        <v>0</v>
      </c>
      <c r="BH32">
        <v>60</v>
      </c>
      <c r="CB32" s="103"/>
      <c r="CC32" s="103"/>
      <c r="CD32" s="103"/>
      <c r="CE32" s="103"/>
      <c r="CG32">
        <v>0</v>
      </c>
      <c r="CI32">
        <v>0</v>
      </c>
      <c r="CJ32">
        <v>0</v>
      </c>
      <c r="CN32" s="103"/>
      <c r="CP32" s="103"/>
      <c r="CQ32">
        <v>0</v>
      </c>
      <c r="CS32">
        <v>0</v>
      </c>
      <c r="CT32">
        <v>0</v>
      </c>
      <c r="CU32">
        <v>0</v>
      </c>
    </row>
    <row r="33" spans="1:99" x14ac:dyDescent="0.35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209</v>
      </c>
      <c r="G33" s="103" t="s">
        <v>517</v>
      </c>
      <c r="H33" s="103" t="s">
        <v>392</v>
      </c>
      <c r="I33">
        <v>0</v>
      </c>
      <c r="J33">
        <v>40</v>
      </c>
      <c r="K33">
        <v>20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T33">
        <v>0</v>
      </c>
      <c r="U33">
        <v>0</v>
      </c>
      <c r="W33">
        <v>0</v>
      </c>
      <c r="X33">
        <v>0</v>
      </c>
      <c r="Y33">
        <v>0</v>
      </c>
      <c r="AB33" t="s">
        <v>843</v>
      </c>
      <c r="AE33">
        <v>0</v>
      </c>
      <c r="AG33" t="s">
        <v>843</v>
      </c>
      <c r="AJ33">
        <v>40</v>
      </c>
      <c r="AS33">
        <v>20</v>
      </c>
      <c r="CB33" s="103"/>
      <c r="CC33" s="103"/>
      <c r="CD33" s="103"/>
      <c r="CE33" s="103"/>
      <c r="CG33">
        <v>0</v>
      </c>
      <c r="CI33">
        <v>0</v>
      </c>
      <c r="CJ33">
        <v>0</v>
      </c>
      <c r="CN33" s="103"/>
      <c r="CP33" s="103"/>
      <c r="CQ33">
        <v>0</v>
      </c>
      <c r="CS33">
        <v>0</v>
      </c>
      <c r="CT33">
        <v>0</v>
      </c>
      <c r="CU33">
        <v>0</v>
      </c>
    </row>
    <row r="34" spans="1:99" x14ac:dyDescent="0.35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209</v>
      </c>
      <c r="G34" s="103" t="s">
        <v>518</v>
      </c>
      <c r="H34" s="103" t="s">
        <v>402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0</v>
      </c>
      <c r="X34">
        <v>0</v>
      </c>
      <c r="Y34">
        <v>0</v>
      </c>
      <c r="AB34" t="s">
        <v>843</v>
      </c>
      <c r="AE34">
        <v>0</v>
      </c>
      <c r="AG34" t="s">
        <v>843</v>
      </c>
      <c r="AJ34">
        <v>60</v>
      </c>
      <c r="CB34" s="103"/>
      <c r="CC34" s="103"/>
      <c r="CD34" s="103"/>
      <c r="CE34" s="103"/>
      <c r="CG34">
        <v>0</v>
      </c>
      <c r="CI34">
        <v>0</v>
      </c>
      <c r="CJ34">
        <v>0</v>
      </c>
      <c r="CN34" s="103"/>
      <c r="CP34" s="103"/>
      <c r="CQ34">
        <v>0</v>
      </c>
      <c r="CS34">
        <v>0</v>
      </c>
      <c r="CT34">
        <v>0</v>
      </c>
      <c r="CU34">
        <v>0</v>
      </c>
    </row>
    <row r="35" spans="1:99" x14ac:dyDescent="0.35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209</v>
      </c>
      <c r="G35" s="103" t="s">
        <v>21</v>
      </c>
      <c r="H35" s="103" t="s">
        <v>412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T35">
        <v>0</v>
      </c>
      <c r="U35">
        <v>0</v>
      </c>
      <c r="W35">
        <v>0</v>
      </c>
      <c r="X35">
        <v>0</v>
      </c>
      <c r="Y35">
        <v>0</v>
      </c>
      <c r="AB35" t="s">
        <v>843</v>
      </c>
      <c r="AE35">
        <v>0</v>
      </c>
      <c r="AG35" t="s">
        <v>843</v>
      </c>
      <c r="AJ35">
        <v>60</v>
      </c>
      <c r="CB35" s="103"/>
      <c r="CC35" s="103"/>
      <c r="CD35" s="103"/>
      <c r="CE35" s="103"/>
      <c r="CG35">
        <v>0</v>
      </c>
      <c r="CI35">
        <v>0</v>
      </c>
      <c r="CJ35">
        <v>0</v>
      </c>
      <c r="CN35" s="103"/>
      <c r="CP35" s="103"/>
      <c r="CQ35">
        <v>0</v>
      </c>
      <c r="CS35">
        <v>0</v>
      </c>
      <c r="CT35">
        <v>0</v>
      </c>
      <c r="CU35">
        <v>0</v>
      </c>
    </row>
    <row r="36" spans="1:99" x14ac:dyDescent="0.35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209</v>
      </c>
      <c r="G36" s="103" t="s">
        <v>22</v>
      </c>
      <c r="H36" s="103" t="s">
        <v>424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T36">
        <v>0</v>
      </c>
      <c r="U36">
        <v>0</v>
      </c>
      <c r="W36">
        <v>0</v>
      </c>
      <c r="X36">
        <v>0</v>
      </c>
      <c r="Y36">
        <v>0</v>
      </c>
      <c r="AB36" t="s">
        <v>843</v>
      </c>
      <c r="AE36">
        <v>0</v>
      </c>
      <c r="AG36" t="s">
        <v>843</v>
      </c>
      <c r="AJ36">
        <v>60</v>
      </c>
      <c r="CB36" s="103"/>
      <c r="CC36" s="103"/>
      <c r="CD36" s="103"/>
      <c r="CE36" s="103"/>
      <c r="CG36">
        <v>0</v>
      </c>
      <c r="CI36">
        <v>0</v>
      </c>
      <c r="CJ36">
        <v>0</v>
      </c>
      <c r="CN36" s="103"/>
      <c r="CP36" s="103"/>
      <c r="CQ36">
        <v>0</v>
      </c>
      <c r="CS36">
        <v>0</v>
      </c>
      <c r="CT36">
        <v>0</v>
      </c>
      <c r="CU36">
        <v>0</v>
      </c>
    </row>
    <row r="37" spans="1:99" x14ac:dyDescent="0.35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209</v>
      </c>
      <c r="G37" s="103" t="s">
        <v>559</v>
      </c>
      <c r="H37" s="103" t="s">
        <v>437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T37">
        <v>0</v>
      </c>
      <c r="U37">
        <v>0</v>
      </c>
      <c r="W37">
        <v>0</v>
      </c>
      <c r="X37">
        <v>0</v>
      </c>
      <c r="Y37">
        <v>0</v>
      </c>
      <c r="AB37" t="s">
        <v>843</v>
      </c>
      <c r="AE37">
        <v>0</v>
      </c>
      <c r="AG37" t="s">
        <v>843</v>
      </c>
      <c r="AJ37">
        <v>60</v>
      </c>
      <c r="CB37" s="103"/>
      <c r="CC37" s="103"/>
      <c r="CD37" s="103"/>
      <c r="CE37" s="103"/>
      <c r="CG37">
        <v>0</v>
      </c>
      <c r="CI37">
        <v>0</v>
      </c>
      <c r="CJ37">
        <v>0</v>
      </c>
      <c r="CN37" s="103"/>
      <c r="CP37" s="103"/>
      <c r="CQ37">
        <v>0</v>
      </c>
      <c r="CS37">
        <v>0</v>
      </c>
      <c r="CT37">
        <v>0</v>
      </c>
      <c r="CU37">
        <v>0</v>
      </c>
    </row>
    <row r="38" spans="1:99" x14ac:dyDescent="0.35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212</v>
      </c>
      <c r="G38" s="103" t="s">
        <v>519</v>
      </c>
      <c r="H38" s="103" t="s">
        <v>448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T38">
        <v>0</v>
      </c>
      <c r="U38">
        <v>0</v>
      </c>
      <c r="W38">
        <v>0</v>
      </c>
      <c r="X38">
        <v>0</v>
      </c>
      <c r="Y38">
        <v>0</v>
      </c>
      <c r="AB38" t="s">
        <v>843</v>
      </c>
      <c r="AE38">
        <v>0</v>
      </c>
      <c r="AG38" t="s">
        <v>843</v>
      </c>
      <c r="AJ38">
        <v>60</v>
      </c>
      <c r="CB38" s="103"/>
      <c r="CC38" s="103"/>
      <c r="CD38" s="103"/>
      <c r="CE38" s="103"/>
      <c r="CG38">
        <v>0</v>
      </c>
      <c r="CI38">
        <v>0</v>
      </c>
      <c r="CJ38">
        <v>0</v>
      </c>
      <c r="CN38" s="103"/>
      <c r="CP38" s="103"/>
      <c r="CQ38">
        <v>0</v>
      </c>
      <c r="CS38">
        <v>0</v>
      </c>
      <c r="CT38">
        <v>0</v>
      </c>
      <c r="CU38">
        <v>0</v>
      </c>
    </row>
    <row r="39" spans="1:99" x14ac:dyDescent="0.35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212</v>
      </c>
      <c r="G39" s="103" t="s">
        <v>520</v>
      </c>
      <c r="H39" s="103" t="s">
        <v>453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T39">
        <v>0</v>
      </c>
      <c r="U39">
        <v>0</v>
      </c>
      <c r="W39">
        <v>0</v>
      </c>
      <c r="X39">
        <v>0</v>
      </c>
      <c r="Y39">
        <v>0</v>
      </c>
      <c r="AB39" t="s">
        <v>843</v>
      </c>
      <c r="AE39">
        <v>0</v>
      </c>
      <c r="AG39" t="s">
        <v>843</v>
      </c>
      <c r="AJ39">
        <v>60</v>
      </c>
      <c r="CB39" s="103"/>
      <c r="CC39" s="103"/>
      <c r="CD39" s="103"/>
      <c r="CE39" s="103"/>
      <c r="CG39">
        <v>0</v>
      </c>
      <c r="CI39">
        <v>0</v>
      </c>
      <c r="CJ39">
        <v>0</v>
      </c>
      <c r="CN39" s="103"/>
      <c r="CP39" s="103"/>
      <c r="CQ39">
        <v>0</v>
      </c>
      <c r="CS39">
        <v>0</v>
      </c>
      <c r="CT39">
        <v>0</v>
      </c>
      <c r="CU39">
        <v>0</v>
      </c>
    </row>
    <row r="40" spans="1:99" x14ac:dyDescent="0.35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212</v>
      </c>
      <c r="G40" s="103" t="s">
        <v>521</v>
      </c>
      <c r="H40" s="103" t="s">
        <v>457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Q40">
        <v>0</v>
      </c>
      <c r="R40">
        <v>0</v>
      </c>
      <c r="T40">
        <v>0</v>
      </c>
      <c r="U40">
        <v>0</v>
      </c>
      <c r="W40">
        <v>0</v>
      </c>
      <c r="X40">
        <v>0</v>
      </c>
      <c r="Y40">
        <v>0</v>
      </c>
      <c r="AB40" t="s">
        <v>843</v>
      </c>
      <c r="AE40">
        <v>0</v>
      </c>
      <c r="AG40" t="s">
        <v>843</v>
      </c>
      <c r="AJ40">
        <v>60</v>
      </c>
      <c r="CB40" s="103"/>
      <c r="CC40" s="103"/>
      <c r="CD40" s="103"/>
      <c r="CE40" s="103"/>
      <c r="CG40">
        <v>0</v>
      </c>
      <c r="CI40">
        <v>0</v>
      </c>
      <c r="CJ40">
        <v>0</v>
      </c>
      <c r="CN40" s="103"/>
      <c r="CP40" s="103"/>
      <c r="CQ40">
        <v>0</v>
      </c>
      <c r="CS40">
        <v>0</v>
      </c>
      <c r="CT40">
        <v>0</v>
      </c>
      <c r="CU40">
        <v>0</v>
      </c>
    </row>
    <row r="41" spans="1:99" x14ac:dyDescent="0.35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212</v>
      </c>
      <c r="G41" s="103" t="s">
        <v>522</v>
      </c>
      <c r="H41" s="103" t="s">
        <v>461</v>
      </c>
      <c r="I41">
        <v>0</v>
      </c>
      <c r="J41">
        <v>0</v>
      </c>
      <c r="K41">
        <v>60</v>
      </c>
      <c r="L41">
        <v>0</v>
      </c>
      <c r="M41">
        <v>0</v>
      </c>
      <c r="N41">
        <v>0</v>
      </c>
      <c r="O41">
        <v>0</v>
      </c>
      <c r="Q41">
        <v>0</v>
      </c>
      <c r="R41">
        <v>0</v>
      </c>
      <c r="T41">
        <v>0</v>
      </c>
      <c r="U41">
        <v>0</v>
      </c>
      <c r="W41">
        <v>0</v>
      </c>
      <c r="X41">
        <v>0</v>
      </c>
      <c r="Y41">
        <v>0</v>
      </c>
      <c r="AB41" t="s">
        <v>843</v>
      </c>
      <c r="AE41">
        <v>0</v>
      </c>
      <c r="AG41" t="s">
        <v>843</v>
      </c>
      <c r="AX41">
        <v>60</v>
      </c>
      <c r="CB41" s="103"/>
      <c r="CC41" s="103"/>
      <c r="CD41" s="103"/>
      <c r="CE41" s="103"/>
      <c r="CG41">
        <v>0</v>
      </c>
      <c r="CI41">
        <v>0</v>
      </c>
      <c r="CJ41">
        <v>0</v>
      </c>
      <c r="CN41" s="103"/>
      <c r="CP41" s="103"/>
      <c r="CQ41">
        <v>0</v>
      </c>
      <c r="CS41">
        <v>0</v>
      </c>
      <c r="CT41">
        <v>0</v>
      </c>
      <c r="CU41">
        <v>0</v>
      </c>
    </row>
    <row r="42" spans="1:99" x14ac:dyDescent="0.35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212</v>
      </c>
      <c r="G42" s="103" t="s">
        <v>523</v>
      </c>
      <c r="H42" s="103" t="s">
        <v>466</v>
      </c>
      <c r="I42">
        <v>0</v>
      </c>
      <c r="J42">
        <v>0</v>
      </c>
      <c r="K42">
        <v>60</v>
      </c>
      <c r="L42">
        <v>0</v>
      </c>
      <c r="M42">
        <v>0</v>
      </c>
      <c r="N42">
        <v>0</v>
      </c>
      <c r="O42">
        <v>0</v>
      </c>
      <c r="Q42">
        <v>0</v>
      </c>
      <c r="R42">
        <v>0</v>
      </c>
      <c r="T42">
        <v>0</v>
      </c>
      <c r="U42">
        <v>0</v>
      </c>
      <c r="W42">
        <v>0</v>
      </c>
      <c r="X42">
        <v>0</v>
      </c>
      <c r="Y42">
        <v>0</v>
      </c>
      <c r="AB42" t="s">
        <v>843</v>
      </c>
      <c r="AE42">
        <v>0</v>
      </c>
      <c r="AG42" t="s">
        <v>843</v>
      </c>
      <c r="AX42">
        <v>60</v>
      </c>
      <c r="CB42" s="103"/>
      <c r="CC42" s="103"/>
      <c r="CD42" s="103"/>
      <c r="CE42" s="103"/>
      <c r="CG42">
        <v>0</v>
      </c>
      <c r="CI42">
        <v>0</v>
      </c>
      <c r="CJ42">
        <v>0</v>
      </c>
      <c r="CN42" s="103"/>
      <c r="CP42" s="103"/>
      <c r="CQ42">
        <v>0</v>
      </c>
      <c r="CS42">
        <v>0</v>
      </c>
      <c r="CT42">
        <v>0</v>
      </c>
      <c r="CU42">
        <v>0</v>
      </c>
    </row>
    <row r="43" spans="1:99" x14ac:dyDescent="0.35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212</v>
      </c>
      <c r="G43" s="103" t="s">
        <v>524</v>
      </c>
      <c r="H43" s="103" t="s">
        <v>469</v>
      </c>
      <c r="I43">
        <v>0</v>
      </c>
      <c r="J43">
        <v>0</v>
      </c>
      <c r="K43">
        <v>60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T43">
        <v>0</v>
      </c>
      <c r="U43">
        <v>0</v>
      </c>
      <c r="W43">
        <v>0</v>
      </c>
      <c r="X43">
        <v>0</v>
      </c>
      <c r="Y43">
        <v>0</v>
      </c>
      <c r="AB43" t="s">
        <v>843</v>
      </c>
      <c r="AE43">
        <v>0</v>
      </c>
      <c r="AG43" t="s">
        <v>843</v>
      </c>
      <c r="AY43">
        <v>60</v>
      </c>
      <c r="CB43" s="103"/>
      <c r="CC43" s="103"/>
      <c r="CD43" s="103"/>
      <c r="CE43" s="103"/>
      <c r="CG43">
        <v>0</v>
      </c>
      <c r="CI43">
        <v>0</v>
      </c>
      <c r="CJ43">
        <v>0</v>
      </c>
      <c r="CN43" s="103"/>
      <c r="CP43" s="103"/>
      <c r="CQ43">
        <v>0</v>
      </c>
      <c r="CS43">
        <v>0</v>
      </c>
      <c r="CT43">
        <v>0</v>
      </c>
      <c r="CU43">
        <v>0</v>
      </c>
    </row>
    <row r="44" spans="1:99" x14ac:dyDescent="0.35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212</v>
      </c>
      <c r="G44" s="103" t="s">
        <v>525</v>
      </c>
      <c r="H44" s="103" t="s">
        <v>472</v>
      </c>
      <c r="I44">
        <v>0</v>
      </c>
      <c r="J44">
        <v>0</v>
      </c>
      <c r="K44">
        <v>0</v>
      </c>
      <c r="L44">
        <v>60</v>
      </c>
      <c r="M44">
        <v>0</v>
      </c>
      <c r="N44">
        <v>0</v>
      </c>
      <c r="O44">
        <v>0</v>
      </c>
      <c r="Q44">
        <v>0</v>
      </c>
      <c r="R44">
        <v>0</v>
      </c>
      <c r="T44">
        <v>0</v>
      </c>
      <c r="U44">
        <v>0</v>
      </c>
      <c r="W44">
        <v>0</v>
      </c>
      <c r="X44">
        <v>0</v>
      </c>
      <c r="Y44">
        <v>0</v>
      </c>
      <c r="AB44" t="s">
        <v>843</v>
      </c>
      <c r="AE44">
        <v>0</v>
      </c>
      <c r="AG44" t="s">
        <v>843</v>
      </c>
      <c r="BH44">
        <v>60</v>
      </c>
      <c r="CB44" s="103"/>
      <c r="CC44" s="103"/>
      <c r="CD44" s="103"/>
      <c r="CE44" s="103"/>
      <c r="CG44">
        <v>0</v>
      </c>
      <c r="CI44">
        <v>0</v>
      </c>
      <c r="CJ44">
        <v>0</v>
      </c>
      <c r="CN44" s="103"/>
      <c r="CP44" s="103"/>
      <c r="CQ44">
        <v>0</v>
      </c>
      <c r="CS44">
        <v>0</v>
      </c>
      <c r="CT44">
        <v>0</v>
      </c>
      <c r="CU44">
        <v>0</v>
      </c>
    </row>
    <row r="45" spans="1:99" x14ac:dyDescent="0.35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212</v>
      </c>
      <c r="G45" s="103" t="s">
        <v>526</v>
      </c>
      <c r="H45" s="103" t="s">
        <v>478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T45">
        <v>0</v>
      </c>
      <c r="U45">
        <v>0</v>
      </c>
      <c r="W45">
        <v>0</v>
      </c>
      <c r="X45">
        <v>0</v>
      </c>
      <c r="Y45">
        <v>0</v>
      </c>
      <c r="AB45" t="s">
        <v>843</v>
      </c>
      <c r="AE45">
        <v>0</v>
      </c>
      <c r="AG45" t="s">
        <v>843</v>
      </c>
      <c r="AJ45">
        <v>60</v>
      </c>
      <c r="CB45" s="103"/>
      <c r="CC45" s="103"/>
      <c r="CD45" s="103"/>
      <c r="CE45" s="103"/>
      <c r="CG45">
        <v>0</v>
      </c>
      <c r="CI45">
        <v>0</v>
      </c>
      <c r="CJ45">
        <v>0</v>
      </c>
      <c r="CN45" s="103"/>
      <c r="CP45" s="103"/>
      <c r="CQ45">
        <v>0</v>
      </c>
      <c r="CS45">
        <v>0</v>
      </c>
      <c r="CT45">
        <v>0</v>
      </c>
      <c r="CU45">
        <v>0</v>
      </c>
    </row>
    <row r="46" spans="1:99" x14ac:dyDescent="0.35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212</v>
      </c>
      <c r="G46" s="103" t="s">
        <v>527</v>
      </c>
      <c r="H46" s="103" t="s">
        <v>482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T46">
        <v>0</v>
      </c>
      <c r="U46">
        <v>0</v>
      </c>
      <c r="W46">
        <v>0</v>
      </c>
      <c r="X46">
        <v>0</v>
      </c>
      <c r="Y46">
        <v>0</v>
      </c>
      <c r="AB46" t="s">
        <v>843</v>
      </c>
      <c r="AE46">
        <v>0</v>
      </c>
      <c r="AG46" t="s">
        <v>843</v>
      </c>
      <c r="AJ46">
        <v>60</v>
      </c>
      <c r="CB46" s="103"/>
      <c r="CC46" s="103"/>
      <c r="CD46" s="103"/>
      <c r="CE46" s="103"/>
      <c r="CG46">
        <v>0</v>
      </c>
      <c r="CI46">
        <v>0</v>
      </c>
      <c r="CJ46">
        <v>0</v>
      </c>
      <c r="CN46" s="103"/>
      <c r="CP46" s="103"/>
      <c r="CQ46">
        <v>0</v>
      </c>
      <c r="CS46">
        <v>0</v>
      </c>
      <c r="CT46">
        <v>0</v>
      </c>
      <c r="CU46">
        <v>0</v>
      </c>
    </row>
    <row r="47" spans="1:99" x14ac:dyDescent="0.35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212</v>
      </c>
      <c r="G47" s="103" t="s">
        <v>528</v>
      </c>
      <c r="H47" s="103" t="s">
        <v>487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T47">
        <v>0</v>
      </c>
      <c r="U47">
        <v>0</v>
      </c>
      <c r="W47">
        <v>0</v>
      </c>
      <c r="X47">
        <v>0</v>
      </c>
      <c r="Y47">
        <v>0</v>
      </c>
      <c r="AB47" t="s">
        <v>843</v>
      </c>
      <c r="AE47">
        <v>0</v>
      </c>
      <c r="AG47" t="s">
        <v>843</v>
      </c>
      <c r="AJ47">
        <v>60</v>
      </c>
      <c r="CB47" s="103"/>
      <c r="CC47" s="103"/>
      <c r="CD47" s="103"/>
      <c r="CE47" s="103"/>
      <c r="CG47">
        <v>0</v>
      </c>
      <c r="CI47">
        <v>0</v>
      </c>
      <c r="CJ47">
        <v>0</v>
      </c>
      <c r="CN47" s="103"/>
      <c r="CP47" s="103"/>
      <c r="CQ47">
        <v>0</v>
      </c>
      <c r="CS47">
        <v>0</v>
      </c>
      <c r="CT47">
        <v>0</v>
      </c>
      <c r="CU47">
        <v>0</v>
      </c>
    </row>
    <row r="48" spans="1:99" x14ac:dyDescent="0.35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212</v>
      </c>
      <c r="G48" s="103" t="s">
        <v>529</v>
      </c>
      <c r="H48" s="103" t="s">
        <v>492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T48">
        <v>0</v>
      </c>
      <c r="U48">
        <v>0</v>
      </c>
      <c r="W48">
        <v>0</v>
      </c>
      <c r="X48">
        <v>0</v>
      </c>
      <c r="Y48">
        <v>0</v>
      </c>
      <c r="AB48" t="s">
        <v>843</v>
      </c>
      <c r="AE48">
        <v>0</v>
      </c>
      <c r="AG48" t="s">
        <v>843</v>
      </c>
      <c r="AJ48">
        <v>60</v>
      </c>
      <c r="CB48" s="103"/>
      <c r="CC48" s="103"/>
      <c r="CD48" s="103"/>
      <c r="CE48" s="103"/>
      <c r="CG48">
        <v>0</v>
      </c>
      <c r="CI48">
        <v>0</v>
      </c>
      <c r="CJ48">
        <v>0</v>
      </c>
      <c r="CN48" s="103"/>
      <c r="CP48" s="103"/>
      <c r="CQ48">
        <v>0</v>
      </c>
      <c r="CS48">
        <v>0</v>
      </c>
      <c r="CT48">
        <v>0</v>
      </c>
      <c r="CU48">
        <v>0</v>
      </c>
    </row>
    <row r="49" spans="1:99" x14ac:dyDescent="0.35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212</v>
      </c>
      <c r="G49" s="103" t="s">
        <v>530</v>
      </c>
      <c r="H49" s="103" t="s">
        <v>497</v>
      </c>
      <c r="I49">
        <v>0</v>
      </c>
      <c r="J49">
        <v>0</v>
      </c>
      <c r="K49">
        <v>0</v>
      </c>
      <c r="L49">
        <v>0</v>
      </c>
      <c r="M49">
        <v>0</v>
      </c>
      <c r="N49">
        <v>60</v>
      </c>
      <c r="O49">
        <v>0</v>
      </c>
      <c r="Q49">
        <v>0</v>
      </c>
      <c r="R49">
        <v>0</v>
      </c>
      <c r="T49">
        <v>0</v>
      </c>
      <c r="U49">
        <v>0</v>
      </c>
      <c r="W49">
        <v>0</v>
      </c>
      <c r="X49">
        <v>0</v>
      </c>
      <c r="Y49">
        <v>0</v>
      </c>
      <c r="AB49" t="s">
        <v>843</v>
      </c>
      <c r="AE49">
        <v>0</v>
      </c>
      <c r="AG49" t="s">
        <v>843</v>
      </c>
      <c r="BW49">
        <v>60</v>
      </c>
      <c r="CB49" s="103"/>
      <c r="CC49" s="103"/>
      <c r="CD49" s="103"/>
      <c r="CE49" s="103"/>
      <c r="CG49">
        <v>0</v>
      </c>
      <c r="CI49">
        <v>0</v>
      </c>
      <c r="CJ49">
        <v>0</v>
      </c>
      <c r="CN49" s="103"/>
      <c r="CP49" s="103"/>
      <c r="CQ49">
        <v>0</v>
      </c>
      <c r="CS49">
        <v>0</v>
      </c>
      <c r="CT49">
        <v>0</v>
      </c>
      <c r="CU49">
        <v>0</v>
      </c>
    </row>
    <row r="50" spans="1:99" x14ac:dyDescent="0.35">
      <c r="A50" s="102">
        <v>44378</v>
      </c>
      <c r="B50" s="102">
        <v>44378</v>
      </c>
      <c r="C50" s="104">
        <v>44383</v>
      </c>
      <c r="D50" s="103" t="s">
        <v>355</v>
      </c>
      <c r="E50" s="103" t="s">
        <v>297</v>
      </c>
      <c r="F50" s="103" t="s">
        <v>209</v>
      </c>
      <c r="G50" s="103" t="s">
        <v>510</v>
      </c>
      <c r="H50" s="103" t="s">
        <v>281</v>
      </c>
      <c r="I50">
        <v>30</v>
      </c>
      <c r="J50">
        <v>0</v>
      </c>
      <c r="K50">
        <v>0</v>
      </c>
      <c r="L50">
        <v>30</v>
      </c>
      <c r="M50">
        <v>0</v>
      </c>
      <c r="N50">
        <v>0</v>
      </c>
      <c r="O50">
        <v>0</v>
      </c>
      <c r="Q50">
        <v>25</v>
      </c>
      <c r="R50">
        <v>1000</v>
      </c>
      <c r="T50">
        <v>102</v>
      </c>
      <c r="U50">
        <v>1000</v>
      </c>
      <c r="W50">
        <v>0</v>
      </c>
      <c r="X50">
        <v>0</v>
      </c>
      <c r="Y50">
        <v>0</v>
      </c>
      <c r="AB50" t="s">
        <v>843</v>
      </c>
      <c r="AE50">
        <v>0</v>
      </c>
      <c r="AG50" t="s">
        <v>843</v>
      </c>
      <c r="AI50">
        <v>30</v>
      </c>
      <c r="BA50">
        <v>10</v>
      </c>
      <c r="BB50">
        <v>20</v>
      </c>
      <c r="CB50" s="103" t="s">
        <v>311</v>
      </c>
      <c r="CC50" s="103" t="s">
        <v>387</v>
      </c>
      <c r="CD50" s="103" t="s">
        <v>287</v>
      </c>
      <c r="CE50" s="103" t="s">
        <v>296</v>
      </c>
      <c r="CF50">
        <v>2</v>
      </c>
      <c r="CG50">
        <v>25</v>
      </c>
      <c r="CH50">
        <v>1000</v>
      </c>
      <c r="CI50">
        <v>50</v>
      </c>
      <c r="CJ50">
        <v>25000</v>
      </c>
      <c r="CN50" s="103" t="s">
        <v>287</v>
      </c>
      <c r="CO50">
        <v>3</v>
      </c>
      <c r="CP50" s="103" t="s">
        <v>299</v>
      </c>
      <c r="CQ50">
        <v>102</v>
      </c>
      <c r="CR50">
        <v>8000</v>
      </c>
      <c r="CS50">
        <v>0</v>
      </c>
      <c r="CT50">
        <v>816000</v>
      </c>
      <c r="CU50">
        <v>78.461538461538453</v>
      </c>
    </row>
    <row r="51" spans="1:99" x14ac:dyDescent="0.35">
      <c r="A51" s="102">
        <v>44378</v>
      </c>
      <c r="B51" s="102">
        <v>44378</v>
      </c>
      <c r="C51" s="104">
        <v>44383</v>
      </c>
      <c r="D51" s="103" t="s">
        <v>355</v>
      </c>
      <c r="E51" s="103" t="s">
        <v>297</v>
      </c>
      <c r="F51" s="103" t="s">
        <v>209</v>
      </c>
      <c r="G51" s="103" t="s">
        <v>511</v>
      </c>
      <c r="H51" s="103" t="s">
        <v>301</v>
      </c>
      <c r="I51">
        <v>50</v>
      </c>
      <c r="J51">
        <v>0</v>
      </c>
      <c r="K51">
        <v>0</v>
      </c>
      <c r="L51">
        <v>10</v>
      </c>
      <c r="M51">
        <v>0</v>
      </c>
      <c r="N51">
        <v>0</v>
      </c>
      <c r="O51">
        <v>0</v>
      </c>
      <c r="Q51">
        <v>25</v>
      </c>
      <c r="R51">
        <v>1000</v>
      </c>
      <c r="T51">
        <v>0</v>
      </c>
      <c r="U51">
        <v>1000</v>
      </c>
      <c r="W51">
        <v>0</v>
      </c>
      <c r="X51">
        <v>0</v>
      </c>
      <c r="Y51">
        <v>0</v>
      </c>
      <c r="AB51" t="s">
        <v>843</v>
      </c>
      <c r="AE51">
        <v>0</v>
      </c>
      <c r="AG51" t="s">
        <v>843</v>
      </c>
      <c r="AI51">
        <v>50</v>
      </c>
      <c r="BO51">
        <v>10</v>
      </c>
      <c r="CB51" s="103" t="s">
        <v>311</v>
      </c>
      <c r="CC51" s="103" t="s">
        <v>387</v>
      </c>
      <c r="CD51" s="103" t="s">
        <v>287</v>
      </c>
      <c r="CE51" s="103" t="s">
        <v>296</v>
      </c>
      <c r="CF51">
        <v>3</v>
      </c>
      <c r="CG51">
        <v>25</v>
      </c>
      <c r="CH51">
        <v>1000</v>
      </c>
      <c r="CI51">
        <v>30</v>
      </c>
      <c r="CJ51">
        <v>25000</v>
      </c>
      <c r="CN51" s="103"/>
      <c r="CP51" s="103"/>
      <c r="CQ51">
        <v>0</v>
      </c>
      <c r="CS51">
        <v>0</v>
      </c>
      <c r="CT51">
        <v>0</v>
      </c>
      <c r="CU51">
        <v>0</v>
      </c>
    </row>
    <row r="52" spans="1:99" x14ac:dyDescent="0.35">
      <c r="A52" s="102">
        <v>44378</v>
      </c>
      <c r="B52" s="102">
        <v>44378</v>
      </c>
      <c r="C52" s="104">
        <v>44383</v>
      </c>
      <c r="D52" s="103" t="s">
        <v>355</v>
      </c>
      <c r="E52" s="103" t="s">
        <v>297</v>
      </c>
      <c r="F52" s="103" t="s">
        <v>209</v>
      </c>
      <c r="G52" s="103" t="s">
        <v>512</v>
      </c>
      <c r="H52" s="103" t="s">
        <v>317</v>
      </c>
      <c r="I52">
        <v>50</v>
      </c>
      <c r="J52">
        <v>0</v>
      </c>
      <c r="K52">
        <v>0</v>
      </c>
      <c r="L52">
        <v>10</v>
      </c>
      <c r="M52">
        <v>0</v>
      </c>
      <c r="N52">
        <v>0</v>
      </c>
      <c r="O52">
        <v>0</v>
      </c>
      <c r="Q52">
        <v>25</v>
      </c>
      <c r="R52">
        <v>1000</v>
      </c>
      <c r="T52">
        <v>0</v>
      </c>
      <c r="U52">
        <v>1000</v>
      </c>
      <c r="W52">
        <v>0</v>
      </c>
      <c r="X52">
        <v>0</v>
      </c>
      <c r="Y52">
        <v>0</v>
      </c>
      <c r="AB52" t="s">
        <v>843</v>
      </c>
      <c r="AE52">
        <v>0</v>
      </c>
      <c r="AG52" t="s">
        <v>843</v>
      </c>
      <c r="AI52">
        <v>50</v>
      </c>
      <c r="BI52">
        <v>10</v>
      </c>
      <c r="CB52" s="103" t="s">
        <v>311</v>
      </c>
      <c r="CC52" s="103" t="s">
        <v>387</v>
      </c>
      <c r="CD52" s="103" t="s">
        <v>287</v>
      </c>
      <c r="CE52" s="103" t="s">
        <v>296</v>
      </c>
      <c r="CF52">
        <v>3</v>
      </c>
      <c r="CG52">
        <v>25</v>
      </c>
      <c r="CH52">
        <v>1000</v>
      </c>
      <c r="CI52">
        <v>30</v>
      </c>
      <c r="CJ52">
        <v>25000</v>
      </c>
      <c r="CN52" s="103"/>
      <c r="CP52" s="103"/>
      <c r="CQ52">
        <v>0</v>
      </c>
      <c r="CS52">
        <v>0</v>
      </c>
      <c r="CT52">
        <v>0</v>
      </c>
      <c r="CU52">
        <v>0</v>
      </c>
    </row>
    <row r="53" spans="1:99" x14ac:dyDescent="0.35">
      <c r="A53" s="102">
        <v>44378</v>
      </c>
      <c r="B53" s="102">
        <v>44378</v>
      </c>
      <c r="C53" s="104">
        <v>44383</v>
      </c>
      <c r="D53" s="103" t="s">
        <v>355</v>
      </c>
      <c r="E53" s="103" t="s">
        <v>297</v>
      </c>
      <c r="F53" s="103" t="s">
        <v>209</v>
      </c>
      <c r="G53" s="103" t="s">
        <v>513</v>
      </c>
      <c r="H53" s="103" t="s">
        <v>334</v>
      </c>
      <c r="I53">
        <v>50</v>
      </c>
      <c r="J53">
        <v>0</v>
      </c>
      <c r="K53">
        <v>0</v>
      </c>
      <c r="L53">
        <v>10</v>
      </c>
      <c r="M53">
        <v>0</v>
      </c>
      <c r="N53">
        <v>0</v>
      </c>
      <c r="O53">
        <v>0</v>
      </c>
      <c r="Q53">
        <v>25</v>
      </c>
      <c r="R53">
        <v>1000</v>
      </c>
      <c r="T53">
        <v>0</v>
      </c>
      <c r="U53">
        <v>1000</v>
      </c>
      <c r="W53">
        <v>0</v>
      </c>
      <c r="X53">
        <v>0</v>
      </c>
      <c r="Y53">
        <v>0</v>
      </c>
      <c r="AB53" t="s">
        <v>843</v>
      </c>
      <c r="AE53">
        <v>0</v>
      </c>
      <c r="AG53" t="s">
        <v>843</v>
      </c>
      <c r="AI53">
        <v>50</v>
      </c>
      <c r="BJ53">
        <v>10</v>
      </c>
      <c r="CB53" s="103" t="s">
        <v>311</v>
      </c>
      <c r="CC53" s="103" t="s">
        <v>387</v>
      </c>
      <c r="CD53" s="103" t="s">
        <v>287</v>
      </c>
      <c r="CE53" s="103" t="s">
        <v>296</v>
      </c>
      <c r="CF53">
        <v>3</v>
      </c>
      <c r="CG53">
        <v>25</v>
      </c>
      <c r="CH53">
        <v>1000</v>
      </c>
      <c r="CI53">
        <v>30</v>
      </c>
      <c r="CJ53">
        <v>25000</v>
      </c>
      <c r="CN53" s="103"/>
      <c r="CP53" s="103"/>
      <c r="CQ53">
        <v>0</v>
      </c>
      <c r="CS53">
        <v>0</v>
      </c>
      <c r="CT53">
        <v>0</v>
      </c>
      <c r="CU53">
        <v>0</v>
      </c>
    </row>
    <row r="54" spans="1:99" x14ac:dyDescent="0.35">
      <c r="A54" s="102">
        <v>44378</v>
      </c>
      <c r="B54" s="102">
        <v>44378</v>
      </c>
      <c r="C54" s="104">
        <v>44383</v>
      </c>
      <c r="D54" s="103" t="s">
        <v>355</v>
      </c>
      <c r="E54" s="103" t="s">
        <v>297</v>
      </c>
      <c r="F54" s="103" t="s">
        <v>209</v>
      </c>
      <c r="G54" s="103" t="s">
        <v>514</v>
      </c>
      <c r="H54" s="103" t="s">
        <v>348</v>
      </c>
      <c r="I54">
        <v>60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Q54">
        <v>25</v>
      </c>
      <c r="R54">
        <v>1000</v>
      </c>
      <c r="T54">
        <v>0</v>
      </c>
      <c r="U54">
        <v>1000</v>
      </c>
      <c r="W54">
        <v>0</v>
      </c>
      <c r="X54">
        <v>0</v>
      </c>
      <c r="Y54">
        <v>0</v>
      </c>
      <c r="AB54" t="s">
        <v>843</v>
      </c>
      <c r="AE54">
        <v>0</v>
      </c>
      <c r="AG54" t="s">
        <v>843</v>
      </c>
      <c r="AI54">
        <v>60</v>
      </c>
      <c r="CB54" s="103" t="s">
        <v>311</v>
      </c>
      <c r="CC54" s="103" t="s">
        <v>387</v>
      </c>
      <c r="CD54" s="103" t="s">
        <v>287</v>
      </c>
      <c r="CE54" s="103" t="s">
        <v>296</v>
      </c>
      <c r="CF54">
        <v>4</v>
      </c>
      <c r="CG54">
        <v>25</v>
      </c>
      <c r="CH54">
        <v>1000</v>
      </c>
      <c r="CI54">
        <v>25</v>
      </c>
      <c r="CJ54">
        <v>25000</v>
      </c>
      <c r="CN54" s="103"/>
      <c r="CP54" s="103"/>
      <c r="CQ54">
        <v>0</v>
      </c>
      <c r="CS54">
        <v>0</v>
      </c>
      <c r="CT54">
        <v>0</v>
      </c>
      <c r="CU54">
        <v>0</v>
      </c>
    </row>
    <row r="55" spans="1:99" x14ac:dyDescent="0.35">
      <c r="A55" s="102">
        <v>44378</v>
      </c>
      <c r="B55" s="102">
        <v>44378</v>
      </c>
      <c r="C55" s="104">
        <v>44383</v>
      </c>
      <c r="D55" s="103" t="s">
        <v>355</v>
      </c>
      <c r="E55" s="103" t="s">
        <v>297</v>
      </c>
      <c r="F55" s="103" t="s">
        <v>209</v>
      </c>
      <c r="G55" s="103" t="s">
        <v>515</v>
      </c>
      <c r="H55" s="103" t="s">
        <v>364</v>
      </c>
      <c r="I55">
        <v>60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Q55">
        <v>25</v>
      </c>
      <c r="R55">
        <v>1000</v>
      </c>
      <c r="T55">
        <v>0</v>
      </c>
      <c r="U55">
        <v>1000</v>
      </c>
      <c r="W55">
        <v>0</v>
      </c>
      <c r="X55">
        <v>0</v>
      </c>
      <c r="Y55">
        <v>0</v>
      </c>
      <c r="AB55" t="s">
        <v>843</v>
      </c>
      <c r="AE55">
        <v>0</v>
      </c>
      <c r="AG55" t="s">
        <v>843</v>
      </c>
      <c r="AI55">
        <v>60</v>
      </c>
      <c r="CB55" s="103" t="s">
        <v>311</v>
      </c>
      <c r="CC55" s="103" t="s">
        <v>387</v>
      </c>
      <c r="CD55" s="103" t="s">
        <v>287</v>
      </c>
      <c r="CE55" s="103" t="s">
        <v>296</v>
      </c>
      <c r="CF55">
        <v>4</v>
      </c>
      <c r="CG55">
        <v>25</v>
      </c>
      <c r="CH55">
        <v>1000</v>
      </c>
      <c r="CI55">
        <v>25</v>
      </c>
      <c r="CJ55">
        <v>25000</v>
      </c>
      <c r="CN55" s="103"/>
      <c r="CP55" s="103"/>
      <c r="CQ55">
        <v>0</v>
      </c>
      <c r="CS55">
        <v>0</v>
      </c>
      <c r="CT55">
        <v>0</v>
      </c>
      <c r="CU55">
        <v>0</v>
      </c>
    </row>
    <row r="56" spans="1:99" x14ac:dyDescent="0.35">
      <c r="A56" s="102">
        <v>44378</v>
      </c>
      <c r="B56" s="102">
        <v>44378</v>
      </c>
      <c r="C56" s="104">
        <v>44383</v>
      </c>
      <c r="D56" s="103" t="s">
        <v>355</v>
      </c>
      <c r="E56" s="103" t="s">
        <v>297</v>
      </c>
      <c r="F56" s="103" t="s">
        <v>209</v>
      </c>
      <c r="G56" s="103" t="s">
        <v>516</v>
      </c>
      <c r="H56" s="103" t="s">
        <v>378</v>
      </c>
      <c r="I56">
        <v>0</v>
      </c>
      <c r="J56">
        <v>0</v>
      </c>
      <c r="K56">
        <v>0</v>
      </c>
      <c r="L56">
        <v>60</v>
      </c>
      <c r="M56">
        <v>0</v>
      </c>
      <c r="N56">
        <v>0</v>
      </c>
      <c r="O56">
        <v>0</v>
      </c>
      <c r="Q56">
        <v>0</v>
      </c>
      <c r="R56">
        <v>0</v>
      </c>
      <c r="T56">
        <v>0</v>
      </c>
      <c r="U56">
        <v>0</v>
      </c>
      <c r="W56">
        <v>0</v>
      </c>
      <c r="X56">
        <v>0</v>
      </c>
      <c r="Y56">
        <v>0</v>
      </c>
      <c r="AB56" t="s">
        <v>843</v>
      </c>
      <c r="AE56">
        <v>0</v>
      </c>
      <c r="AG56" t="s">
        <v>843</v>
      </c>
      <c r="BH56">
        <v>60</v>
      </c>
      <c r="CB56" s="103" t="s">
        <v>311</v>
      </c>
      <c r="CC56" s="103" t="s">
        <v>387</v>
      </c>
      <c r="CD56" s="103"/>
      <c r="CE56" s="103"/>
      <c r="CG56">
        <v>0</v>
      </c>
      <c r="CI56">
        <v>0</v>
      </c>
      <c r="CJ56">
        <v>0</v>
      </c>
      <c r="CN56" s="103"/>
      <c r="CP56" s="103"/>
      <c r="CQ56">
        <v>0</v>
      </c>
      <c r="CS56">
        <v>0</v>
      </c>
      <c r="CT56">
        <v>0</v>
      </c>
      <c r="CU56">
        <v>0</v>
      </c>
    </row>
    <row r="57" spans="1:99" x14ac:dyDescent="0.35">
      <c r="A57" s="102">
        <v>44378</v>
      </c>
      <c r="B57" s="102">
        <v>44378</v>
      </c>
      <c r="C57" s="104">
        <v>44383</v>
      </c>
      <c r="D57" s="103" t="s">
        <v>355</v>
      </c>
      <c r="E57" s="103" t="s">
        <v>297</v>
      </c>
      <c r="F57" s="103" t="s">
        <v>209</v>
      </c>
      <c r="G57" s="103" t="s">
        <v>517</v>
      </c>
      <c r="H57" s="103" t="s">
        <v>392</v>
      </c>
      <c r="I57">
        <v>60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Q57">
        <v>25</v>
      </c>
      <c r="R57">
        <v>1000</v>
      </c>
      <c r="T57">
        <v>0</v>
      </c>
      <c r="U57">
        <v>1000</v>
      </c>
      <c r="W57">
        <v>0</v>
      </c>
      <c r="X57">
        <v>0</v>
      </c>
      <c r="Y57">
        <v>0</v>
      </c>
      <c r="AB57" t="s">
        <v>843</v>
      </c>
      <c r="AE57">
        <v>0</v>
      </c>
      <c r="AG57" t="s">
        <v>843</v>
      </c>
      <c r="AI57">
        <v>60</v>
      </c>
      <c r="CB57" s="103" t="s">
        <v>311</v>
      </c>
      <c r="CC57" s="103" t="s">
        <v>387</v>
      </c>
      <c r="CD57" s="103" t="s">
        <v>287</v>
      </c>
      <c r="CE57" s="103" t="s">
        <v>296</v>
      </c>
      <c r="CF57">
        <v>4</v>
      </c>
      <c r="CG57">
        <v>25</v>
      </c>
      <c r="CH57">
        <v>1000</v>
      </c>
      <c r="CI57">
        <v>25</v>
      </c>
      <c r="CJ57">
        <v>25000</v>
      </c>
      <c r="CN57" s="103"/>
      <c r="CP57" s="103"/>
      <c r="CQ57">
        <v>0</v>
      </c>
      <c r="CS57">
        <v>0</v>
      </c>
      <c r="CT57">
        <v>0</v>
      </c>
      <c r="CU57">
        <v>0</v>
      </c>
    </row>
    <row r="58" spans="1:99" x14ac:dyDescent="0.35">
      <c r="A58" s="102">
        <v>44378</v>
      </c>
      <c r="B58" s="102">
        <v>44378</v>
      </c>
      <c r="C58" s="104">
        <v>44383</v>
      </c>
      <c r="D58" s="103" t="s">
        <v>355</v>
      </c>
      <c r="E58" s="103" t="s">
        <v>297</v>
      </c>
      <c r="F58" s="103" t="s">
        <v>209</v>
      </c>
      <c r="G58" s="103" t="s">
        <v>518</v>
      </c>
      <c r="H58" s="103" t="s">
        <v>402</v>
      </c>
      <c r="I58">
        <v>60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Q58">
        <v>25</v>
      </c>
      <c r="R58">
        <v>1000</v>
      </c>
      <c r="T58">
        <v>0</v>
      </c>
      <c r="U58">
        <v>1000</v>
      </c>
      <c r="W58">
        <v>0</v>
      </c>
      <c r="X58">
        <v>0</v>
      </c>
      <c r="Y58">
        <v>0</v>
      </c>
      <c r="AB58" t="s">
        <v>843</v>
      </c>
      <c r="AE58">
        <v>0</v>
      </c>
      <c r="AG58" t="s">
        <v>843</v>
      </c>
      <c r="AI58">
        <v>60</v>
      </c>
      <c r="CB58" s="103" t="s">
        <v>311</v>
      </c>
      <c r="CC58" s="103" t="s">
        <v>387</v>
      </c>
      <c r="CD58" s="103" t="s">
        <v>287</v>
      </c>
      <c r="CE58" s="103" t="s">
        <v>296</v>
      </c>
      <c r="CF58">
        <v>4</v>
      </c>
      <c r="CG58">
        <v>25</v>
      </c>
      <c r="CH58">
        <v>1000</v>
      </c>
      <c r="CI58">
        <v>25</v>
      </c>
      <c r="CJ58">
        <v>25000</v>
      </c>
      <c r="CN58" s="103"/>
      <c r="CP58" s="103"/>
      <c r="CQ58">
        <v>0</v>
      </c>
      <c r="CS58">
        <v>0</v>
      </c>
      <c r="CT58">
        <v>0</v>
      </c>
      <c r="CU58">
        <v>0</v>
      </c>
    </row>
    <row r="59" spans="1:99" x14ac:dyDescent="0.35">
      <c r="A59" s="102">
        <v>44378</v>
      </c>
      <c r="B59" s="102">
        <v>44378</v>
      </c>
      <c r="C59" s="104">
        <v>44383</v>
      </c>
      <c r="D59" s="103" t="s">
        <v>355</v>
      </c>
      <c r="E59" s="103" t="s">
        <v>297</v>
      </c>
      <c r="F59" s="103" t="s">
        <v>209</v>
      </c>
      <c r="G59" s="103" t="s">
        <v>21</v>
      </c>
      <c r="H59" s="103" t="s">
        <v>412</v>
      </c>
      <c r="I59">
        <v>40</v>
      </c>
      <c r="J59">
        <v>0</v>
      </c>
      <c r="K59">
        <v>0</v>
      </c>
      <c r="L59">
        <v>20</v>
      </c>
      <c r="M59">
        <v>0</v>
      </c>
      <c r="N59">
        <v>0</v>
      </c>
      <c r="O59">
        <v>0</v>
      </c>
      <c r="Q59">
        <v>25</v>
      </c>
      <c r="R59">
        <v>1000</v>
      </c>
      <c r="T59">
        <v>0</v>
      </c>
      <c r="U59">
        <v>1000</v>
      </c>
      <c r="W59">
        <v>0</v>
      </c>
      <c r="X59">
        <v>0</v>
      </c>
      <c r="Y59">
        <v>0</v>
      </c>
      <c r="AB59" t="s">
        <v>843</v>
      </c>
      <c r="AE59">
        <v>0</v>
      </c>
      <c r="AG59" t="s">
        <v>843</v>
      </c>
      <c r="AI59">
        <v>40</v>
      </c>
      <c r="BN59">
        <v>20</v>
      </c>
      <c r="CB59" s="103" t="s">
        <v>311</v>
      </c>
      <c r="CC59" s="103" t="s">
        <v>387</v>
      </c>
      <c r="CD59" s="103" t="s">
        <v>287</v>
      </c>
      <c r="CE59" s="103" t="s">
        <v>296</v>
      </c>
      <c r="CF59">
        <v>2</v>
      </c>
      <c r="CG59">
        <v>25</v>
      </c>
      <c r="CH59">
        <v>1000</v>
      </c>
      <c r="CI59">
        <v>37.5</v>
      </c>
      <c r="CJ59">
        <v>25000</v>
      </c>
      <c r="CN59" s="103"/>
      <c r="CP59" s="103"/>
      <c r="CQ59">
        <v>0</v>
      </c>
      <c r="CS59">
        <v>0</v>
      </c>
      <c r="CT59">
        <v>0</v>
      </c>
      <c r="CU59">
        <v>0</v>
      </c>
    </row>
    <row r="60" spans="1:99" x14ac:dyDescent="0.35">
      <c r="A60" s="102">
        <v>44378</v>
      </c>
      <c r="B60" s="102">
        <v>44378</v>
      </c>
      <c r="C60" s="104">
        <v>44383</v>
      </c>
      <c r="D60" s="103" t="s">
        <v>355</v>
      </c>
      <c r="E60" s="103" t="s">
        <v>297</v>
      </c>
      <c r="F60" s="103" t="s">
        <v>209</v>
      </c>
      <c r="G60" s="103" t="s">
        <v>22</v>
      </c>
      <c r="H60" s="103" t="s">
        <v>424</v>
      </c>
      <c r="I60">
        <v>60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Q60">
        <v>25</v>
      </c>
      <c r="R60">
        <v>1000</v>
      </c>
      <c r="T60">
        <v>0</v>
      </c>
      <c r="U60">
        <v>1000</v>
      </c>
      <c r="W60">
        <v>0</v>
      </c>
      <c r="X60">
        <v>0</v>
      </c>
      <c r="Y60">
        <v>0</v>
      </c>
      <c r="AB60" t="s">
        <v>843</v>
      </c>
      <c r="AE60">
        <v>0</v>
      </c>
      <c r="AG60" t="s">
        <v>843</v>
      </c>
      <c r="AI60">
        <v>60</v>
      </c>
      <c r="CB60" s="103" t="s">
        <v>311</v>
      </c>
      <c r="CC60" s="103" t="s">
        <v>387</v>
      </c>
      <c r="CD60" s="103" t="s">
        <v>287</v>
      </c>
      <c r="CE60" s="103" t="s">
        <v>296</v>
      </c>
      <c r="CF60">
        <v>4</v>
      </c>
      <c r="CG60">
        <v>25</v>
      </c>
      <c r="CH60">
        <v>1000</v>
      </c>
      <c r="CI60">
        <v>25</v>
      </c>
      <c r="CJ60">
        <v>25000</v>
      </c>
      <c r="CN60" s="103"/>
      <c r="CP60" s="103"/>
      <c r="CQ60">
        <v>0</v>
      </c>
      <c r="CS60">
        <v>0</v>
      </c>
      <c r="CT60">
        <v>0</v>
      </c>
      <c r="CU60">
        <v>0</v>
      </c>
    </row>
    <row r="61" spans="1:99" x14ac:dyDescent="0.35">
      <c r="A61" s="102">
        <v>44378</v>
      </c>
      <c r="B61" s="102">
        <v>44378</v>
      </c>
      <c r="C61" s="104">
        <v>44383</v>
      </c>
      <c r="D61" s="103" t="s">
        <v>355</v>
      </c>
      <c r="E61" s="103" t="s">
        <v>297</v>
      </c>
      <c r="F61" s="103" t="s">
        <v>209</v>
      </c>
      <c r="G61" s="103" t="s">
        <v>559</v>
      </c>
      <c r="H61" s="103" t="s">
        <v>437</v>
      </c>
      <c r="I61">
        <v>55</v>
      </c>
      <c r="J61">
        <v>0</v>
      </c>
      <c r="K61">
        <v>0</v>
      </c>
      <c r="L61">
        <v>5</v>
      </c>
      <c r="M61">
        <v>0</v>
      </c>
      <c r="N61">
        <v>0</v>
      </c>
      <c r="O61">
        <v>0</v>
      </c>
      <c r="Q61">
        <v>25</v>
      </c>
      <c r="R61">
        <v>1000</v>
      </c>
      <c r="T61">
        <v>0</v>
      </c>
      <c r="U61">
        <v>1000</v>
      </c>
      <c r="W61">
        <v>0</v>
      </c>
      <c r="X61">
        <v>0</v>
      </c>
      <c r="Y61">
        <v>0</v>
      </c>
      <c r="AB61" t="s">
        <v>843</v>
      </c>
      <c r="AE61">
        <v>0</v>
      </c>
      <c r="AG61" t="s">
        <v>843</v>
      </c>
      <c r="AI61">
        <v>55</v>
      </c>
      <c r="BL61">
        <v>5</v>
      </c>
      <c r="CB61" s="103" t="s">
        <v>311</v>
      </c>
      <c r="CC61" s="103" t="s">
        <v>387</v>
      </c>
      <c r="CD61" s="103" t="s">
        <v>287</v>
      </c>
      <c r="CE61" s="103" t="s">
        <v>296</v>
      </c>
      <c r="CF61">
        <v>4</v>
      </c>
      <c r="CG61">
        <v>25</v>
      </c>
      <c r="CH61">
        <v>1000</v>
      </c>
      <c r="CI61">
        <v>27.27272727272727</v>
      </c>
      <c r="CJ61">
        <v>25000</v>
      </c>
      <c r="CN61" s="103"/>
      <c r="CP61" s="103"/>
      <c r="CQ61">
        <v>0</v>
      </c>
      <c r="CS61">
        <v>0</v>
      </c>
      <c r="CT61">
        <v>0</v>
      </c>
      <c r="CU61">
        <v>0</v>
      </c>
    </row>
    <row r="62" spans="1:99" x14ac:dyDescent="0.35">
      <c r="A62" s="102">
        <v>44378</v>
      </c>
      <c r="B62" s="102">
        <v>44378</v>
      </c>
      <c r="C62" s="104">
        <v>44383</v>
      </c>
      <c r="D62" s="103" t="s">
        <v>355</v>
      </c>
      <c r="E62" s="103" t="s">
        <v>297</v>
      </c>
      <c r="F62" s="103" t="s">
        <v>212</v>
      </c>
      <c r="G62" s="103" t="s">
        <v>519</v>
      </c>
      <c r="H62" s="103" t="s">
        <v>448</v>
      </c>
      <c r="I62">
        <v>60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Q62">
        <v>25</v>
      </c>
      <c r="R62">
        <v>1000</v>
      </c>
      <c r="T62">
        <v>0</v>
      </c>
      <c r="U62">
        <v>1000</v>
      </c>
      <c r="W62">
        <v>0</v>
      </c>
      <c r="X62">
        <v>0</v>
      </c>
      <c r="Y62">
        <v>0</v>
      </c>
      <c r="AB62" t="s">
        <v>843</v>
      </c>
      <c r="AE62">
        <v>0</v>
      </c>
      <c r="AG62" t="s">
        <v>843</v>
      </c>
      <c r="AI62">
        <v>60</v>
      </c>
      <c r="CB62" s="103" t="s">
        <v>311</v>
      </c>
      <c r="CC62" s="103" t="s">
        <v>387</v>
      </c>
      <c r="CD62" s="103" t="s">
        <v>287</v>
      </c>
      <c r="CE62" s="103" t="s">
        <v>296</v>
      </c>
      <c r="CF62">
        <v>4</v>
      </c>
      <c r="CG62">
        <v>25</v>
      </c>
      <c r="CH62">
        <v>1000</v>
      </c>
      <c r="CI62">
        <v>25</v>
      </c>
      <c r="CJ62">
        <v>25000</v>
      </c>
      <c r="CN62" s="103"/>
      <c r="CP62" s="103"/>
      <c r="CQ62">
        <v>0</v>
      </c>
      <c r="CS62">
        <v>0</v>
      </c>
      <c r="CT62">
        <v>0</v>
      </c>
      <c r="CU62">
        <v>0</v>
      </c>
    </row>
    <row r="63" spans="1:99" x14ac:dyDescent="0.35">
      <c r="A63" s="102">
        <v>44378</v>
      </c>
      <c r="B63" s="102">
        <v>44378</v>
      </c>
      <c r="C63" s="104">
        <v>44383</v>
      </c>
      <c r="D63" s="103" t="s">
        <v>355</v>
      </c>
      <c r="E63" s="103" t="s">
        <v>297</v>
      </c>
      <c r="F63" s="103" t="s">
        <v>212</v>
      </c>
      <c r="G63" s="103" t="s">
        <v>520</v>
      </c>
      <c r="H63" s="103" t="s">
        <v>453</v>
      </c>
      <c r="I63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Q63">
        <v>25</v>
      </c>
      <c r="R63">
        <v>1000</v>
      </c>
      <c r="T63">
        <v>0</v>
      </c>
      <c r="U63">
        <v>1000</v>
      </c>
      <c r="W63">
        <v>0</v>
      </c>
      <c r="X63">
        <v>0</v>
      </c>
      <c r="Y63">
        <v>0</v>
      </c>
      <c r="AB63" t="s">
        <v>843</v>
      </c>
      <c r="AE63">
        <v>0</v>
      </c>
      <c r="AG63" t="s">
        <v>843</v>
      </c>
      <c r="AI63">
        <v>60</v>
      </c>
      <c r="CB63" s="103" t="s">
        <v>311</v>
      </c>
      <c r="CC63" s="103" t="s">
        <v>387</v>
      </c>
      <c r="CD63" s="103" t="s">
        <v>287</v>
      </c>
      <c r="CE63" s="103" t="s">
        <v>296</v>
      </c>
      <c r="CF63">
        <v>4</v>
      </c>
      <c r="CG63">
        <v>25</v>
      </c>
      <c r="CH63">
        <v>1000</v>
      </c>
      <c r="CI63">
        <v>25</v>
      </c>
      <c r="CJ63">
        <v>25000</v>
      </c>
      <c r="CN63" s="103"/>
      <c r="CP63" s="103"/>
      <c r="CQ63">
        <v>0</v>
      </c>
      <c r="CS63">
        <v>0</v>
      </c>
      <c r="CT63">
        <v>0</v>
      </c>
      <c r="CU63">
        <v>0</v>
      </c>
    </row>
    <row r="64" spans="1:99" x14ac:dyDescent="0.35">
      <c r="A64" s="102">
        <v>44378</v>
      </c>
      <c r="B64" s="102">
        <v>44378</v>
      </c>
      <c r="C64" s="104">
        <v>44383</v>
      </c>
      <c r="D64" s="103" t="s">
        <v>355</v>
      </c>
      <c r="E64" s="103" t="s">
        <v>297</v>
      </c>
      <c r="F64" s="103" t="s">
        <v>212</v>
      </c>
      <c r="G64" s="103" t="s">
        <v>521</v>
      </c>
      <c r="H64" s="103" t="s">
        <v>457</v>
      </c>
      <c r="I64">
        <v>60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Q64">
        <v>25</v>
      </c>
      <c r="R64">
        <v>1000</v>
      </c>
      <c r="T64">
        <v>0</v>
      </c>
      <c r="U64">
        <v>1000</v>
      </c>
      <c r="W64">
        <v>0</v>
      </c>
      <c r="X64">
        <v>0</v>
      </c>
      <c r="Y64">
        <v>0</v>
      </c>
      <c r="AB64" t="s">
        <v>843</v>
      </c>
      <c r="AE64">
        <v>0</v>
      </c>
      <c r="AG64" t="s">
        <v>843</v>
      </c>
      <c r="AI64">
        <v>60</v>
      </c>
      <c r="CB64" s="103" t="s">
        <v>311</v>
      </c>
      <c r="CC64" s="103" t="s">
        <v>387</v>
      </c>
      <c r="CD64" s="103" t="s">
        <v>287</v>
      </c>
      <c r="CE64" s="103" t="s">
        <v>296</v>
      </c>
      <c r="CF64">
        <v>3</v>
      </c>
      <c r="CG64">
        <v>25</v>
      </c>
      <c r="CH64">
        <v>1000</v>
      </c>
      <c r="CI64">
        <v>25</v>
      </c>
      <c r="CJ64">
        <v>25000</v>
      </c>
      <c r="CN64" s="103"/>
      <c r="CP64" s="103"/>
      <c r="CQ64">
        <v>0</v>
      </c>
      <c r="CS64">
        <v>0</v>
      </c>
      <c r="CT64">
        <v>0</v>
      </c>
      <c r="CU64">
        <v>0</v>
      </c>
    </row>
    <row r="65" spans="1:99" x14ac:dyDescent="0.35">
      <c r="A65" s="102">
        <v>44378</v>
      </c>
      <c r="B65" s="102">
        <v>44378</v>
      </c>
      <c r="C65" s="104">
        <v>44383</v>
      </c>
      <c r="D65" s="103" t="s">
        <v>355</v>
      </c>
      <c r="E65" s="103" t="s">
        <v>297</v>
      </c>
      <c r="F65" s="103" t="s">
        <v>212</v>
      </c>
      <c r="G65" s="103" t="s">
        <v>522</v>
      </c>
      <c r="H65" s="103" t="s">
        <v>461</v>
      </c>
      <c r="I65">
        <v>60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>
        <v>25</v>
      </c>
      <c r="R65">
        <v>1000</v>
      </c>
      <c r="T65">
        <v>0</v>
      </c>
      <c r="U65">
        <v>1000</v>
      </c>
      <c r="W65">
        <v>0</v>
      </c>
      <c r="X65">
        <v>0</v>
      </c>
      <c r="Y65">
        <v>0</v>
      </c>
      <c r="AB65" t="s">
        <v>843</v>
      </c>
      <c r="AE65">
        <v>0</v>
      </c>
      <c r="AG65" t="s">
        <v>843</v>
      </c>
      <c r="AI65">
        <v>60</v>
      </c>
      <c r="CB65" s="103" t="s">
        <v>311</v>
      </c>
      <c r="CC65" s="103" t="s">
        <v>387</v>
      </c>
      <c r="CD65" s="103" t="s">
        <v>287</v>
      </c>
      <c r="CE65" s="103" t="s">
        <v>296</v>
      </c>
      <c r="CF65">
        <v>3</v>
      </c>
      <c r="CG65">
        <v>25</v>
      </c>
      <c r="CH65">
        <v>1000</v>
      </c>
      <c r="CI65">
        <v>25</v>
      </c>
      <c r="CJ65">
        <v>25000</v>
      </c>
      <c r="CN65" s="103"/>
      <c r="CP65" s="103"/>
      <c r="CQ65">
        <v>0</v>
      </c>
      <c r="CS65">
        <v>0</v>
      </c>
      <c r="CT65">
        <v>0</v>
      </c>
      <c r="CU65">
        <v>0</v>
      </c>
    </row>
    <row r="66" spans="1:99" x14ac:dyDescent="0.35">
      <c r="A66" s="102">
        <v>44378</v>
      </c>
      <c r="B66" s="102">
        <v>44378</v>
      </c>
      <c r="C66" s="104">
        <v>44383</v>
      </c>
      <c r="D66" s="103" t="s">
        <v>355</v>
      </c>
      <c r="E66" s="103" t="s">
        <v>297</v>
      </c>
      <c r="F66" s="103" t="s">
        <v>212</v>
      </c>
      <c r="G66" s="103" t="s">
        <v>523</v>
      </c>
      <c r="H66" s="103" t="s">
        <v>466</v>
      </c>
      <c r="I66">
        <v>60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Q66">
        <v>25</v>
      </c>
      <c r="R66">
        <v>1000</v>
      </c>
      <c r="T66">
        <v>0</v>
      </c>
      <c r="U66">
        <v>1000</v>
      </c>
      <c r="W66">
        <v>0</v>
      </c>
      <c r="X66">
        <v>0</v>
      </c>
      <c r="Y66">
        <v>0</v>
      </c>
      <c r="AB66" t="s">
        <v>843</v>
      </c>
      <c r="AE66">
        <v>0</v>
      </c>
      <c r="AG66" t="s">
        <v>843</v>
      </c>
      <c r="AI66">
        <v>60</v>
      </c>
      <c r="CB66" s="103" t="s">
        <v>311</v>
      </c>
      <c r="CC66" s="103" t="s">
        <v>387</v>
      </c>
      <c r="CD66" s="103" t="s">
        <v>287</v>
      </c>
      <c r="CE66" s="103" t="s">
        <v>296</v>
      </c>
      <c r="CF66">
        <v>3</v>
      </c>
      <c r="CG66">
        <v>25</v>
      </c>
      <c r="CH66">
        <v>1000</v>
      </c>
      <c r="CI66">
        <v>25</v>
      </c>
      <c r="CJ66">
        <v>25000</v>
      </c>
      <c r="CN66" s="103"/>
      <c r="CP66" s="103"/>
      <c r="CQ66">
        <v>0</v>
      </c>
      <c r="CS66">
        <v>0</v>
      </c>
      <c r="CT66">
        <v>0</v>
      </c>
      <c r="CU66">
        <v>0</v>
      </c>
    </row>
    <row r="67" spans="1:99" x14ac:dyDescent="0.35">
      <c r="A67" s="102">
        <v>44378</v>
      </c>
      <c r="B67" s="102">
        <v>44378</v>
      </c>
      <c r="C67" s="104">
        <v>44383</v>
      </c>
      <c r="D67" s="103" t="s">
        <v>355</v>
      </c>
      <c r="E67" s="103" t="s">
        <v>297</v>
      </c>
      <c r="F67" s="103" t="s">
        <v>212</v>
      </c>
      <c r="G67" s="103" t="s">
        <v>524</v>
      </c>
      <c r="H67" s="103" t="s">
        <v>469</v>
      </c>
      <c r="I67">
        <v>60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>
        <v>25</v>
      </c>
      <c r="R67">
        <v>1000</v>
      </c>
      <c r="T67">
        <v>0</v>
      </c>
      <c r="U67">
        <v>1000</v>
      </c>
      <c r="W67">
        <v>0</v>
      </c>
      <c r="X67">
        <v>0</v>
      </c>
      <c r="Y67">
        <v>0</v>
      </c>
      <c r="AB67" t="s">
        <v>843</v>
      </c>
      <c r="AE67">
        <v>0</v>
      </c>
      <c r="AG67" t="s">
        <v>843</v>
      </c>
      <c r="AI67">
        <v>60</v>
      </c>
      <c r="CB67" s="103" t="s">
        <v>311</v>
      </c>
      <c r="CC67" s="103" t="s">
        <v>387</v>
      </c>
      <c r="CD67" s="103" t="s">
        <v>287</v>
      </c>
      <c r="CE67" s="103" t="s">
        <v>296</v>
      </c>
      <c r="CF67">
        <v>3</v>
      </c>
      <c r="CG67">
        <v>25</v>
      </c>
      <c r="CH67">
        <v>1000</v>
      </c>
      <c r="CI67">
        <v>25</v>
      </c>
      <c r="CJ67">
        <v>25000</v>
      </c>
      <c r="CN67" s="103"/>
      <c r="CP67" s="103"/>
      <c r="CQ67">
        <v>0</v>
      </c>
      <c r="CS67">
        <v>0</v>
      </c>
      <c r="CT67">
        <v>0</v>
      </c>
      <c r="CU67">
        <v>0</v>
      </c>
    </row>
    <row r="68" spans="1:99" x14ac:dyDescent="0.35">
      <c r="A68" s="102">
        <v>44378</v>
      </c>
      <c r="B68" s="102">
        <v>44378</v>
      </c>
      <c r="C68" s="104">
        <v>44383</v>
      </c>
      <c r="D68" s="103" t="s">
        <v>355</v>
      </c>
      <c r="E68" s="103" t="s">
        <v>297</v>
      </c>
      <c r="F68" s="103" t="s">
        <v>212</v>
      </c>
      <c r="G68" s="103" t="s">
        <v>525</v>
      </c>
      <c r="H68" s="103" t="s">
        <v>472</v>
      </c>
      <c r="I68">
        <v>0</v>
      </c>
      <c r="J68">
        <v>0</v>
      </c>
      <c r="K68">
        <v>0</v>
      </c>
      <c r="L68">
        <v>60</v>
      </c>
      <c r="M68">
        <v>0</v>
      </c>
      <c r="N68">
        <v>0</v>
      </c>
      <c r="O68">
        <v>0</v>
      </c>
      <c r="Q68">
        <v>0</v>
      </c>
      <c r="R68">
        <v>0</v>
      </c>
      <c r="T68">
        <v>0</v>
      </c>
      <c r="U68">
        <v>0</v>
      </c>
      <c r="W68">
        <v>0</v>
      </c>
      <c r="X68">
        <v>0</v>
      </c>
      <c r="Y68">
        <v>0</v>
      </c>
      <c r="AB68" t="s">
        <v>843</v>
      </c>
      <c r="AE68">
        <v>0</v>
      </c>
      <c r="AG68" t="s">
        <v>843</v>
      </c>
      <c r="BH68">
        <v>60</v>
      </c>
      <c r="CB68" s="103" t="s">
        <v>311</v>
      </c>
      <c r="CC68" s="103" t="s">
        <v>387</v>
      </c>
      <c r="CD68" s="103"/>
      <c r="CE68" s="103"/>
      <c r="CG68">
        <v>0</v>
      </c>
      <c r="CI68">
        <v>0</v>
      </c>
      <c r="CJ68">
        <v>0</v>
      </c>
      <c r="CN68" s="103"/>
      <c r="CP68" s="103"/>
      <c r="CQ68">
        <v>0</v>
      </c>
      <c r="CS68">
        <v>0</v>
      </c>
      <c r="CT68">
        <v>0</v>
      </c>
      <c r="CU68">
        <v>0</v>
      </c>
    </row>
    <row r="69" spans="1:99" x14ac:dyDescent="0.35">
      <c r="A69" s="102">
        <v>44378</v>
      </c>
      <c r="B69" s="102">
        <v>44378</v>
      </c>
      <c r="C69" s="104">
        <v>44383</v>
      </c>
      <c r="D69" s="103" t="s">
        <v>355</v>
      </c>
      <c r="E69" s="103" t="s">
        <v>297</v>
      </c>
      <c r="F69" s="103" t="s">
        <v>212</v>
      </c>
      <c r="G69" s="103" t="s">
        <v>526</v>
      </c>
      <c r="H69" s="103" t="s">
        <v>478</v>
      </c>
      <c r="I69">
        <v>60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>
        <v>25</v>
      </c>
      <c r="R69">
        <v>1000</v>
      </c>
      <c r="T69">
        <v>0</v>
      </c>
      <c r="U69">
        <v>1000</v>
      </c>
      <c r="W69">
        <v>0</v>
      </c>
      <c r="X69">
        <v>0</v>
      </c>
      <c r="Y69">
        <v>0</v>
      </c>
      <c r="AB69" t="s">
        <v>843</v>
      </c>
      <c r="AE69">
        <v>0</v>
      </c>
      <c r="AG69" t="s">
        <v>843</v>
      </c>
      <c r="AI69">
        <v>60</v>
      </c>
      <c r="CB69" s="103" t="s">
        <v>311</v>
      </c>
      <c r="CC69" s="103" t="s">
        <v>387</v>
      </c>
      <c r="CD69" s="103" t="s">
        <v>287</v>
      </c>
      <c r="CE69" s="103" t="s">
        <v>296</v>
      </c>
      <c r="CF69">
        <v>3</v>
      </c>
      <c r="CG69">
        <v>25</v>
      </c>
      <c r="CH69">
        <v>1000</v>
      </c>
      <c r="CI69">
        <v>25</v>
      </c>
      <c r="CJ69">
        <v>25000</v>
      </c>
      <c r="CN69" s="103"/>
      <c r="CP69" s="103"/>
      <c r="CQ69">
        <v>0</v>
      </c>
      <c r="CS69">
        <v>0</v>
      </c>
      <c r="CT69">
        <v>0</v>
      </c>
      <c r="CU69">
        <v>0</v>
      </c>
    </row>
    <row r="70" spans="1:99" x14ac:dyDescent="0.35">
      <c r="A70" s="102">
        <v>44378</v>
      </c>
      <c r="B70" s="102">
        <v>44378</v>
      </c>
      <c r="C70" s="104">
        <v>44383</v>
      </c>
      <c r="D70" s="103" t="s">
        <v>355</v>
      </c>
      <c r="E70" s="103" t="s">
        <v>297</v>
      </c>
      <c r="F70" s="103" t="s">
        <v>212</v>
      </c>
      <c r="G70" s="103" t="s">
        <v>527</v>
      </c>
      <c r="H70" s="103" t="s">
        <v>482</v>
      </c>
      <c r="I70">
        <v>60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>
        <v>25</v>
      </c>
      <c r="R70">
        <v>1000</v>
      </c>
      <c r="T70">
        <v>0</v>
      </c>
      <c r="U70">
        <v>1000</v>
      </c>
      <c r="W70">
        <v>0</v>
      </c>
      <c r="X70">
        <v>0</v>
      </c>
      <c r="Y70">
        <v>0</v>
      </c>
      <c r="AB70" t="s">
        <v>843</v>
      </c>
      <c r="AE70">
        <v>0</v>
      </c>
      <c r="AG70" t="s">
        <v>843</v>
      </c>
      <c r="AI70">
        <v>60</v>
      </c>
      <c r="CB70" s="103" t="s">
        <v>311</v>
      </c>
      <c r="CC70" s="103" t="s">
        <v>387</v>
      </c>
      <c r="CD70" s="103" t="s">
        <v>287</v>
      </c>
      <c r="CE70" s="103" t="s">
        <v>296</v>
      </c>
      <c r="CF70">
        <v>3</v>
      </c>
      <c r="CG70">
        <v>25</v>
      </c>
      <c r="CH70">
        <v>1000</v>
      </c>
      <c r="CI70">
        <v>25</v>
      </c>
      <c r="CJ70">
        <v>25000</v>
      </c>
      <c r="CN70" s="103"/>
      <c r="CP70" s="103"/>
      <c r="CQ70">
        <v>0</v>
      </c>
      <c r="CS70">
        <v>0</v>
      </c>
      <c r="CT70">
        <v>0</v>
      </c>
      <c r="CU70">
        <v>0</v>
      </c>
    </row>
    <row r="71" spans="1:99" x14ac:dyDescent="0.35">
      <c r="A71" s="102">
        <v>44378</v>
      </c>
      <c r="B71" s="102">
        <v>44378</v>
      </c>
      <c r="C71" s="104">
        <v>44383</v>
      </c>
      <c r="D71" s="103" t="s">
        <v>355</v>
      </c>
      <c r="E71" s="103" t="s">
        <v>297</v>
      </c>
      <c r="F71" s="103" t="s">
        <v>212</v>
      </c>
      <c r="G71" s="103" t="s">
        <v>528</v>
      </c>
      <c r="H71" s="103" t="s">
        <v>487</v>
      </c>
      <c r="I71">
        <v>60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Q71">
        <v>25</v>
      </c>
      <c r="R71">
        <v>1000</v>
      </c>
      <c r="T71">
        <v>0</v>
      </c>
      <c r="U71">
        <v>1000</v>
      </c>
      <c r="W71">
        <v>0</v>
      </c>
      <c r="X71">
        <v>0</v>
      </c>
      <c r="Y71">
        <v>0</v>
      </c>
      <c r="AB71" t="s">
        <v>843</v>
      </c>
      <c r="AE71">
        <v>0</v>
      </c>
      <c r="AG71" t="s">
        <v>843</v>
      </c>
      <c r="AI71">
        <v>60</v>
      </c>
      <c r="CB71" s="103" t="s">
        <v>311</v>
      </c>
      <c r="CC71" s="103" t="s">
        <v>387</v>
      </c>
      <c r="CD71" s="103" t="s">
        <v>287</v>
      </c>
      <c r="CE71" s="103" t="s">
        <v>296</v>
      </c>
      <c r="CF71">
        <v>3</v>
      </c>
      <c r="CG71">
        <v>25</v>
      </c>
      <c r="CH71">
        <v>1000</v>
      </c>
      <c r="CI71">
        <v>25</v>
      </c>
      <c r="CJ71">
        <v>25000</v>
      </c>
      <c r="CN71" s="103"/>
      <c r="CP71" s="103"/>
      <c r="CQ71">
        <v>0</v>
      </c>
      <c r="CS71">
        <v>0</v>
      </c>
      <c r="CT71">
        <v>0</v>
      </c>
      <c r="CU71">
        <v>0</v>
      </c>
    </row>
    <row r="72" spans="1:99" x14ac:dyDescent="0.35">
      <c r="A72" s="102">
        <v>44378</v>
      </c>
      <c r="B72" s="102">
        <v>44378</v>
      </c>
      <c r="C72" s="104">
        <v>44383</v>
      </c>
      <c r="D72" s="103" t="s">
        <v>355</v>
      </c>
      <c r="E72" s="103" t="s">
        <v>297</v>
      </c>
      <c r="F72" s="103" t="s">
        <v>212</v>
      </c>
      <c r="G72" s="103" t="s">
        <v>529</v>
      </c>
      <c r="H72" s="103" t="s">
        <v>492</v>
      </c>
      <c r="I72">
        <v>60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Q72">
        <v>25</v>
      </c>
      <c r="R72">
        <v>1000</v>
      </c>
      <c r="T72">
        <v>0</v>
      </c>
      <c r="U72">
        <v>1000</v>
      </c>
      <c r="W72">
        <v>0</v>
      </c>
      <c r="X72">
        <v>0</v>
      </c>
      <c r="Y72">
        <v>0</v>
      </c>
      <c r="AB72" t="s">
        <v>843</v>
      </c>
      <c r="AE72">
        <v>0</v>
      </c>
      <c r="AG72" t="s">
        <v>843</v>
      </c>
      <c r="AI72">
        <v>60</v>
      </c>
      <c r="CB72" s="103" t="s">
        <v>311</v>
      </c>
      <c r="CC72" s="103" t="s">
        <v>387</v>
      </c>
      <c r="CD72" s="103" t="s">
        <v>287</v>
      </c>
      <c r="CE72" s="103" t="s">
        <v>296</v>
      </c>
      <c r="CF72">
        <v>3</v>
      </c>
      <c r="CG72">
        <v>25</v>
      </c>
      <c r="CH72">
        <v>1000</v>
      </c>
      <c r="CI72">
        <v>25</v>
      </c>
      <c r="CJ72">
        <v>25000</v>
      </c>
      <c r="CN72" s="103"/>
      <c r="CP72" s="103"/>
      <c r="CQ72">
        <v>0</v>
      </c>
      <c r="CS72">
        <v>0</v>
      </c>
      <c r="CT72">
        <v>0</v>
      </c>
      <c r="CU72">
        <v>0</v>
      </c>
    </row>
    <row r="73" spans="1:99" x14ac:dyDescent="0.35">
      <c r="A73" s="102">
        <v>44378</v>
      </c>
      <c r="B73" s="102">
        <v>44378</v>
      </c>
      <c r="C73" s="104">
        <v>44383</v>
      </c>
      <c r="D73" s="103" t="s">
        <v>355</v>
      </c>
      <c r="E73" s="103" t="s">
        <v>297</v>
      </c>
      <c r="F73" s="103" t="s">
        <v>212</v>
      </c>
      <c r="G73" s="103" t="s">
        <v>530</v>
      </c>
      <c r="H73" s="103" t="s">
        <v>497</v>
      </c>
      <c r="I73">
        <v>60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Q73">
        <v>25</v>
      </c>
      <c r="R73">
        <v>1000</v>
      </c>
      <c r="T73">
        <v>0</v>
      </c>
      <c r="U73">
        <v>1000</v>
      </c>
      <c r="W73">
        <v>0</v>
      </c>
      <c r="X73">
        <v>0</v>
      </c>
      <c r="Y73">
        <v>0</v>
      </c>
      <c r="AB73" t="s">
        <v>843</v>
      </c>
      <c r="AE73">
        <v>0</v>
      </c>
      <c r="AG73" t="s">
        <v>843</v>
      </c>
      <c r="AI73">
        <v>60</v>
      </c>
      <c r="CB73" s="103" t="s">
        <v>311</v>
      </c>
      <c r="CC73" s="103" t="s">
        <v>387</v>
      </c>
      <c r="CD73" s="103" t="s">
        <v>287</v>
      </c>
      <c r="CE73" s="103" t="s">
        <v>296</v>
      </c>
      <c r="CF73">
        <v>4</v>
      </c>
      <c r="CG73">
        <v>25</v>
      </c>
      <c r="CH73">
        <v>1000</v>
      </c>
      <c r="CI73">
        <v>25</v>
      </c>
      <c r="CJ73">
        <v>25000</v>
      </c>
      <c r="CN73" s="103"/>
      <c r="CP73" s="103"/>
      <c r="CQ73">
        <v>0</v>
      </c>
      <c r="CS73">
        <v>0</v>
      </c>
      <c r="CT73">
        <v>0</v>
      </c>
      <c r="CU73">
        <v>0</v>
      </c>
    </row>
    <row r="74" spans="1:99" x14ac:dyDescent="0.35">
      <c r="A74" s="102">
        <v>44378</v>
      </c>
      <c r="B74" s="102">
        <v>44378</v>
      </c>
      <c r="C74" s="104">
        <v>44383</v>
      </c>
      <c r="D74" s="103" t="s">
        <v>370</v>
      </c>
      <c r="E74" s="103" t="s">
        <v>297</v>
      </c>
      <c r="F74" s="103" t="s">
        <v>209</v>
      </c>
      <c r="G74" s="103" t="s">
        <v>510</v>
      </c>
      <c r="H74" s="103" t="s">
        <v>281</v>
      </c>
      <c r="I74">
        <v>30</v>
      </c>
      <c r="J74">
        <v>0</v>
      </c>
      <c r="K74">
        <v>0</v>
      </c>
      <c r="L74">
        <v>30</v>
      </c>
      <c r="M74">
        <v>0</v>
      </c>
      <c r="N74">
        <v>0</v>
      </c>
      <c r="O74">
        <v>0</v>
      </c>
      <c r="Q74">
        <v>25</v>
      </c>
      <c r="R74">
        <v>1000</v>
      </c>
      <c r="T74">
        <v>0</v>
      </c>
      <c r="U74">
        <v>1000</v>
      </c>
      <c r="W74">
        <v>0</v>
      </c>
      <c r="X74">
        <v>0</v>
      </c>
      <c r="Y74">
        <v>0</v>
      </c>
      <c r="AB74" t="s">
        <v>843</v>
      </c>
      <c r="AE74">
        <v>0</v>
      </c>
      <c r="AG74" t="s">
        <v>843</v>
      </c>
      <c r="AI74">
        <v>30</v>
      </c>
      <c r="BA74">
        <v>10</v>
      </c>
      <c r="BB74">
        <v>20</v>
      </c>
      <c r="CB74" s="103" t="s">
        <v>311</v>
      </c>
      <c r="CC74" s="103" t="s">
        <v>387</v>
      </c>
      <c r="CD74" s="103" t="s">
        <v>287</v>
      </c>
      <c r="CE74" s="103" t="s">
        <v>296</v>
      </c>
      <c r="CF74">
        <v>3</v>
      </c>
      <c r="CG74">
        <v>25</v>
      </c>
      <c r="CH74">
        <v>1000</v>
      </c>
      <c r="CI74">
        <v>50</v>
      </c>
      <c r="CJ74">
        <v>25000</v>
      </c>
      <c r="CN74" s="103"/>
      <c r="CP74" s="103"/>
      <c r="CQ74">
        <v>0</v>
      </c>
      <c r="CS74">
        <v>0</v>
      </c>
      <c r="CT74">
        <v>0</v>
      </c>
      <c r="CU74">
        <v>0</v>
      </c>
    </row>
    <row r="75" spans="1:99" x14ac:dyDescent="0.35">
      <c r="A75" s="102">
        <v>44378</v>
      </c>
      <c r="B75" s="102">
        <v>44378</v>
      </c>
      <c r="C75" s="104">
        <v>44383</v>
      </c>
      <c r="D75" s="103" t="s">
        <v>370</v>
      </c>
      <c r="E75" s="103" t="s">
        <v>297</v>
      </c>
      <c r="F75" s="103" t="s">
        <v>209</v>
      </c>
      <c r="G75" s="103" t="s">
        <v>511</v>
      </c>
      <c r="H75" s="103" t="s">
        <v>301</v>
      </c>
      <c r="I75">
        <v>50</v>
      </c>
      <c r="J75">
        <v>0</v>
      </c>
      <c r="K75">
        <v>0</v>
      </c>
      <c r="L75">
        <v>10</v>
      </c>
      <c r="M75">
        <v>0</v>
      </c>
      <c r="N75">
        <v>0</v>
      </c>
      <c r="O75">
        <v>0</v>
      </c>
      <c r="Q75">
        <v>25</v>
      </c>
      <c r="R75">
        <v>1000</v>
      </c>
      <c r="T75">
        <v>0</v>
      </c>
      <c r="U75">
        <v>1000</v>
      </c>
      <c r="W75">
        <v>0</v>
      </c>
      <c r="X75">
        <v>0</v>
      </c>
      <c r="Y75">
        <v>0</v>
      </c>
      <c r="AB75" t="s">
        <v>843</v>
      </c>
      <c r="AE75">
        <v>0</v>
      </c>
      <c r="AG75" t="s">
        <v>843</v>
      </c>
      <c r="AI75">
        <v>50</v>
      </c>
      <c r="BO75">
        <v>10</v>
      </c>
      <c r="CB75" s="103" t="s">
        <v>311</v>
      </c>
      <c r="CC75" s="103" t="s">
        <v>387</v>
      </c>
      <c r="CD75" s="103" t="s">
        <v>287</v>
      </c>
      <c r="CE75" s="103" t="s">
        <v>296</v>
      </c>
      <c r="CF75">
        <v>3</v>
      </c>
      <c r="CG75">
        <v>25</v>
      </c>
      <c r="CH75">
        <v>1000</v>
      </c>
      <c r="CI75">
        <v>30</v>
      </c>
      <c r="CJ75">
        <v>25000</v>
      </c>
      <c r="CN75" s="103"/>
      <c r="CP75" s="103"/>
      <c r="CQ75">
        <v>0</v>
      </c>
      <c r="CS75">
        <v>0</v>
      </c>
      <c r="CT75">
        <v>0</v>
      </c>
      <c r="CU75">
        <v>0</v>
      </c>
    </row>
    <row r="76" spans="1:99" x14ac:dyDescent="0.35">
      <c r="A76" s="102">
        <v>44378</v>
      </c>
      <c r="B76" s="102">
        <v>44378</v>
      </c>
      <c r="C76" s="104">
        <v>44383</v>
      </c>
      <c r="D76" s="103" t="s">
        <v>370</v>
      </c>
      <c r="E76" s="103" t="s">
        <v>297</v>
      </c>
      <c r="F76" s="103" t="s">
        <v>209</v>
      </c>
      <c r="G76" s="103" t="s">
        <v>512</v>
      </c>
      <c r="H76" s="103" t="s">
        <v>317</v>
      </c>
      <c r="I76">
        <v>50</v>
      </c>
      <c r="J76">
        <v>0</v>
      </c>
      <c r="K76">
        <v>0</v>
      </c>
      <c r="L76">
        <v>10</v>
      </c>
      <c r="M76">
        <v>0</v>
      </c>
      <c r="N76">
        <v>0</v>
      </c>
      <c r="O76">
        <v>0</v>
      </c>
      <c r="Q76">
        <v>25</v>
      </c>
      <c r="R76">
        <v>1000</v>
      </c>
      <c r="T76">
        <v>0</v>
      </c>
      <c r="U76">
        <v>1000</v>
      </c>
      <c r="W76">
        <v>0</v>
      </c>
      <c r="X76">
        <v>0</v>
      </c>
      <c r="Y76">
        <v>0</v>
      </c>
      <c r="AB76" t="s">
        <v>843</v>
      </c>
      <c r="AE76">
        <v>0</v>
      </c>
      <c r="AG76" t="s">
        <v>843</v>
      </c>
      <c r="AI76">
        <v>50</v>
      </c>
      <c r="BI76">
        <v>10</v>
      </c>
      <c r="CB76" s="103" t="s">
        <v>311</v>
      </c>
      <c r="CC76" s="103" t="s">
        <v>387</v>
      </c>
      <c r="CD76" s="103" t="s">
        <v>287</v>
      </c>
      <c r="CE76" s="103" t="s">
        <v>296</v>
      </c>
      <c r="CF76">
        <v>4</v>
      </c>
      <c r="CG76">
        <v>25</v>
      </c>
      <c r="CH76">
        <v>1000</v>
      </c>
      <c r="CI76">
        <v>30</v>
      </c>
      <c r="CJ76">
        <v>25000</v>
      </c>
      <c r="CN76" s="103"/>
      <c r="CP76" s="103"/>
      <c r="CQ76">
        <v>0</v>
      </c>
      <c r="CS76">
        <v>0</v>
      </c>
      <c r="CT76">
        <v>0</v>
      </c>
      <c r="CU76">
        <v>0</v>
      </c>
    </row>
    <row r="77" spans="1:99" x14ac:dyDescent="0.35">
      <c r="A77" s="102">
        <v>44378</v>
      </c>
      <c r="B77" s="102">
        <v>44378</v>
      </c>
      <c r="C77" s="104">
        <v>44383</v>
      </c>
      <c r="D77" s="103" t="s">
        <v>370</v>
      </c>
      <c r="E77" s="103" t="s">
        <v>297</v>
      </c>
      <c r="F77" s="103" t="s">
        <v>209</v>
      </c>
      <c r="G77" s="103" t="s">
        <v>513</v>
      </c>
      <c r="H77" s="103" t="s">
        <v>334</v>
      </c>
      <c r="I77">
        <v>50</v>
      </c>
      <c r="J77">
        <v>0</v>
      </c>
      <c r="K77">
        <v>0</v>
      </c>
      <c r="L77">
        <v>10</v>
      </c>
      <c r="M77">
        <v>0</v>
      </c>
      <c r="N77">
        <v>0</v>
      </c>
      <c r="O77">
        <v>0</v>
      </c>
      <c r="Q77">
        <v>25</v>
      </c>
      <c r="R77">
        <v>1000</v>
      </c>
      <c r="T77">
        <v>0</v>
      </c>
      <c r="U77">
        <v>1000</v>
      </c>
      <c r="W77">
        <v>0</v>
      </c>
      <c r="X77">
        <v>0</v>
      </c>
      <c r="Y77">
        <v>0</v>
      </c>
      <c r="AB77" t="s">
        <v>843</v>
      </c>
      <c r="AE77">
        <v>0</v>
      </c>
      <c r="AG77" t="s">
        <v>843</v>
      </c>
      <c r="AI77">
        <v>50</v>
      </c>
      <c r="BJ77">
        <v>10</v>
      </c>
      <c r="CB77" s="103" t="s">
        <v>311</v>
      </c>
      <c r="CC77" s="103" t="s">
        <v>387</v>
      </c>
      <c r="CD77" s="103" t="s">
        <v>287</v>
      </c>
      <c r="CE77" s="103" t="s">
        <v>296</v>
      </c>
      <c r="CF77">
        <v>4</v>
      </c>
      <c r="CG77">
        <v>25</v>
      </c>
      <c r="CH77">
        <v>1000</v>
      </c>
      <c r="CI77">
        <v>30</v>
      </c>
      <c r="CJ77">
        <v>25000</v>
      </c>
      <c r="CN77" s="103"/>
      <c r="CP77" s="103"/>
      <c r="CQ77">
        <v>0</v>
      </c>
      <c r="CS77">
        <v>0</v>
      </c>
      <c r="CT77">
        <v>0</v>
      </c>
      <c r="CU77">
        <v>0</v>
      </c>
    </row>
    <row r="78" spans="1:99" x14ac:dyDescent="0.35">
      <c r="A78" s="102">
        <v>44378</v>
      </c>
      <c r="B78" s="102">
        <v>44378</v>
      </c>
      <c r="C78" s="104">
        <v>44383</v>
      </c>
      <c r="D78" s="103" t="s">
        <v>370</v>
      </c>
      <c r="E78" s="103" t="s">
        <v>297</v>
      </c>
      <c r="F78" s="103" t="s">
        <v>209</v>
      </c>
      <c r="G78" s="103" t="s">
        <v>514</v>
      </c>
      <c r="H78" s="103" t="s">
        <v>348</v>
      </c>
      <c r="I78">
        <v>60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Q78">
        <v>25</v>
      </c>
      <c r="R78">
        <v>1000</v>
      </c>
      <c r="T78">
        <v>0</v>
      </c>
      <c r="U78">
        <v>1000</v>
      </c>
      <c r="W78">
        <v>0</v>
      </c>
      <c r="X78">
        <v>0</v>
      </c>
      <c r="Y78">
        <v>0</v>
      </c>
      <c r="AB78" t="s">
        <v>843</v>
      </c>
      <c r="AE78">
        <v>0</v>
      </c>
      <c r="AG78" t="s">
        <v>843</v>
      </c>
      <c r="AI78">
        <v>60</v>
      </c>
      <c r="CB78" s="103" t="s">
        <v>311</v>
      </c>
      <c r="CC78" s="103" t="s">
        <v>387</v>
      </c>
      <c r="CD78" s="103" t="s">
        <v>287</v>
      </c>
      <c r="CE78" s="103" t="s">
        <v>296</v>
      </c>
      <c r="CF78">
        <v>4</v>
      </c>
      <c r="CG78">
        <v>25</v>
      </c>
      <c r="CH78">
        <v>1000</v>
      </c>
      <c r="CI78">
        <v>25</v>
      </c>
      <c r="CJ78">
        <v>25000</v>
      </c>
      <c r="CN78" s="103"/>
      <c r="CP78" s="103"/>
      <c r="CQ78">
        <v>0</v>
      </c>
      <c r="CS78">
        <v>0</v>
      </c>
      <c r="CT78">
        <v>0</v>
      </c>
      <c r="CU78">
        <v>0</v>
      </c>
    </row>
    <row r="79" spans="1:99" x14ac:dyDescent="0.35">
      <c r="A79" s="102">
        <v>44378</v>
      </c>
      <c r="B79" s="102">
        <v>44378</v>
      </c>
      <c r="C79" s="104">
        <v>44383</v>
      </c>
      <c r="D79" s="103" t="s">
        <v>370</v>
      </c>
      <c r="E79" s="103" t="s">
        <v>297</v>
      </c>
      <c r="F79" s="103" t="s">
        <v>209</v>
      </c>
      <c r="G79" s="103" t="s">
        <v>515</v>
      </c>
      <c r="H79" s="103" t="s">
        <v>364</v>
      </c>
      <c r="I79">
        <v>60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Q79">
        <v>25</v>
      </c>
      <c r="R79">
        <v>1000</v>
      </c>
      <c r="T79">
        <v>0</v>
      </c>
      <c r="U79">
        <v>1000</v>
      </c>
      <c r="W79">
        <v>0</v>
      </c>
      <c r="X79">
        <v>0</v>
      </c>
      <c r="Y79">
        <v>0</v>
      </c>
      <c r="AB79" t="s">
        <v>843</v>
      </c>
      <c r="AE79">
        <v>0</v>
      </c>
      <c r="AG79" t="s">
        <v>843</v>
      </c>
      <c r="AI79">
        <v>60</v>
      </c>
      <c r="CB79" s="103" t="s">
        <v>311</v>
      </c>
      <c r="CC79" s="103" t="s">
        <v>387</v>
      </c>
      <c r="CD79" s="103" t="s">
        <v>287</v>
      </c>
      <c r="CE79" s="103" t="s">
        <v>296</v>
      </c>
      <c r="CF79">
        <v>3</v>
      </c>
      <c r="CG79">
        <v>25</v>
      </c>
      <c r="CH79">
        <v>1000</v>
      </c>
      <c r="CI79">
        <v>25</v>
      </c>
      <c r="CJ79">
        <v>25000</v>
      </c>
      <c r="CN79" s="103"/>
      <c r="CP79" s="103"/>
      <c r="CQ79">
        <v>0</v>
      </c>
      <c r="CS79">
        <v>0</v>
      </c>
      <c r="CT79">
        <v>0</v>
      </c>
      <c r="CU79">
        <v>0</v>
      </c>
    </row>
    <row r="80" spans="1:99" x14ac:dyDescent="0.35">
      <c r="A80" s="102">
        <v>44378</v>
      </c>
      <c r="B80" s="102">
        <v>44378</v>
      </c>
      <c r="C80" s="104">
        <v>44383</v>
      </c>
      <c r="D80" s="103" t="s">
        <v>370</v>
      </c>
      <c r="E80" s="103" t="s">
        <v>297</v>
      </c>
      <c r="F80" s="103" t="s">
        <v>209</v>
      </c>
      <c r="G80" s="103" t="s">
        <v>516</v>
      </c>
      <c r="H80" s="103" t="s">
        <v>378</v>
      </c>
      <c r="I80">
        <v>0</v>
      </c>
      <c r="J80">
        <v>0</v>
      </c>
      <c r="K80">
        <v>0</v>
      </c>
      <c r="L80">
        <v>60</v>
      </c>
      <c r="M80">
        <v>0</v>
      </c>
      <c r="N80">
        <v>0</v>
      </c>
      <c r="O80">
        <v>0</v>
      </c>
      <c r="Q80">
        <v>25</v>
      </c>
      <c r="R80">
        <v>1000</v>
      </c>
      <c r="T80">
        <v>0</v>
      </c>
      <c r="U80">
        <v>1000</v>
      </c>
      <c r="W80">
        <v>0</v>
      </c>
      <c r="X80">
        <v>0</v>
      </c>
      <c r="Y80">
        <v>0</v>
      </c>
      <c r="AB80" t="s">
        <v>843</v>
      </c>
      <c r="AE80">
        <v>0</v>
      </c>
      <c r="AG80" t="s">
        <v>843</v>
      </c>
      <c r="BH80">
        <v>60</v>
      </c>
      <c r="CB80" s="103" t="s">
        <v>311</v>
      </c>
      <c r="CC80" s="103" t="s">
        <v>387</v>
      </c>
      <c r="CD80" s="103" t="s">
        <v>287</v>
      </c>
      <c r="CE80" s="103" t="s">
        <v>296</v>
      </c>
      <c r="CG80">
        <v>25</v>
      </c>
      <c r="CH80">
        <v>1000</v>
      </c>
      <c r="CI80">
        <v>0</v>
      </c>
      <c r="CJ80">
        <v>25000</v>
      </c>
      <c r="CN80" s="103"/>
      <c r="CP80" s="103"/>
      <c r="CQ80">
        <v>0</v>
      </c>
      <c r="CS80">
        <v>0</v>
      </c>
      <c r="CT80">
        <v>0</v>
      </c>
      <c r="CU80">
        <v>0</v>
      </c>
    </row>
    <row r="81" spans="1:99" x14ac:dyDescent="0.35">
      <c r="A81" s="102">
        <v>44378</v>
      </c>
      <c r="B81" s="102">
        <v>44378</v>
      </c>
      <c r="C81" s="104">
        <v>44383</v>
      </c>
      <c r="D81" s="103" t="s">
        <v>370</v>
      </c>
      <c r="E81" s="103" t="s">
        <v>297</v>
      </c>
      <c r="F81" s="103" t="s">
        <v>209</v>
      </c>
      <c r="G81" s="103" t="s">
        <v>517</v>
      </c>
      <c r="H81" s="103" t="s">
        <v>392</v>
      </c>
      <c r="I81">
        <v>60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25</v>
      </c>
      <c r="R81">
        <v>1000</v>
      </c>
      <c r="T81">
        <v>0</v>
      </c>
      <c r="U81">
        <v>1000</v>
      </c>
      <c r="W81">
        <v>0</v>
      </c>
      <c r="X81">
        <v>0</v>
      </c>
      <c r="Y81">
        <v>0</v>
      </c>
      <c r="AB81" t="s">
        <v>843</v>
      </c>
      <c r="AE81">
        <v>0</v>
      </c>
      <c r="AG81" t="s">
        <v>843</v>
      </c>
      <c r="AI81">
        <v>60</v>
      </c>
      <c r="CB81" s="103" t="s">
        <v>311</v>
      </c>
      <c r="CC81" s="103" t="s">
        <v>387</v>
      </c>
      <c r="CD81" s="103" t="s">
        <v>287</v>
      </c>
      <c r="CE81" s="103" t="s">
        <v>296</v>
      </c>
      <c r="CF81">
        <v>3</v>
      </c>
      <c r="CG81">
        <v>25</v>
      </c>
      <c r="CH81">
        <v>1000</v>
      </c>
      <c r="CI81">
        <v>25</v>
      </c>
      <c r="CJ81">
        <v>25000</v>
      </c>
      <c r="CN81" s="103"/>
      <c r="CP81" s="103"/>
      <c r="CQ81">
        <v>0</v>
      </c>
      <c r="CS81">
        <v>0</v>
      </c>
      <c r="CT81">
        <v>0</v>
      </c>
      <c r="CU81">
        <v>0</v>
      </c>
    </row>
    <row r="82" spans="1:99" x14ac:dyDescent="0.35">
      <c r="A82" s="102">
        <v>44378</v>
      </c>
      <c r="B82" s="102">
        <v>44378</v>
      </c>
      <c r="C82" s="104">
        <v>44383</v>
      </c>
      <c r="D82" s="103" t="s">
        <v>370</v>
      </c>
      <c r="E82" s="103" t="s">
        <v>297</v>
      </c>
      <c r="F82" s="103" t="s">
        <v>209</v>
      </c>
      <c r="G82" s="103" t="s">
        <v>518</v>
      </c>
      <c r="H82" s="103" t="s">
        <v>402</v>
      </c>
      <c r="I82">
        <v>60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Q82">
        <v>25</v>
      </c>
      <c r="R82">
        <v>1000</v>
      </c>
      <c r="T82">
        <v>0</v>
      </c>
      <c r="U82">
        <v>1000</v>
      </c>
      <c r="W82">
        <v>0</v>
      </c>
      <c r="X82">
        <v>0</v>
      </c>
      <c r="Y82">
        <v>0</v>
      </c>
      <c r="AB82" t="s">
        <v>843</v>
      </c>
      <c r="AE82">
        <v>0</v>
      </c>
      <c r="AG82" t="s">
        <v>843</v>
      </c>
      <c r="AI82">
        <v>60</v>
      </c>
      <c r="CB82" s="103" t="s">
        <v>311</v>
      </c>
      <c r="CC82" s="103" t="s">
        <v>387</v>
      </c>
      <c r="CD82" s="103" t="s">
        <v>287</v>
      </c>
      <c r="CE82" s="103" t="s">
        <v>296</v>
      </c>
      <c r="CF82">
        <v>4</v>
      </c>
      <c r="CG82">
        <v>25</v>
      </c>
      <c r="CH82">
        <v>1000</v>
      </c>
      <c r="CI82">
        <v>25</v>
      </c>
      <c r="CJ82">
        <v>25000</v>
      </c>
      <c r="CN82" s="103"/>
      <c r="CP82" s="103"/>
      <c r="CQ82">
        <v>0</v>
      </c>
      <c r="CS82">
        <v>0</v>
      </c>
      <c r="CT82">
        <v>0</v>
      </c>
      <c r="CU82">
        <v>0</v>
      </c>
    </row>
    <row r="83" spans="1:99" x14ac:dyDescent="0.35">
      <c r="A83" s="102">
        <v>44378</v>
      </c>
      <c r="B83" s="102">
        <v>44378</v>
      </c>
      <c r="C83" s="104">
        <v>44383</v>
      </c>
      <c r="D83" s="103" t="s">
        <v>370</v>
      </c>
      <c r="E83" s="103" t="s">
        <v>297</v>
      </c>
      <c r="F83" s="103" t="s">
        <v>209</v>
      </c>
      <c r="G83" s="103" t="s">
        <v>21</v>
      </c>
      <c r="H83" s="103" t="s">
        <v>412</v>
      </c>
      <c r="I83">
        <v>40</v>
      </c>
      <c r="J83">
        <v>0</v>
      </c>
      <c r="K83">
        <v>0</v>
      </c>
      <c r="L83">
        <v>20</v>
      </c>
      <c r="M83">
        <v>0</v>
      </c>
      <c r="N83">
        <v>0</v>
      </c>
      <c r="O83">
        <v>0</v>
      </c>
      <c r="Q83">
        <v>25</v>
      </c>
      <c r="R83">
        <v>1000</v>
      </c>
      <c r="T83">
        <v>0</v>
      </c>
      <c r="U83">
        <v>1000</v>
      </c>
      <c r="W83">
        <v>0</v>
      </c>
      <c r="X83">
        <v>0</v>
      </c>
      <c r="Y83">
        <v>0</v>
      </c>
      <c r="AB83" t="s">
        <v>843</v>
      </c>
      <c r="AE83">
        <v>0</v>
      </c>
      <c r="AG83" t="s">
        <v>843</v>
      </c>
      <c r="AI83">
        <v>40</v>
      </c>
      <c r="BN83">
        <v>20</v>
      </c>
      <c r="CB83" s="103" t="s">
        <v>311</v>
      </c>
      <c r="CC83" s="103" t="s">
        <v>387</v>
      </c>
      <c r="CD83" s="103" t="s">
        <v>287</v>
      </c>
      <c r="CE83" s="103" t="s">
        <v>296</v>
      </c>
      <c r="CF83">
        <v>2</v>
      </c>
      <c r="CG83">
        <v>25</v>
      </c>
      <c r="CH83">
        <v>1000</v>
      </c>
      <c r="CI83">
        <v>37.5</v>
      </c>
      <c r="CJ83">
        <v>25000</v>
      </c>
      <c r="CN83" s="103"/>
      <c r="CP83" s="103"/>
      <c r="CQ83">
        <v>0</v>
      </c>
      <c r="CS83">
        <v>0</v>
      </c>
      <c r="CT83">
        <v>0</v>
      </c>
      <c r="CU83">
        <v>0</v>
      </c>
    </row>
    <row r="84" spans="1:99" x14ac:dyDescent="0.35">
      <c r="A84" s="102">
        <v>44378</v>
      </c>
      <c r="B84" s="102">
        <v>44378</v>
      </c>
      <c r="C84" s="104">
        <v>44383</v>
      </c>
      <c r="D84" s="103" t="s">
        <v>370</v>
      </c>
      <c r="E84" s="103" t="s">
        <v>297</v>
      </c>
      <c r="F84" s="103" t="s">
        <v>209</v>
      </c>
      <c r="G84" s="103" t="s">
        <v>22</v>
      </c>
      <c r="H84" s="103" t="s">
        <v>424</v>
      </c>
      <c r="I84">
        <v>60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Q84">
        <v>25</v>
      </c>
      <c r="R84">
        <v>1000</v>
      </c>
      <c r="T84">
        <v>0</v>
      </c>
      <c r="U84">
        <v>1000</v>
      </c>
      <c r="W84">
        <v>0</v>
      </c>
      <c r="X84">
        <v>0</v>
      </c>
      <c r="Y84">
        <v>0</v>
      </c>
      <c r="AB84" t="s">
        <v>843</v>
      </c>
      <c r="AE84">
        <v>0</v>
      </c>
      <c r="AG84" t="s">
        <v>843</v>
      </c>
      <c r="AI84">
        <v>60</v>
      </c>
      <c r="CB84" s="103" t="s">
        <v>311</v>
      </c>
      <c r="CC84" s="103" t="s">
        <v>387</v>
      </c>
      <c r="CD84" s="103" t="s">
        <v>287</v>
      </c>
      <c r="CE84" s="103" t="s">
        <v>296</v>
      </c>
      <c r="CF84">
        <v>3</v>
      </c>
      <c r="CG84">
        <v>25</v>
      </c>
      <c r="CH84">
        <v>1000</v>
      </c>
      <c r="CI84">
        <v>25</v>
      </c>
      <c r="CJ84">
        <v>25000</v>
      </c>
      <c r="CN84" s="103"/>
      <c r="CP84" s="103"/>
      <c r="CQ84">
        <v>0</v>
      </c>
      <c r="CS84">
        <v>0</v>
      </c>
      <c r="CT84">
        <v>0</v>
      </c>
      <c r="CU84">
        <v>0</v>
      </c>
    </row>
    <row r="85" spans="1:99" x14ac:dyDescent="0.35">
      <c r="A85" s="102">
        <v>44378</v>
      </c>
      <c r="B85" s="102">
        <v>44378</v>
      </c>
      <c r="C85" s="104">
        <v>44383</v>
      </c>
      <c r="D85" s="103" t="s">
        <v>370</v>
      </c>
      <c r="E85" s="103" t="s">
        <v>297</v>
      </c>
      <c r="F85" s="103" t="s">
        <v>209</v>
      </c>
      <c r="G85" s="103" t="s">
        <v>559</v>
      </c>
      <c r="H85" s="103" t="s">
        <v>437</v>
      </c>
      <c r="I85">
        <v>55</v>
      </c>
      <c r="J85">
        <v>0</v>
      </c>
      <c r="K85">
        <v>0</v>
      </c>
      <c r="L85">
        <v>5</v>
      </c>
      <c r="M85">
        <v>0</v>
      </c>
      <c r="N85">
        <v>0</v>
      </c>
      <c r="O85">
        <v>0</v>
      </c>
      <c r="Q85">
        <v>25</v>
      </c>
      <c r="R85">
        <v>1000</v>
      </c>
      <c r="T85">
        <v>0</v>
      </c>
      <c r="U85">
        <v>1000</v>
      </c>
      <c r="W85">
        <v>0</v>
      </c>
      <c r="X85">
        <v>0</v>
      </c>
      <c r="Y85">
        <v>0</v>
      </c>
      <c r="AB85" t="s">
        <v>843</v>
      </c>
      <c r="AE85">
        <v>0</v>
      </c>
      <c r="AG85" t="s">
        <v>843</v>
      </c>
      <c r="AI85">
        <v>55</v>
      </c>
      <c r="BL85">
        <v>5</v>
      </c>
      <c r="CB85" s="103" t="s">
        <v>311</v>
      </c>
      <c r="CC85" s="103" t="s">
        <v>387</v>
      </c>
      <c r="CD85" s="103" t="s">
        <v>287</v>
      </c>
      <c r="CE85" s="103" t="s">
        <v>296</v>
      </c>
      <c r="CF85">
        <v>5</v>
      </c>
      <c r="CG85">
        <v>25</v>
      </c>
      <c r="CH85">
        <v>1000</v>
      </c>
      <c r="CI85">
        <v>27.27272727272727</v>
      </c>
      <c r="CJ85">
        <v>25000</v>
      </c>
      <c r="CN85" s="103"/>
      <c r="CP85" s="103"/>
      <c r="CQ85">
        <v>0</v>
      </c>
      <c r="CS85">
        <v>0</v>
      </c>
      <c r="CT85">
        <v>0</v>
      </c>
      <c r="CU85">
        <v>0</v>
      </c>
    </row>
    <row r="86" spans="1:99" x14ac:dyDescent="0.35">
      <c r="A86" s="102">
        <v>44378</v>
      </c>
      <c r="B86" s="102">
        <v>44378</v>
      </c>
      <c r="C86" s="104">
        <v>44383</v>
      </c>
      <c r="D86" s="103" t="s">
        <v>370</v>
      </c>
      <c r="E86" s="103" t="s">
        <v>297</v>
      </c>
      <c r="F86" s="103" t="s">
        <v>212</v>
      </c>
      <c r="G86" s="103" t="s">
        <v>519</v>
      </c>
      <c r="H86" s="103" t="s">
        <v>448</v>
      </c>
      <c r="I86">
        <v>60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25</v>
      </c>
      <c r="R86">
        <v>1000</v>
      </c>
      <c r="T86">
        <v>0</v>
      </c>
      <c r="U86">
        <v>1000</v>
      </c>
      <c r="W86">
        <v>0</v>
      </c>
      <c r="X86">
        <v>0</v>
      </c>
      <c r="Y86">
        <v>0</v>
      </c>
      <c r="AB86" t="s">
        <v>843</v>
      </c>
      <c r="AE86">
        <v>0</v>
      </c>
      <c r="AG86" t="s">
        <v>843</v>
      </c>
      <c r="AI86">
        <v>60</v>
      </c>
      <c r="CB86" s="103" t="s">
        <v>311</v>
      </c>
      <c r="CC86" s="103" t="s">
        <v>387</v>
      </c>
      <c r="CD86" s="103" t="s">
        <v>287</v>
      </c>
      <c r="CE86" s="103" t="s">
        <v>296</v>
      </c>
      <c r="CF86">
        <v>3</v>
      </c>
      <c r="CG86">
        <v>25</v>
      </c>
      <c r="CH86">
        <v>1000</v>
      </c>
      <c r="CI86">
        <v>25</v>
      </c>
      <c r="CJ86">
        <v>25000</v>
      </c>
      <c r="CN86" s="103"/>
      <c r="CP86" s="103"/>
      <c r="CQ86">
        <v>0</v>
      </c>
      <c r="CS86">
        <v>0</v>
      </c>
      <c r="CT86">
        <v>0</v>
      </c>
      <c r="CU86">
        <v>0</v>
      </c>
    </row>
    <row r="87" spans="1:99" x14ac:dyDescent="0.35">
      <c r="A87" s="102">
        <v>44378</v>
      </c>
      <c r="B87" s="102">
        <v>44378</v>
      </c>
      <c r="C87" s="104">
        <v>44383</v>
      </c>
      <c r="D87" s="103" t="s">
        <v>370</v>
      </c>
      <c r="E87" s="103" t="s">
        <v>297</v>
      </c>
      <c r="F87" s="103" t="s">
        <v>212</v>
      </c>
      <c r="G87" s="103" t="s">
        <v>520</v>
      </c>
      <c r="H87" s="103" t="s">
        <v>453</v>
      </c>
      <c r="I87">
        <v>60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Q87">
        <v>25</v>
      </c>
      <c r="R87">
        <v>1000</v>
      </c>
      <c r="T87">
        <v>0</v>
      </c>
      <c r="U87">
        <v>1000</v>
      </c>
      <c r="W87">
        <v>0</v>
      </c>
      <c r="X87">
        <v>0</v>
      </c>
      <c r="Y87">
        <v>0</v>
      </c>
      <c r="AB87" t="s">
        <v>843</v>
      </c>
      <c r="AE87">
        <v>0</v>
      </c>
      <c r="AG87" t="s">
        <v>843</v>
      </c>
      <c r="AI87">
        <v>60</v>
      </c>
      <c r="CB87" s="103" t="s">
        <v>311</v>
      </c>
      <c r="CC87" s="103" t="s">
        <v>387</v>
      </c>
      <c r="CD87" s="103" t="s">
        <v>287</v>
      </c>
      <c r="CE87" s="103" t="s">
        <v>296</v>
      </c>
      <c r="CF87">
        <v>4</v>
      </c>
      <c r="CG87">
        <v>25</v>
      </c>
      <c r="CH87">
        <v>1000</v>
      </c>
      <c r="CI87">
        <v>25</v>
      </c>
      <c r="CJ87">
        <v>25000</v>
      </c>
      <c r="CN87" s="103"/>
      <c r="CP87" s="103"/>
      <c r="CQ87">
        <v>0</v>
      </c>
      <c r="CS87">
        <v>0</v>
      </c>
      <c r="CT87">
        <v>0</v>
      </c>
      <c r="CU87">
        <v>0</v>
      </c>
    </row>
    <row r="88" spans="1:99" x14ac:dyDescent="0.35">
      <c r="A88" s="102">
        <v>44378</v>
      </c>
      <c r="B88" s="102">
        <v>44378</v>
      </c>
      <c r="C88" s="104">
        <v>44383</v>
      </c>
      <c r="D88" s="103" t="s">
        <v>370</v>
      </c>
      <c r="E88" s="103" t="s">
        <v>297</v>
      </c>
      <c r="F88" s="103" t="s">
        <v>212</v>
      </c>
      <c r="G88" s="103" t="s">
        <v>521</v>
      </c>
      <c r="H88" s="103" t="s">
        <v>457</v>
      </c>
      <c r="I88">
        <v>60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Q88">
        <v>25</v>
      </c>
      <c r="R88">
        <v>1000</v>
      </c>
      <c r="T88">
        <v>0</v>
      </c>
      <c r="U88">
        <v>1000</v>
      </c>
      <c r="W88">
        <v>0</v>
      </c>
      <c r="X88">
        <v>0</v>
      </c>
      <c r="Y88">
        <v>0</v>
      </c>
      <c r="AB88" t="s">
        <v>843</v>
      </c>
      <c r="AE88">
        <v>0</v>
      </c>
      <c r="AG88" t="s">
        <v>843</v>
      </c>
      <c r="AI88">
        <v>60</v>
      </c>
      <c r="CB88" s="103" t="s">
        <v>311</v>
      </c>
      <c r="CC88" s="103" t="s">
        <v>387</v>
      </c>
      <c r="CD88" s="103" t="s">
        <v>287</v>
      </c>
      <c r="CE88" s="103" t="s">
        <v>296</v>
      </c>
      <c r="CF88">
        <v>4</v>
      </c>
      <c r="CG88">
        <v>25</v>
      </c>
      <c r="CH88">
        <v>1000</v>
      </c>
      <c r="CI88">
        <v>25</v>
      </c>
      <c r="CJ88">
        <v>25000</v>
      </c>
      <c r="CN88" s="103"/>
      <c r="CP88" s="103"/>
      <c r="CQ88">
        <v>0</v>
      </c>
      <c r="CS88">
        <v>0</v>
      </c>
      <c r="CT88">
        <v>0</v>
      </c>
      <c r="CU88">
        <v>0</v>
      </c>
    </row>
    <row r="89" spans="1:99" x14ac:dyDescent="0.35">
      <c r="A89" s="102">
        <v>44378</v>
      </c>
      <c r="B89" s="102">
        <v>44378</v>
      </c>
      <c r="C89" s="104">
        <v>44383</v>
      </c>
      <c r="D89" s="103" t="s">
        <v>370</v>
      </c>
      <c r="E89" s="103" t="s">
        <v>297</v>
      </c>
      <c r="F89" s="103" t="s">
        <v>212</v>
      </c>
      <c r="G89" s="103" t="s">
        <v>522</v>
      </c>
      <c r="H89" s="103" t="s">
        <v>461</v>
      </c>
      <c r="I89">
        <v>60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25</v>
      </c>
      <c r="R89">
        <v>1000</v>
      </c>
      <c r="T89">
        <v>0</v>
      </c>
      <c r="U89">
        <v>1000</v>
      </c>
      <c r="W89">
        <v>0</v>
      </c>
      <c r="X89">
        <v>0</v>
      </c>
      <c r="Y89">
        <v>0</v>
      </c>
      <c r="AB89" t="s">
        <v>843</v>
      </c>
      <c r="AE89">
        <v>0</v>
      </c>
      <c r="AG89" t="s">
        <v>843</v>
      </c>
      <c r="AI89">
        <v>60</v>
      </c>
      <c r="CB89" s="103" t="s">
        <v>311</v>
      </c>
      <c r="CC89" s="103" t="s">
        <v>387</v>
      </c>
      <c r="CD89" s="103" t="s">
        <v>287</v>
      </c>
      <c r="CE89" s="103" t="s">
        <v>296</v>
      </c>
      <c r="CF89">
        <v>4</v>
      </c>
      <c r="CG89">
        <v>25</v>
      </c>
      <c r="CH89">
        <v>1000</v>
      </c>
      <c r="CI89">
        <v>25</v>
      </c>
      <c r="CJ89">
        <v>25000</v>
      </c>
      <c r="CN89" s="103"/>
      <c r="CP89" s="103"/>
      <c r="CQ89">
        <v>0</v>
      </c>
      <c r="CS89">
        <v>0</v>
      </c>
      <c r="CT89">
        <v>0</v>
      </c>
      <c r="CU89">
        <v>0</v>
      </c>
    </row>
    <row r="90" spans="1:99" x14ac:dyDescent="0.35">
      <c r="A90" s="102">
        <v>44378</v>
      </c>
      <c r="B90" s="102">
        <v>44378</v>
      </c>
      <c r="C90" s="104">
        <v>44383</v>
      </c>
      <c r="D90" s="103" t="s">
        <v>370</v>
      </c>
      <c r="E90" s="103" t="s">
        <v>297</v>
      </c>
      <c r="F90" s="103" t="s">
        <v>212</v>
      </c>
      <c r="G90" s="103" t="s">
        <v>523</v>
      </c>
      <c r="H90" s="103" t="s">
        <v>466</v>
      </c>
      <c r="I90">
        <v>60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Q90">
        <v>25</v>
      </c>
      <c r="R90">
        <v>1000</v>
      </c>
      <c r="T90">
        <v>0</v>
      </c>
      <c r="U90">
        <v>1000</v>
      </c>
      <c r="W90">
        <v>0</v>
      </c>
      <c r="X90">
        <v>0</v>
      </c>
      <c r="Y90">
        <v>0</v>
      </c>
      <c r="AB90" t="s">
        <v>843</v>
      </c>
      <c r="AE90">
        <v>0</v>
      </c>
      <c r="AG90" t="s">
        <v>843</v>
      </c>
      <c r="AI90">
        <v>60</v>
      </c>
      <c r="CB90" s="103" t="s">
        <v>311</v>
      </c>
      <c r="CC90" s="103" t="s">
        <v>387</v>
      </c>
      <c r="CD90" s="103" t="s">
        <v>287</v>
      </c>
      <c r="CE90" s="103" t="s">
        <v>296</v>
      </c>
      <c r="CF90">
        <v>4</v>
      </c>
      <c r="CG90">
        <v>25</v>
      </c>
      <c r="CH90">
        <v>1000</v>
      </c>
      <c r="CI90">
        <v>25</v>
      </c>
      <c r="CJ90">
        <v>25000</v>
      </c>
      <c r="CN90" s="103"/>
      <c r="CP90" s="103"/>
      <c r="CQ90">
        <v>0</v>
      </c>
      <c r="CS90">
        <v>0</v>
      </c>
      <c r="CT90">
        <v>0</v>
      </c>
      <c r="CU90">
        <v>0</v>
      </c>
    </row>
    <row r="91" spans="1:99" x14ac:dyDescent="0.35">
      <c r="A91" s="102">
        <v>44378</v>
      </c>
      <c r="B91" s="102">
        <v>44378</v>
      </c>
      <c r="C91" s="104">
        <v>44383</v>
      </c>
      <c r="D91" s="103" t="s">
        <v>370</v>
      </c>
      <c r="E91" s="103" t="s">
        <v>297</v>
      </c>
      <c r="F91" s="103" t="s">
        <v>212</v>
      </c>
      <c r="G91" s="103" t="s">
        <v>524</v>
      </c>
      <c r="H91" s="103" t="s">
        <v>469</v>
      </c>
      <c r="I91">
        <v>60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25</v>
      </c>
      <c r="R91">
        <v>1000</v>
      </c>
      <c r="T91">
        <v>0</v>
      </c>
      <c r="U91">
        <v>1000</v>
      </c>
      <c r="W91">
        <v>0</v>
      </c>
      <c r="X91">
        <v>0</v>
      </c>
      <c r="Y91">
        <v>0</v>
      </c>
      <c r="AB91" t="s">
        <v>843</v>
      </c>
      <c r="AE91">
        <v>0</v>
      </c>
      <c r="AG91" t="s">
        <v>843</v>
      </c>
      <c r="AI91">
        <v>60</v>
      </c>
      <c r="CB91" s="103" t="s">
        <v>311</v>
      </c>
      <c r="CC91" s="103" t="s">
        <v>387</v>
      </c>
      <c r="CD91" s="103" t="s">
        <v>287</v>
      </c>
      <c r="CE91" s="103" t="s">
        <v>296</v>
      </c>
      <c r="CF91">
        <v>4</v>
      </c>
      <c r="CG91">
        <v>25</v>
      </c>
      <c r="CH91">
        <v>1000</v>
      </c>
      <c r="CI91">
        <v>25</v>
      </c>
      <c r="CJ91">
        <v>25000</v>
      </c>
      <c r="CN91" s="103"/>
      <c r="CP91" s="103"/>
      <c r="CQ91">
        <v>0</v>
      </c>
      <c r="CS91">
        <v>0</v>
      </c>
      <c r="CT91">
        <v>0</v>
      </c>
      <c r="CU91">
        <v>0</v>
      </c>
    </row>
    <row r="92" spans="1:99" x14ac:dyDescent="0.35">
      <c r="A92" s="102">
        <v>44378</v>
      </c>
      <c r="B92" s="102">
        <v>44378</v>
      </c>
      <c r="C92" s="104">
        <v>44383</v>
      </c>
      <c r="D92" s="103" t="s">
        <v>370</v>
      </c>
      <c r="E92" s="103" t="s">
        <v>297</v>
      </c>
      <c r="F92" s="103" t="s">
        <v>212</v>
      </c>
      <c r="G92" s="103" t="s">
        <v>525</v>
      </c>
      <c r="H92" s="103" t="s">
        <v>472</v>
      </c>
      <c r="I92">
        <v>0</v>
      </c>
      <c r="J92">
        <v>0</v>
      </c>
      <c r="K92">
        <v>0</v>
      </c>
      <c r="L92">
        <v>60</v>
      </c>
      <c r="M92">
        <v>0</v>
      </c>
      <c r="N92">
        <v>0</v>
      </c>
      <c r="O92">
        <v>0</v>
      </c>
      <c r="Q92">
        <v>25</v>
      </c>
      <c r="R92">
        <v>1000</v>
      </c>
      <c r="T92">
        <v>0</v>
      </c>
      <c r="U92">
        <v>1000</v>
      </c>
      <c r="W92">
        <v>0</v>
      </c>
      <c r="X92">
        <v>0</v>
      </c>
      <c r="Y92">
        <v>0</v>
      </c>
      <c r="AB92" t="s">
        <v>843</v>
      </c>
      <c r="AE92">
        <v>0</v>
      </c>
      <c r="AG92" t="s">
        <v>843</v>
      </c>
      <c r="BH92">
        <v>60</v>
      </c>
      <c r="CB92" s="103" t="s">
        <v>311</v>
      </c>
      <c r="CC92" s="103" t="s">
        <v>387</v>
      </c>
      <c r="CD92" s="103" t="s">
        <v>287</v>
      </c>
      <c r="CE92" s="103" t="s">
        <v>296</v>
      </c>
      <c r="CG92">
        <v>25</v>
      </c>
      <c r="CH92">
        <v>1000</v>
      </c>
      <c r="CI92">
        <v>0</v>
      </c>
      <c r="CJ92">
        <v>25000</v>
      </c>
      <c r="CN92" s="103"/>
      <c r="CP92" s="103"/>
      <c r="CQ92">
        <v>0</v>
      </c>
      <c r="CS92">
        <v>0</v>
      </c>
      <c r="CT92">
        <v>0</v>
      </c>
      <c r="CU92">
        <v>0</v>
      </c>
    </row>
    <row r="93" spans="1:99" x14ac:dyDescent="0.35">
      <c r="A93" s="102">
        <v>44378</v>
      </c>
      <c r="B93" s="102">
        <v>44378</v>
      </c>
      <c r="C93" s="104">
        <v>44383</v>
      </c>
      <c r="D93" s="103" t="s">
        <v>370</v>
      </c>
      <c r="E93" s="103" t="s">
        <v>297</v>
      </c>
      <c r="F93" s="103" t="s">
        <v>212</v>
      </c>
      <c r="G93" s="103" t="s">
        <v>526</v>
      </c>
      <c r="H93" s="103" t="s">
        <v>478</v>
      </c>
      <c r="I93">
        <v>60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Q93">
        <v>25</v>
      </c>
      <c r="R93">
        <v>1000</v>
      </c>
      <c r="T93">
        <v>0</v>
      </c>
      <c r="U93">
        <v>1000</v>
      </c>
      <c r="W93">
        <v>0</v>
      </c>
      <c r="X93">
        <v>0</v>
      </c>
      <c r="Y93">
        <v>0</v>
      </c>
      <c r="AB93" t="s">
        <v>843</v>
      </c>
      <c r="AE93">
        <v>0</v>
      </c>
      <c r="AG93" t="s">
        <v>843</v>
      </c>
      <c r="AI93">
        <v>60</v>
      </c>
      <c r="CB93" s="103" t="s">
        <v>311</v>
      </c>
      <c r="CC93" s="103" t="s">
        <v>387</v>
      </c>
      <c r="CD93" s="103" t="s">
        <v>287</v>
      </c>
      <c r="CE93" s="103" t="s">
        <v>296</v>
      </c>
      <c r="CF93">
        <v>3</v>
      </c>
      <c r="CG93">
        <v>25</v>
      </c>
      <c r="CH93">
        <v>1000</v>
      </c>
      <c r="CI93">
        <v>25</v>
      </c>
      <c r="CJ93">
        <v>25000</v>
      </c>
      <c r="CN93" s="103"/>
      <c r="CP93" s="103"/>
      <c r="CQ93">
        <v>0</v>
      </c>
      <c r="CS93">
        <v>0</v>
      </c>
      <c r="CT93">
        <v>0</v>
      </c>
      <c r="CU93">
        <v>0</v>
      </c>
    </row>
    <row r="94" spans="1:99" x14ac:dyDescent="0.35">
      <c r="A94" s="102">
        <v>44378</v>
      </c>
      <c r="B94" s="102">
        <v>44378</v>
      </c>
      <c r="C94" s="104">
        <v>44383</v>
      </c>
      <c r="D94" s="103" t="s">
        <v>370</v>
      </c>
      <c r="E94" s="103" t="s">
        <v>297</v>
      </c>
      <c r="F94" s="103" t="s">
        <v>212</v>
      </c>
      <c r="G94" s="103" t="s">
        <v>527</v>
      </c>
      <c r="H94" s="103" t="s">
        <v>482</v>
      </c>
      <c r="I94">
        <v>60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25</v>
      </c>
      <c r="R94">
        <v>1000</v>
      </c>
      <c r="T94">
        <v>0</v>
      </c>
      <c r="U94">
        <v>1000</v>
      </c>
      <c r="W94">
        <v>0</v>
      </c>
      <c r="X94">
        <v>0</v>
      </c>
      <c r="Y94">
        <v>0</v>
      </c>
      <c r="AB94" t="s">
        <v>843</v>
      </c>
      <c r="AE94">
        <v>0</v>
      </c>
      <c r="AG94" t="s">
        <v>843</v>
      </c>
      <c r="AI94">
        <v>60</v>
      </c>
      <c r="CB94" s="103" t="s">
        <v>311</v>
      </c>
      <c r="CC94" s="103" t="s">
        <v>387</v>
      </c>
      <c r="CD94" s="103" t="s">
        <v>287</v>
      </c>
      <c r="CE94" s="103" t="s">
        <v>296</v>
      </c>
      <c r="CF94">
        <v>4</v>
      </c>
      <c r="CG94">
        <v>25</v>
      </c>
      <c r="CH94">
        <v>1000</v>
      </c>
      <c r="CI94">
        <v>25</v>
      </c>
      <c r="CJ94">
        <v>25000</v>
      </c>
      <c r="CN94" s="103"/>
      <c r="CP94" s="103"/>
      <c r="CQ94">
        <v>0</v>
      </c>
      <c r="CS94">
        <v>0</v>
      </c>
      <c r="CT94">
        <v>0</v>
      </c>
      <c r="CU94">
        <v>0</v>
      </c>
    </row>
    <row r="95" spans="1:99" x14ac:dyDescent="0.35">
      <c r="A95" s="102">
        <v>44378</v>
      </c>
      <c r="B95" s="102">
        <v>44378</v>
      </c>
      <c r="C95" s="104">
        <v>44383</v>
      </c>
      <c r="D95" s="103" t="s">
        <v>370</v>
      </c>
      <c r="E95" s="103" t="s">
        <v>297</v>
      </c>
      <c r="F95" s="103" t="s">
        <v>212</v>
      </c>
      <c r="G95" s="103" t="s">
        <v>528</v>
      </c>
      <c r="H95" s="103" t="s">
        <v>487</v>
      </c>
      <c r="I95">
        <v>60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Q95">
        <v>25</v>
      </c>
      <c r="R95">
        <v>1000</v>
      </c>
      <c r="T95">
        <v>0</v>
      </c>
      <c r="U95">
        <v>1000</v>
      </c>
      <c r="W95">
        <v>0</v>
      </c>
      <c r="X95">
        <v>0</v>
      </c>
      <c r="Y95">
        <v>0</v>
      </c>
      <c r="AB95" t="s">
        <v>843</v>
      </c>
      <c r="AE95">
        <v>0</v>
      </c>
      <c r="AG95" t="s">
        <v>843</v>
      </c>
      <c r="AI95">
        <v>60</v>
      </c>
      <c r="CB95" s="103" t="s">
        <v>311</v>
      </c>
      <c r="CC95" s="103" t="s">
        <v>387</v>
      </c>
      <c r="CD95" s="103" t="s">
        <v>287</v>
      </c>
      <c r="CE95" s="103" t="s">
        <v>296</v>
      </c>
      <c r="CF95">
        <v>3</v>
      </c>
      <c r="CG95">
        <v>25</v>
      </c>
      <c r="CH95">
        <v>1000</v>
      </c>
      <c r="CI95">
        <v>25</v>
      </c>
      <c r="CJ95">
        <v>25000</v>
      </c>
      <c r="CN95" s="103"/>
      <c r="CP95" s="103"/>
      <c r="CQ95">
        <v>0</v>
      </c>
      <c r="CS95">
        <v>0</v>
      </c>
      <c r="CT95">
        <v>0</v>
      </c>
      <c r="CU95">
        <v>0</v>
      </c>
    </row>
    <row r="96" spans="1:99" x14ac:dyDescent="0.35">
      <c r="A96" s="102">
        <v>44378</v>
      </c>
      <c r="B96" s="102">
        <v>44378</v>
      </c>
      <c r="C96" s="104">
        <v>44383</v>
      </c>
      <c r="D96" s="103" t="s">
        <v>370</v>
      </c>
      <c r="E96" s="103" t="s">
        <v>297</v>
      </c>
      <c r="F96" s="103" t="s">
        <v>212</v>
      </c>
      <c r="G96" s="103" t="s">
        <v>529</v>
      </c>
      <c r="H96" s="103" t="s">
        <v>492</v>
      </c>
      <c r="I96">
        <v>60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Q96">
        <v>25</v>
      </c>
      <c r="R96">
        <v>1000</v>
      </c>
      <c r="T96">
        <v>0</v>
      </c>
      <c r="U96">
        <v>1000</v>
      </c>
      <c r="W96">
        <v>0</v>
      </c>
      <c r="X96">
        <v>0</v>
      </c>
      <c r="Y96">
        <v>0</v>
      </c>
      <c r="AB96" t="s">
        <v>843</v>
      </c>
      <c r="AE96">
        <v>0</v>
      </c>
      <c r="AG96" t="s">
        <v>843</v>
      </c>
      <c r="AI96">
        <v>60</v>
      </c>
      <c r="CB96" s="103" t="s">
        <v>311</v>
      </c>
      <c r="CC96" s="103" t="s">
        <v>387</v>
      </c>
      <c r="CD96" s="103" t="s">
        <v>287</v>
      </c>
      <c r="CE96" s="103" t="s">
        <v>296</v>
      </c>
      <c r="CF96">
        <v>2</v>
      </c>
      <c r="CG96">
        <v>25</v>
      </c>
      <c r="CH96">
        <v>1000</v>
      </c>
      <c r="CI96">
        <v>25</v>
      </c>
      <c r="CJ96">
        <v>25000</v>
      </c>
      <c r="CN96" s="103"/>
      <c r="CP96" s="103"/>
      <c r="CQ96">
        <v>0</v>
      </c>
      <c r="CS96">
        <v>0</v>
      </c>
      <c r="CT96">
        <v>0</v>
      </c>
      <c r="CU96">
        <v>0</v>
      </c>
    </row>
    <row r="97" spans="1:99" x14ac:dyDescent="0.35">
      <c r="A97" s="102">
        <v>44378</v>
      </c>
      <c r="B97" s="102">
        <v>44378</v>
      </c>
      <c r="C97" s="104">
        <v>44383</v>
      </c>
      <c r="D97" s="103" t="s">
        <v>370</v>
      </c>
      <c r="E97" s="103" t="s">
        <v>297</v>
      </c>
      <c r="F97" s="103" t="s">
        <v>212</v>
      </c>
      <c r="G97" s="103" t="s">
        <v>530</v>
      </c>
      <c r="H97" s="103" t="s">
        <v>497</v>
      </c>
      <c r="I97">
        <v>60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25</v>
      </c>
      <c r="R97">
        <v>1000</v>
      </c>
      <c r="T97">
        <v>0</v>
      </c>
      <c r="U97">
        <v>1000</v>
      </c>
      <c r="W97">
        <v>0</v>
      </c>
      <c r="X97">
        <v>0</v>
      </c>
      <c r="Y97">
        <v>0</v>
      </c>
      <c r="AB97" t="s">
        <v>843</v>
      </c>
      <c r="AE97">
        <v>0</v>
      </c>
      <c r="AG97" t="s">
        <v>843</v>
      </c>
      <c r="AI97">
        <v>60</v>
      </c>
      <c r="CB97" s="103" t="s">
        <v>311</v>
      </c>
      <c r="CC97" s="103" t="s">
        <v>387</v>
      </c>
      <c r="CD97" s="103" t="s">
        <v>287</v>
      </c>
      <c r="CE97" s="103" t="s">
        <v>296</v>
      </c>
      <c r="CF97">
        <v>3</v>
      </c>
      <c r="CG97">
        <v>25</v>
      </c>
      <c r="CH97">
        <v>1000</v>
      </c>
      <c r="CI97">
        <v>25</v>
      </c>
      <c r="CJ97">
        <v>25000</v>
      </c>
      <c r="CN97" s="103"/>
      <c r="CP97" s="103"/>
      <c r="CQ97">
        <v>0</v>
      </c>
      <c r="CS97">
        <v>0</v>
      </c>
      <c r="CT97">
        <v>0</v>
      </c>
      <c r="CU97">
        <v>0</v>
      </c>
    </row>
    <row r="98" spans="1:99" x14ac:dyDescent="0.35">
      <c r="A98" s="102">
        <v>44378</v>
      </c>
      <c r="B98" s="102">
        <v>44378</v>
      </c>
      <c r="C98" s="104">
        <v>44383</v>
      </c>
      <c r="D98" s="103" t="s">
        <v>384</v>
      </c>
      <c r="E98" s="103" t="s">
        <v>297</v>
      </c>
      <c r="F98" s="103" t="s">
        <v>209</v>
      </c>
      <c r="G98" s="103" t="s">
        <v>510</v>
      </c>
      <c r="H98" s="103" t="s">
        <v>281</v>
      </c>
      <c r="I98">
        <v>30</v>
      </c>
      <c r="J98">
        <v>0</v>
      </c>
      <c r="K98">
        <v>0</v>
      </c>
      <c r="L98">
        <v>30</v>
      </c>
      <c r="M98">
        <v>0</v>
      </c>
      <c r="N98">
        <v>0</v>
      </c>
      <c r="O98">
        <v>0</v>
      </c>
      <c r="Q98">
        <v>25</v>
      </c>
      <c r="R98">
        <v>1000</v>
      </c>
      <c r="T98">
        <v>0</v>
      </c>
      <c r="U98">
        <v>1000</v>
      </c>
      <c r="W98">
        <v>0</v>
      </c>
      <c r="X98">
        <v>0</v>
      </c>
      <c r="Y98">
        <v>0</v>
      </c>
      <c r="AB98" t="s">
        <v>843</v>
      </c>
      <c r="AE98">
        <v>0</v>
      </c>
      <c r="AG98" t="s">
        <v>843</v>
      </c>
      <c r="AI98">
        <v>30</v>
      </c>
      <c r="BA98">
        <v>10</v>
      </c>
      <c r="BB98">
        <v>20</v>
      </c>
      <c r="CB98" s="103" t="s">
        <v>311</v>
      </c>
      <c r="CC98" s="103" t="s">
        <v>387</v>
      </c>
      <c r="CD98" s="103" t="s">
        <v>287</v>
      </c>
      <c r="CE98" s="103" t="s">
        <v>296</v>
      </c>
      <c r="CF98">
        <v>4</v>
      </c>
      <c r="CG98">
        <v>25</v>
      </c>
      <c r="CH98">
        <v>1000</v>
      </c>
      <c r="CI98">
        <v>50</v>
      </c>
      <c r="CJ98">
        <v>25000</v>
      </c>
      <c r="CN98" s="103"/>
      <c r="CP98" s="103"/>
      <c r="CQ98">
        <v>0</v>
      </c>
      <c r="CS98">
        <v>0</v>
      </c>
      <c r="CT98">
        <v>0</v>
      </c>
      <c r="CU98">
        <v>0</v>
      </c>
    </row>
    <row r="99" spans="1:99" x14ac:dyDescent="0.35">
      <c r="A99" s="102">
        <v>44378</v>
      </c>
      <c r="B99" s="102">
        <v>44378</v>
      </c>
      <c r="C99" s="104">
        <v>44383</v>
      </c>
      <c r="D99" s="103" t="s">
        <v>384</v>
      </c>
      <c r="E99" s="103" t="s">
        <v>297</v>
      </c>
      <c r="F99" s="103" t="s">
        <v>209</v>
      </c>
      <c r="G99" s="103" t="s">
        <v>511</v>
      </c>
      <c r="H99" s="103" t="s">
        <v>301</v>
      </c>
      <c r="I99">
        <v>50</v>
      </c>
      <c r="J99">
        <v>0</v>
      </c>
      <c r="K99">
        <v>0</v>
      </c>
      <c r="L99">
        <v>10</v>
      </c>
      <c r="M99">
        <v>0</v>
      </c>
      <c r="N99">
        <v>0</v>
      </c>
      <c r="O99">
        <v>0</v>
      </c>
      <c r="Q99">
        <v>25</v>
      </c>
      <c r="R99">
        <v>1000</v>
      </c>
      <c r="T99">
        <v>0</v>
      </c>
      <c r="U99">
        <v>1000</v>
      </c>
      <c r="W99">
        <v>0</v>
      </c>
      <c r="X99">
        <v>0</v>
      </c>
      <c r="Y99">
        <v>0</v>
      </c>
      <c r="AB99" t="s">
        <v>843</v>
      </c>
      <c r="AE99">
        <v>0</v>
      </c>
      <c r="AG99" t="s">
        <v>843</v>
      </c>
      <c r="AI99">
        <v>50</v>
      </c>
      <c r="BO99">
        <v>10</v>
      </c>
      <c r="CB99" s="103" t="s">
        <v>311</v>
      </c>
      <c r="CC99" s="103" t="s">
        <v>387</v>
      </c>
      <c r="CD99" s="103" t="s">
        <v>287</v>
      </c>
      <c r="CE99" s="103" t="s">
        <v>296</v>
      </c>
      <c r="CF99">
        <v>3</v>
      </c>
      <c r="CG99">
        <v>25</v>
      </c>
      <c r="CH99">
        <v>1000</v>
      </c>
      <c r="CI99">
        <v>30</v>
      </c>
      <c r="CJ99">
        <v>25000</v>
      </c>
      <c r="CN99" s="103"/>
      <c r="CP99" s="103"/>
      <c r="CQ99">
        <v>0</v>
      </c>
      <c r="CS99">
        <v>0</v>
      </c>
      <c r="CT99">
        <v>0</v>
      </c>
      <c r="CU99">
        <v>0</v>
      </c>
    </row>
    <row r="100" spans="1:99" x14ac:dyDescent="0.35">
      <c r="A100" s="102">
        <v>44378</v>
      </c>
      <c r="B100" s="102">
        <v>44378</v>
      </c>
      <c r="C100" s="104">
        <v>44383</v>
      </c>
      <c r="D100" s="103" t="s">
        <v>384</v>
      </c>
      <c r="E100" s="103" t="s">
        <v>297</v>
      </c>
      <c r="F100" s="103" t="s">
        <v>209</v>
      </c>
      <c r="G100" s="103" t="s">
        <v>512</v>
      </c>
      <c r="H100" s="103" t="s">
        <v>317</v>
      </c>
      <c r="I100">
        <v>50</v>
      </c>
      <c r="J100">
        <v>0</v>
      </c>
      <c r="K100">
        <v>0</v>
      </c>
      <c r="L100">
        <v>10</v>
      </c>
      <c r="M100">
        <v>0</v>
      </c>
      <c r="N100">
        <v>0</v>
      </c>
      <c r="O100">
        <v>0</v>
      </c>
      <c r="Q100">
        <v>25</v>
      </c>
      <c r="R100">
        <v>1000</v>
      </c>
      <c r="T100">
        <v>0</v>
      </c>
      <c r="U100">
        <v>1000</v>
      </c>
      <c r="W100">
        <v>0</v>
      </c>
      <c r="X100">
        <v>0</v>
      </c>
      <c r="Y100">
        <v>0</v>
      </c>
      <c r="AB100" t="s">
        <v>843</v>
      </c>
      <c r="AE100">
        <v>0</v>
      </c>
      <c r="AG100" t="s">
        <v>843</v>
      </c>
      <c r="AI100">
        <v>50</v>
      </c>
      <c r="BI100">
        <v>10</v>
      </c>
      <c r="CB100" s="103" t="s">
        <v>311</v>
      </c>
      <c r="CC100" s="103" t="s">
        <v>387</v>
      </c>
      <c r="CD100" s="103" t="s">
        <v>287</v>
      </c>
      <c r="CE100" s="103" t="s">
        <v>296</v>
      </c>
      <c r="CF100">
        <v>2</v>
      </c>
      <c r="CG100">
        <v>25</v>
      </c>
      <c r="CH100">
        <v>1000</v>
      </c>
      <c r="CI100">
        <v>30</v>
      </c>
      <c r="CJ100">
        <v>25000</v>
      </c>
      <c r="CN100" s="103"/>
      <c r="CP100" s="103"/>
      <c r="CQ100">
        <v>0</v>
      </c>
      <c r="CS100">
        <v>0</v>
      </c>
      <c r="CT100">
        <v>0</v>
      </c>
      <c r="CU100">
        <v>0</v>
      </c>
    </row>
    <row r="101" spans="1:99" x14ac:dyDescent="0.35">
      <c r="A101" s="102">
        <v>44378</v>
      </c>
      <c r="B101" s="102">
        <v>44378</v>
      </c>
      <c r="C101" s="104">
        <v>44383</v>
      </c>
      <c r="D101" s="103" t="s">
        <v>384</v>
      </c>
      <c r="E101" s="103" t="s">
        <v>297</v>
      </c>
      <c r="F101" s="103" t="s">
        <v>209</v>
      </c>
      <c r="G101" s="103" t="s">
        <v>513</v>
      </c>
      <c r="H101" s="103" t="s">
        <v>334</v>
      </c>
      <c r="I101">
        <v>50</v>
      </c>
      <c r="J101">
        <v>0</v>
      </c>
      <c r="K101">
        <v>0</v>
      </c>
      <c r="L101">
        <v>10</v>
      </c>
      <c r="M101">
        <v>0</v>
      </c>
      <c r="N101">
        <v>0</v>
      </c>
      <c r="O101">
        <v>0</v>
      </c>
      <c r="Q101">
        <v>25</v>
      </c>
      <c r="R101">
        <v>1000</v>
      </c>
      <c r="T101">
        <v>0</v>
      </c>
      <c r="U101">
        <v>1000</v>
      </c>
      <c r="W101">
        <v>0</v>
      </c>
      <c r="X101">
        <v>0</v>
      </c>
      <c r="Y101">
        <v>0</v>
      </c>
      <c r="AB101" t="s">
        <v>843</v>
      </c>
      <c r="AE101">
        <v>0</v>
      </c>
      <c r="AG101" t="s">
        <v>843</v>
      </c>
      <c r="AI101">
        <v>50</v>
      </c>
      <c r="BJ101">
        <v>10</v>
      </c>
      <c r="CB101" s="103" t="s">
        <v>311</v>
      </c>
      <c r="CC101" s="103" t="s">
        <v>387</v>
      </c>
      <c r="CD101" s="103" t="s">
        <v>287</v>
      </c>
      <c r="CE101" s="103" t="s">
        <v>296</v>
      </c>
      <c r="CF101">
        <v>3</v>
      </c>
      <c r="CG101">
        <v>25</v>
      </c>
      <c r="CH101">
        <v>1000</v>
      </c>
      <c r="CI101">
        <v>30</v>
      </c>
      <c r="CJ101">
        <v>25000</v>
      </c>
      <c r="CN101" s="103"/>
      <c r="CP101" s="103"/>
      <c r="CQ101">
        <v>0</v>
      </c>
      <c r="CS101">
        <v>0</v>
      </c>
      <c r="CT101">
        <v>0</v>
      </c>
      <c r="CU101">
        <v>0</v>
      </c>
    </row>
    <row r="102" spans="1:99" x14ac:dyDescent="0.35">
      <c r="A102" s="102">
        <v>44378</v>
      </c>
      <c r="B102" s="102">
        <v>44378</v>
      </c>
      <c r="C102" s="104">
        <v>44383</v>
      </c>
      <c r="D102" s="103" t="s">
        <v>384</v>
      </c>
      <c r="E102" s="103" t="s">
        <v>297</v>
      </c>
      <c r="F102" s="103" t="s">
        <v>209</v>
      </c>
      <c r="G102" s="103" t="s">
        <v>514</v>
      </c>
      <c r="H102" s="103" t="s">
        <v>348</v>
      </c>
      <c r="I102">
        <v>60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25</v>
      </c>
      <c r="R102">
        <v>1000</v>
      </c>
      <c r="T102">
        <v>0</v>
      </c>
      <c r="U102">
        <v>1000</v>
      </c>
      <c r="W102">
        <v>0</v>
      </c>
      <c r="X102">
        <v>0</v>
      </c>
      <c r="Y102">
        <v>0</v>
      </c>
      <c r="AB102" t="s">
        <v>843</v>
      </c>
      <c r="AE102">
        <v>0</v>
      </c>
      <c r="AG102" t="s">
        <v>843</v>
      </c>
      <c r="AI102">
        <v>60</v>
      </c>
      <c r="CB102" s="103" t="s">
        <v>311</v>
      </c>
      <c r="CC102" s="103" t="s">
        <v>387</v>
      </c>
      <c r="CD102" s="103" t="s">
        <v>287</v>
      </c>
      <c r="CE102" s="103" t="s">
        <v>296</v>
      </c>
      <c r="CF102">
        <v>2</v>
      </c>
      <c r="CG102">
        <v>25</v>
      </c>
      <c r="CH102">
        <v>1000</v>
      </c>
      <c r="CI102">
        <v>25</v>
      </c>
      <c r="CJ102">
        <v>25000</v>
      </c>
      <c r="CN102" s="103"/>
      <c r="CP102" s="103"/>
      <c r="CQ102">
        <v>0</v>
      </c>
      <c r="CS102">
        <v>0</v>
      </c>
      <c r="CT102">
        <v>0</v>
      </c>
      <c r="CU102">
        <v>0</v>
      </c>
    </row>
    <row r="103" spans="1:99" x14ac:dyDescent="0.35">
      <c r="A103" s="102">
        <v>44378</v>
      </c>
      <c r="B103" s="102">
        <v>44378</v>
      </c>
      <c r="C103" s="104">
        <v>44383</v>
      </c>
      <c r="D103" s="103" t="s">
        <v>384</v>
      </c>
      <c r="E103" s="103" t="s">
        <v>297</v>
      </c>
      <c r="F103" s="103" t="s">
        <v>209</v>
      </c>
      <c r="G103" s="103" t="s">
        <v>515</v>
      </c>
      <c r="H103" s="103" t="s">
        <v>364</v>
      </c>
      <c r="I103">
        <v>60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Q103">
        <v>25</v>
      </c>
      <c r="R103">
        <v>1000</v>
      </c>
      <c r="T103">
        <v>0</v>
      </c>
      <c r="U103">
        <v>1000</v>
      </c>
      <c r="W103">
        <v>0</v>
      </c>
      <c r="X103">
        <v>0</v>
      </c>
      <c r="Y103">
        <v>0</v>
      </c>
      <c r="AB103" t="s">
        <v>843</v>
      </c>
      <c r="AE103">
        <v>0</v>
      </c>
      <c r="AG103" t="s">
        <v>843</v>
      </c>
      <c r="AI103">
        <v>60</v>
      </c>
      <c r="CB103" s="103" t="s">
        <v>311</v>
      </c>
      <c r="CC103" s="103" t="s">
        <v>387</v>
      </c>
      <c r="CD103" s="103" t="s">
        <v>287</v>
      </c>
      <c r="CE103" s="103" t="s">
        <v>296</v>
      </c>
      <c r="CF103">
        <v>3</v>
      </c>
      <c r="CG103">
        <v>25</v>
      </c>
      <c r="CH103">
        <v>1000</v>
      </c>
      <c r="CI103">
        <v>25</v>
      </c>
      <c r="CJ103">
        <v>25000</v>
      </c>
      <c r="CN103" s="103"/>
      <c r="CP103" s="103"/>
      <c r="CQ103">
        <v>0</v>
      </c>
      <c r="CS103">
        <v>0</v>
      </c>
      <c r="CT103">
        <v>0</v>
      </c>
      <c r="CU103">
        <v>0</v>
      </c>
    </row>
    <row r="104" spans="1:99" x14ac:dyDescent="0.35">
      <c r="A104" s="102">
        <v>44378</v>
      </c>
      <c r="B104" s="102">
        <v>44378</v>
      </c>
      <c r="C104" s="104">
        <v>44383</v>
      </c>
      <c r="D104" s="103" t="s">
        <v>384</v>
      </c>
      <c r="E104" s="103" t="s">
        <v>297</v>
      </c>
      <c r="F104" s="103" t="s">
        <v>209</v>
      </c>
      <c r="G104" s="103" t="s">
        <v>516</v>
      </c>
      <c r="H104" s="103" t="s">
        <v>378</v>
      </c>
      <c r="I104">
        <v>0</v>
      </c>
      <c r="J104">
        <v>0</v>
      </c>
      <c r="K104">
        <v>0</v>
      </c>
      <c r="L104">
        <v>60</v>
      </c>
      <c r="M104">
        <v>0</v>
      </c>
      <c r="N104">
        <v>0</v>
      </c>
      <c r="O104">
        <v>0</v>
      </c>
      <c r="Q104">
        <v>25</v>
      </c>
      <c r="R104">
        <v>1000</v>
      </c>
      <c r="T104">
        <v>0</v>
      </c>
      <c r="U104">
        <v>1000</v>
      </c>
      <c r="W104">
        <v>0</v>
      </c>
      <c r="X104">
        <v>0</v>
      </c>
      <c r="Y104">
        <v>0</v>
      </c>
      <c r="AB104" t="s">
        <v>843</v>
      </c>
      <c r="AE104">
        <v>0</v>
      </c>
      <c r="AG104" t="s">
        <v>843</v>
      </c>
      <c r="BH104">
        <v>60</v>
      </c>
      <c r="CB104" s="103" t="s">
        <v>311</v>
      </c>
      <c r="CC104" s="103" t="s">
        <v>387</v>
      </c>
      <c r="CD104" s="103" t="s">
        <v>287</v>
      </c>
      <c r="CE104" s="103" t="s">
        <v>296</v>
      </c>
      <c r="CG104">
        <v>25</v>
      </c>
      <c r="CH104">
        <v>1000</v>
      </c>
      <c r="CI104">
        <v>0</v>
      </c>
      <c r="CJ104">
        <v>25000</v>
      </c>
      <c r="CN104" s="103"/>
      <c r="CP104" s="103"/>
      <c r="CQ104">
        <v>0</v>
      </c>
      <c r="CS104">
        <v>0</v>
      </c>
      <c r="CT104">
        <v>0</v>
      </c>
      <c r="CU104">
        <v>0</v>
      </c>
    </row>
    <row r="105" spans="1:99" x14ac:dyDescent="0.35">
      <c r="A105" s="102">
        <v>44378</v>
      </c>
      <c r="B105" s="102">
        <v>44378</v>
      </c>
      <c r="C105" s="104">
        <v>44383</v>
      </c>
      <c r="D105" s="103" t="s">
        <v>384</v>
      </c>
      <c r="E105" s="103" t="s">
        <v>297</v>
      </c>
      <c r="F105" s="103" t="s">
        <v>209</v>
      </c>
      <c r="G105" s="103" t="s">
        <v>517</v>
      </c>
      <c r="H105" s="103" t="s">
        <v>392</v>
      </c>
      <c r="I105">
        <v>60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25</v>
      </c>
      <c r="R105">
        <v>1000</v>
      </c>
      <c r="T105">
        <v>0</v>
      </c>
      <c r="U105">
        <v>1000</v>
      </c>
      <c r="W105">
        <v>0</v>
      </c>
      <c r="X105">
        <v>0</v>
      </c>
      <c r="Y105">
        <v>0</v>
      </c>
      <c r="AB105" t="s">
        <v>843</v>
      </c>
      <c r="AE105">
        <v>0</v>
      </c>
      <c r="AG105" t="s">
        <v>843</v>
      </c>
      <c r="AI105">
        <v>60</v>
      </c>
      <c r="CB105" s="103" t="s">
        <v>311</v>
      </c>
      <c r="CC105" s="103" t="s">
        <v>387</v>
      </c>
      <c r="CD105" s="103" t="s">
        <v>287</v>
      </c>
      <c r="CE105" s="103" t="s">
        <v>296</v>
      </c>
      <c r="CF105">
        <v>4</v>
      </c>
      <c r="CG105">
        <v>25</v>
      </c>
      <c r="CH105">
        <v>1000</v>
      </c>
      <c r="CI105">
        <v>25</v>
      </c>
      <c r="CJ105">
        <v>25000</v>
      </c>
      <c r="CN105" s="103"/>
      <c r="CP105" s="103"/>
      <c r="CQ105">
        <v>0</v>
      </c>
      <c r="CS105">
        <v>0</v>
      </c>
      <c r="CT105">
        <v>0</v>
      </c>
      <c r="CU105">
        <v>0</v>
      </c>
    </row>
    <row r="106" spans="1:99" x14ac:dyDescent="0.35">
      <c r="A106" s="102">
        <v>44378</v>
      </c>
      <c r="B106" s="102">
        <v>44378</v>
      </c>
      <c r="C106" s="104">
        <v>44383</v>
      </c>
      <c r="D106" s="103" t="s">
        <v>384</v>
      </c>
      <c r="E106" s="103" t="s">
        <v>297</v>
      </c>
      <c r="F106" s="103" t="s">
        <v>209</v>
      </c>
      <c r="G106" s="103" t="s">
        <v>518</v>
      </c>
      <c r="H106" s="103" t="s">
        <v>402</v>
      </c>
      <c r="I106">
        <v>60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Q106">
        <v>25</v>
      </c>
      <c r="R106">
        <v>1000</v>
      </c>
      <c r="T106">
        <v>0</v>
      </c>
      <c r="U106">
        <v>1000</v>
      </c>
      <c r="W106">
        <v>0</v>
      </c>
      <c r="X106">
        <v>0</v>
      </c>
      <c r="Y106">
        <v>0</v>
      </c>
      <c r="AB106" t="s">
        <v>843</v>
      </c>
      <c r="AE106">
        <v>0</v>
      </c>
      <c r="AG106" t="s">
        <v>843</v>
      </c>
      <c r="AI106">
        <v>60</v>
      </c>
      <c r="CB106" s="103" t="s">
        <v>311</v>
      </c>
      <c r="CC106" s="103" t="s">
        <v>387</v>
      </c>
      <c r="CD106" s="103" t="s">
        <v>287</v>
      </c>
      <c r="CE106" s="103" t="s">
        <v>296</v>
      </c>
      <c r="CF106">
        <v>4</v>
      </c>
      <c r="CG106">
        <v>25</v>
      </c>
      <c r="CH106">
        <v>1000</v>
      </c>
      <c r="CI106">
        <v>25</v>
      </c>
      <c r="CJ106">
        <v>25000</v>
      </c>
      <c r="CN106" s="103"/>
      <c r="CP106" s="103"/>
      <c r="CQ106">
        <v>0</v>
      </c>
      <c r="CS106">
        <v>0</v>
      </c>
      <c r="CT106">
        <v>0</v>
      </c>
      <c r="CU106">
        <v>0</v>
      </c>
    </row>
    <row r="107" spans="1:99" x14ac:dyDescent="0.35">
      <c r="A107" s="102">
        <v>44378</v>
      </c>
      <c r="B107" s="102">
        <v>44378</v>
      </c>
      <c r="C107" s="104">
        <v>44383</v>
      </c>
      <c r="D107" s="103" t="s">
        <v>384</v>
      </c>
      <c r="E107" s="103" t="s">
        <v>297</v>
      </c>
      <c r="F107" s="103" t="s">
        <v>209</v>
      </c>
      <c r="G107" s="103" t="s">
        <v>21</v>
      </c>
      <c r="H107" s="103" t="s">
        <v>412</v>
      </c>
      <c r="I107">
        <v>40</v>
      </c>
      <c r="J107">
        <v>0</v>
      </c>
      <c r="K107">
        <v>0</v>
      </c>
      <c r="L107">
        <v>20</v>
      </c>
      <c r="M107">
        <v>0</v>
      </c>
      <c r="N107">
        <v>0</v>
      </c>
      <c r="O107">
        <v>0</v>
      </c>
      <c r="Q107">
        <v>25</v>
      </c>
      <c r="R107">
        <v>1000</v>
      </c>
      <c r="T107">
        <v>0</v>
      </c>
      <c r="U107">
        <v>1000</v>
      </c>
      <c r="W107">
        <v>0</v>
      </c>
      <c r="X107">
        <v>0</v>
      </c>
      <c r="Y107">
        <v>0</v>
      </c>
      <c r="AB107" t="s">
        <v>843</v>
      </c>
      <c r="AE107">
        <v>0</v>
      </c>
      <c r="AG107" t="s">
        <v>843</v>
      </c>
      <c r="AI107">
        <v>40</v>
      </c>
      <c r="BN107">
        <v>20</v>
      </c>
      <c r="CB107" s="103" t="s">
        <v>311</v>
      </c>
      <c r="CC107" s="103" t="s">
        <v>387</v>
      </c>
      <c r="CD107" s="103" t="s">
        <v>287</v>
      </c>
      <c r="CE107" s="103" t="s">
        <v>296</v>
      </c>
      <c r="CF107">
        <v>4</v>
      </c>
      <c r="CG107">
        <v>25</v>
      </c>
      <c r="CH107">
        <v>1000</v>
      </c>
      <c r="CI107">
        <v>37.5</v>
      </c>
      <c r="CJ107">
        <v>25000</v>
      </c>
      <c r="CN107" s="103"/>
      <c r="CP107" s="103"/>
      <c r="CQ107">
        <v>0</v>
      </c>
      <c r="CS107">
        <v>0</v>
      </c>
      <c r="CT107">
        <v>0</v>
      </c>
      <c r="CU107">
        <v>0</v>
      </c>
    </row>
    <row r="108" spans="1:99" x14ac:dyDescent="0.35">
      <c r="A108" s="102">
        <v>44378</v>
      </c>
      <c r="B108" s="102">
        <v>44378</v>
      </c>
      <c r="C108" s="104">
        <v>44383</v>
      </c>
      <c r="D108" s="103" t="s">
        <v>384</v>
      </c>
      <c r="E108" s="103" t="s">
        <v>297</v>
      </c>
      <c r="F108" s="103" t="s">
        <v>209</v>
      </c>
      <c r="G108" s="103" t="s">
        <v>22</v>
      </c>
      <c r="H108" s="103" t="s">
        <v>424</v>
      </c>
      <c r="I108">
        <v>60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Q108">
        <v>25</v>
      </c>
      <c r="R108">
        <v>1000</v>
      </c>
      <c r="T108">
        <v>0</v>
      </c>
      <c r="U108">
        <v>1000</v>
      </c>
      <c r="W108">
        <v>0</v>
      </c>
      <c r="X108">
        <v>0</v>
      </c>
      <c r="Y108">
        <v>0</v>
      </c>
      <c r="AB108" t="s">
        <v>843</v>
      </c>
      <c r="AE108">
        <v>0</v>
      </c>
      <c r="AG108" t="s">
        <v>843</v>
      </c>
      <c r="AI108">
        <v>60</v>
      </c>
      <c r="CB108" s="103" t="s">
        <v>311</v>
      </c>
      <c r="CC108" s="103" t="s">
        <v>387</v>
      </c>
      <c r="CD108" s="103" t="s">
        <v>287</v>
      </c>
      <c r="CE108" s="103" t="s">
        <v>296</v>
      </c>
      <c r="CF108">
        <v>4</v>
      </c>
      <c r="CG108">
        <v>25</v>
      </c>
      <c r="CH108">
        <v>1000</v>
      </c>
      <c r="CI108">
        <v>25</v>
      </c>
      <c r="CJ108">
        <v>25000</v>
      </c>
      <c r="CN108" s="103"/>
      <c r="CP108" s="103"/>
      <c r="CQ108">
        <v>0</v>
      </c>
      <c r="CS108">
        <v>0</v>
      </c>
      <c r="CT108">
        <v>0</v>
      </c>
      <c r="CU108">
        <v>0</v>
      </c>
    </row>
    <row r="109" spans="1:99" x14ac:dyDescent="0.35">
      <c r="A109" s="102">
        <v>44378</v>
      </c>
      <c r="B109" s="102">
        <v>44378</v>
      </c>
      <c r="C109" s="104">
        <v>44383</v>
      </c>
      <c r="D109" s="103" t="s">
        <v>384</v>
      </c>
      <c r="E109" s="103" t="s">
        <v>297</v>
      </c>
      <c r="F109" s="103" t="s">
        <v>209</v>
      </c>
      <c r="G109" s="103" t="s">
        <v>559</v>
      </c>
      <c r="H109" s="103" t="s">
        <v>437</v>
      </c>
      <c r="I109">
        <v>55</v>
      </c>
      <c r="J109">
        <v>0</v>
      </c>
      <c r="K109">
        <v>0</v>
      </c>
      <c r="L109">
        <v>5</v>
      </c>
      <c r="M109">
        <v>0</v>
      </c>
      <c r="N109">
        <v>0</v>
      </c>
      <c r="O109">
        <v>0</v>
      </c>
      <c r="Q109">
        <v>25</v>
      </c>
      <c r="R109">
        <v>1000</v>
      </c>
      <c r="T109">
        <v>0</v>
      </c>
      <c r="U109">
        <v>1000</v>
      </c>
      <c r="W109">
        <v>0</v>
      </c>
      <c r="X109">
        <v>0</v>
      </c>
      <c r="Y109">
        <v>0</v>
      </c>
      <c r="AB109" t="s">
        <v>843</v>
      </c>
      <c r="AE109">
        <v>0</v>
      </c>
      <c r="AG109" t="s">
        <v>843</v>
      </c>
      <c r="AI109">
        <v>55</v>
      </c>
      <c r="BL109">
        <v>5</v>
      </c>
      <c r="CB109" s="103" t="s">
        <v>311</v>
      </c>
      <c r="CC109" s="103" t="s">
        <v>387</v>
      </c>
      <c r="CD109" s="103" t="s">
        <v>287</v>
      </c>
      <c r="CE109" s="103" t="s">
        <v>296</v>
      </c>
      <c r="CF109">
        <v>4</v>
      </c>
      <c r="CG109">
        <v>25</v>
      </c>
      <c r="CH109">
        <v>1000</v>
      </c>
      <c r="CI109">
        <v>27.27272727272727</v>
      </c>
      <c r="CJ109">
        <v>25000</v>
      </c>
      <c r="CN109" s="103"/>
      <c r="CP109" s="103"/>
      <c r="CQ109">
        <v>0</v>
      </c>
      <c r="CS109">
        <v>0</v>
      </c>
      <c r="CT109">
        <v>0</v>
      </c>
      <c r="CU109">
        <v>0</v>
      </c>
    </row>
    <row r="110" spans="1:99" x14ac:dyDescent="0.35">
      <c r="A110" s="102">
        <v>44378</v>
      </c>
      <c r="B110" s="102">
        <v>44378</v>
      </c>
      <c r="C110" s="104">
        <v>44383</v>
      </c>
      <c r="D110" s="103" t="s">
        <v>384</v>
      </c>
      <c r="E110" s="103" t="s">
        <v>297</v>
      </c>
      <c r="F110" s="103" t="s">
        <v>212</v>
      </c>
      <c r="G110" s="103" t="s">
        <v>519</v>
      </c>
      <c r="H110" s="103" t="s">
        <v>448</v>
      </c>
      <c r="I110">
        <v>60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25</v>
      </c>
      <c r="R110">
        <v>1000</v>
      </c>
      <c r="T110">
        <v>0</v>
      </c>
      <c r="U110">
        <v>1000</v>
      </c>
      <c r="W110">
        <v>0</v>
      </c>
      <c r="X110">
        <v>0</v>
      </c>
      <c r="Y110">
        <v>0</v>
      </c>
      <c r="AB110" t="s">
        <v>843</v>
      </c>
      <c r="AE110">
        <v>0</v>
      </c>
      <c r="AG110" t="s">
        <v>843</v>
      </c>
      <c r="AI110">
        <v>60</v>
      </c>
      <c r="CB110" s="103" t="s">
        <v>311</v>
      </c>
      <c r="CC110" s="103" t="s">
        <v>387</v>
      </c>
      <c r="CD110" s="103" t="s">
        <v>287</v>
      </c>
      <c r="CE110" s="103" t="s">
        <v>296</v>
      </c>
      <c r="CF110">
        <v>4</v>
      </c>
      <c r="CG110">
        <v>25</v>
      </c>
      <c r="CH110">
        <v>1000</v>
      </c>
      <c r="CI110">
        <v>25</v>
      </c>
      <c r="CJ110">
        <v>25000</v>
      </c>
      <c r="CN110" s="103"/>
      <c r="CP110" s="103"/>
      <c r="CQ110">
        <v>0</v>
      </c>
      <c r="CS110">
        <v>0</v>
      </c>
      <c r="CT110">
        <v>0</v>
      </c>
      <c r="CU110">
        <v>0</v>
      </c>
    </row>
    <row r="111" spans="1:99" x14ac:dyDescent="0.35">
      <c r="A111" s="102">
        <v>44378</v>
      </c>
      <c r="B111" s="102">
        <v>44378</v>
      </c>
      <c r="C111" s="104">
        <v>44383</v>
      </c>
      <c r="D111" s="103" t="s">
        <v>384</v>
      </c>
      <c r="E111" s="103" t="s">
        <v>297</v>
      </c>
      <c r="F111" s="103" t="s">
        <v>212</v>
      </c>
      <c r="G111" s="103" t="s">
        <v>520</v>
      </c>
      <c r="H111" s="103" t="s">
        <v>453</v>
      </c>
      <c r="I111">
        <v>60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Q111">
        <v>25</v>
      </c>
      <c r="R111">
        <v>1000</v>
      </c>
      <c r="T111">
        <v>0</v>
      </c>
      <c r="U111">
        <v>1000</v>
      </c>
      <c r="W111">
        <v>0</v>
      </c>
      <c r="X111">
        <v>0</v>
      </c>
      <c r="Y111">
        <v>0</v>
      </c>
      <c r="AB111" t="s">
        <v>843</v>
      </c>
      <c r="AE111">
        <v>0</v>
      </c>
      <c r="AG111" t="s">
        <v>843</v>
      </c>
      <c r="AI111">
        <v>60</v>
      </c>
      <c r="CB111" s="103" t="s">
        <v>311</v>
      </c>
      <c r="CC111" s="103" t="s">
        <v>387</v>
      </c>
      <c r="CD111" s="103" t="s">
        <v>287</v>
      </c>
      <c r="CE111" s="103" t="s">
        <v>296</v>
      </c>
      <c r="CF111">
        <v>3</v>
      </c>
      <c r="CG111">
        <v>25</v>
      </c>
      <c r="CH111">
        <v>1000</v>
      </c>
      <c r="CI111">
        <v>25</v>
      </c>
      <c r="CJ111">
        <v>25000</v>
      </c>
      <c r="CN111" s="103"/>
      <c r="CP111" s="103"/>
      <c r="CQ111">
        <v>0</v>
      </c>
      <c r="CS111">
        <v>0</v>
      </c>
      <c r="CT111">
        <v>0</v>
      </c>
      <c r="CU111">
        <v>0</v>
      </c>
    </row>
    <row r="112" spans="1:99" x14ac:dyDescent="0.35">
      <c r="A112" s="102">
        <v>44378</v>
      </c>
      <c r="B112" s="102">
        <v>44378</v>
      </c>
      <c r="C112" s="104">
        <v>44383</v>
      </c>
      <c r="D112" s="103" t="s">
        <v>384</v>
      </c>
      <c r="E112" s="103" t="s">
        <v>297</v>
      </c>
      <c r="F112" s="103" t="s">
        <v>212</v>
      </c>
      <c r="G112" s="103" t="s">
        <v>521</v>
      </c>
      <c r="H112" s="103" t="s">
        <v>457</v>
      </c>
      <c r="I112">
        <v>60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Q112">
        <v>25</v>
      </c>
      <c r="R112">
        <v>1000</v>
      </c>
      <c r="T112">
        <v>0</v>
      </c>
      <c r="U112">
        <v>1000</v>
      </c>
      <c r="W112">
        <v>0</v>
      </c>
      <c r="X112">
        <v>0</v>
      </c>
      <c r="Y112">
        <v>0</v>
      </c>
      <c r="AB112" t="s">
        <v>843</v>
      </c>
      <c r="AE112">
        <v>0</v>
      </c>
      <c r="AG112" t="s">
        <v>843</v>
      </c>
      <c r="AI112">
        <v>60</v>
      </c>
      <c r="CB112" s="103" t="s">
        <v>311</v>
      </c>
      <c r="CC112" s="103" t="s">
        <v>387</v>
      </c>
      <c r="CD112" s="103" t="s">
        <v>287</v>
      </c>
      <c r="CE112" s="103" t="s">
        <v>296</v>
      </c>
      <c r="CF112">
        <v>4</v>
      </c>
      <c r="CG112">
        <v>25</v>
      </c>
      <c r="CH112">
        <v>1000</v>
      </c>
      <c r="CI112">
        <v>25</v>
      </c>
      <c r="CJ112">
        <v>25000</v>
      </c>
      <c r="CN112" s="103"/>
      <c r="CP112" s="103"/>
      <c r="CQ112">
        <v>0</v>
      </c>
      <c r="CS112">
        <v>0</v>
      </c>
      <c r="CT112">
        <v>0</v>
      </c>
      <c r="CU112">
        <v>0</v>
      </c>
    </row>
    <row r="113" spans="1:99" x14ac:dyDescent="0.35">
      <c r="A113" s="102">
        <v>44378</v>
      </c>
      <c r="B113" s="102">
        <v>44378</v>
      </c>
      <c r="C113" s="104">
        <v>44383</v>
      </c>
      <c r="D113" s="103" t="s">
        <v>384</v>
      </c>
      <c r="E113" s="103" t="s">
        <v>297</v>
      </c>
      <c r="F113" s="103" t="s">
        <v>212</v>
      </c>
      <c r="G113" s="103" t="s">
        <v>522</v>
      </c>
      <c r="H113" s="103" t="s">
        <v>461</v>
      </c>
      <c r="I113">
        <v>60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25</v>
      </c>
      <c r="R113">
        <v>1000</v>
      </c>
      <c r="T113">
        <v>0</v>
      </c>
      <c r="U113">
        <v>1000</v>
      </c>
      <c r="W113">
        <v>0</v>
      </c>
      <c r="X113">
        <v>0</v>
      </c>
      <c r="Y113">
        <v>0</v>
      </c>
      <c r="AB113" t="s">
        <v>843</v>
      </c>
      <c r="AE113">
        <v>0</v>
      </c>
      <c r="AG113" t="s">
        <v>843</v>
      </c>
      <c r="AI113">
        <v>60</v>
      </c>
      <c r="CB113" s="103" t="s">
        <v>311</v>
      </c>
      <c r="CC113" s="103" t="s">
        <v>387</v>
      </c>
      <c r="CD113" s="103" t="s">
        <v>287</v>
      </c>
      <c r="CE113" s="103" t="s">
        <v>296</v>
      </c>
      <c r="CF113">
        <v>3</v>
      </c>
      <c r="CG113">
        <v>25</v>
      </c>
      <c r="CH113">
        <v>1000</v>
      </c>
      <c r="CI113">
        <v>25</v>
      </c>
      <c r="CJ113">
        <v>25000</v>
      </c>
      <c r="CN113" s="103"/>
      <c r="CP113" s="103"/>
      <c r="CQ113">
        <v>0</v>
      </c>
      <c r="CS113">
        <v>0</v>
      </c>
      <c r="CT113">
        <v>0</v>
      </c>
      <c r="CU113">
        <v>0</v>
      </c>
    </row>
    <row r="114" spans="1:99" x14ac:dyDescent="0.35">
      <c r="A114" s="102">
        <v>44378</v>
      </c>
      <c r="B114" s="102">
        <v>44378</v>
      </c>
      <c r="C114" s="104">
        <v>44383</v>
      </c>
      <c r="D114" s="103" t="s">
        <v>384</v>
      </c>
      <c r="E114" s="103" t="s">
        <v>297</v>
      </c>
      <c r="F114" s="103" t="s">
        <v>212</v>
      </c>
      <c r="G114" s="103" t="s">
        <v>523</v>
      </c>
      <c r="H114" s="103" t="s">
        <v>466</v>
      </c>
      <c r="I114">
        <v>60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Q114">
        <v>25</v>
      </c>
      <c r="R114">
        <v>1000</v>
      </c>
      <c r="T114">
        <v>0</v>
      </c>
      <c r="U114">
        <v>1000</v>
      </c>
      <c r="W114">
        <v>0</v>
      </c>
      <c r="X114">
        <v>0</v>
      </c>
      <c r="Y114">
        <v>0</v>
      </c>
      <c r="AB114" t="s">
        <v>843</v>
      </c>
      <c r="AE114">
        <v>0</v>
      </c>
      <c r="AG114" t="s">
        <v>843</v>
      </c>
      <c r="AI114">
        <v>60</v>
      </c>
      <c r="CB114" s="103" t="s">
        <v>311</v>
      </c>
      <c r="CC114" s="103" t="s">
        <v>387</v>
      </c>
      <c r="CD114" s="103" t="s">
        <v>287</v>
      </c>
      <c r="CE114" s="103" t="s">
        <v>296</v>
      </c>
      <c r="CF114">
        <v>3</v>
      </c>
      <c r="CG114">
        <v>25</v>
      </c>
      <c r="CH114">
        <v>1000</v>
      </c>
      <c r="CI114">
        <v>25</v>
      </c>
      <c r="CJ114">
        <v>25000</v>
      </c>
      <c r="CN114" s="103"/>
      <c r="CP114" s="103"/>
      <c r="CQ114">
        <v>0</v>
      </c>
      <c r="CS114">
        <v>0</v>
      </c>
      <c r="CT114">
        <v>0</v>
      </c>
      <c r="CU114">
        <v>0</v>
      </c>
    </row>
    <row r="115" spans="1:99" x14ac:dyDescent="0.35">
      <c r="A115" s="102">
        <v>44378</v>
      </c>
      <c r="B115" s="102">
        <v>44378</v>
      </c>
      <c r="C115" s="104">
        <v>44383</v>
      </c>
      <c r="D115" s="103" t="s">
        <v>384</v>
      </c>
      <c r="E115" s="103" t="s">
        <v>297</v>
      </c>
      <c r="F115" s="103" t="s">
        <v>212</v>
      </c>
      <c r="G115" s="103" t="s">
        <v>524</v>
      </c>
      <c r="H115" s="103" t="s">
        <v>469</v>
      </c>
      <c r="I115">
        <v>60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25</v>
      </c>
      <c r="R115">
        <v>1000</v>
      </c>
      <c r="T115">
        <v>0</v>
      </c>
      <c r="U115">
        <v>1000</v>
      </c>
      <c r="W115">
        <v>0</v>
      </c>
      <c r="X115">
        <v>0</v>
      </c>
      <c r="Y115">
        <v>0</v>
      </c>
      <c r="AB115" t="s">
        <v>843</v>
      </c>
      <c r="AE115">
        <v>0</v>
      </c>
      <c r="AG115" t="s">
        <v>843</v>
      </c>
      <c r="AI115">
        <v>60</v>
      </c>
      <c r="CB115" s="103" t="s">
        <v>311</v>
      </c>
      <c r="CC115" s="103" t="s">
        <v>387</v>
      </c>
      <c r="CD115" s="103" t="s">
        <v>287</v>
      </c>
      <c r="CE115" s="103" t="s">
        <v>296</v>
      </c>
      <c r="CF115">
        <v>3</v>
      </c>
      <c r="CG115">
        <v>25</v>
      </c>
      <c r="CH115">
        <v>1000</v>
      </c>
      <c r="CI115">
        <v>25</v>
      </c>
      <c r="CJ115">
        <v>25000</v>
      </c>
      <c r="CN115" s="103"/>
      <c r="CP115" s="103"/>
      <c r="CQ115">
        <v>0</v>
      </c>
      <c r="CS115">
        <v>0</v>
      </c>
      <c r="CT115">
        <v>0</v>
      </c>
      <c r="CU115">
        <v>0</v>
      </c>
    </row>
    <row r="116" spans="1:99" x14ac:dyDescent="0.35">
      <c r="A116" s="102">
        <v>44378</v>
      </c>
      <c r="B116" s="102">
        <v>44378</v>
      </c>
      <c r="C116" s="104">
        <v>44383</v>
      </c>
      <c r="D116" s="103" t="s">
        <v>384</v>
      </c>
      <c r="E116" s="103" t="s">
        <v>297</v>
      </c>
      <c r="F116" s="103" t="s">
        <v>212</v>
      </c>
      <c r="G116" s="103" t="s">
        <v>525</v>
      </c>
      <c r="H116" s="103" t="s">
        <v>472</v>
      </c>
      <c r="I116">
        <v>0</v>
      </c>
      <c r="J116">
        <v>0</v>
      </c>
      <c r="K116">
        <v>0</v>
      </c>
      <c r="L116">
        <v>60</v>
      </c>
      <c r="M116">
        <v>0</v>
      </c>
      <c r="N116">
        <v>0</v>
      </c>
      <c r="O116">
        <v>0</v>
      </c>
      <c r="Q116">
        <v>25</v>
      </c>
      <c r="R116">
        <v>1000</v>
      </c>
      <c r="T116">
        <v>0</v>
      </c>
      <c r="U116">
        <v>1000</v>
      </c>
      <c r="W116">
        <v>0</v>
      </c>
      <c r="X116">
        <v>0</v>
      </c>
      <c r="Y116">
        <v>0</v>
      </c>
      <c r="AB116" t="s">
        <v>843</v>
      </c>
      <c r="AE116">
        <v>0</v>
      </c>
      <c r="AG116" t="s">
        <v>843</v>
      </c>
      <c r="BH116">
        <v>60</v>
      </c>
      <c r="CB116" s="103" t="s">
        <v>311</v>
      </c>
      <c r="CC116" s="103" t="s">
        <v>387</v>
      </c>
      <c r="CD116" s="103" t="s">
        <v>287</v>
      </c>
      <c r="CE116" s="103" t="s">
        <v>296</v>
      </c>
      <c r="CG116">
        <v>25</v>
      </c>
      <c r="CH116">
        <v>1000</v>
      </c>
      <c r="CI116">
        <v>0</v>
      </c>
      <c r="CJ116">
        <v>25000</v>
      </c>
      <c r="CN116" s="103"/>
      <c r="CP116" s="103"/>
      <c r="CQ116">
        <v>0</v>
      </c>
      <c r="CS116">
        <v>0</v>
      </c>
      <c r="CT116">
        <v>0</v>
      </c>
      <c r="CU116">
        <v>0</v>
      </c>
    </row>
    <row r="117" spans="1:99" x14ac:dyDescent="0.35">
      <c r="A117" s="102">
        <v>44378</v>
      </c>
      <c r="B117" s="102">
        <v>44378</v>
      </c>
      <c r="C117" s="104">
        <v>44383</v>
      </c>
      <c r="D117" s="103" t="s">
        <v>384</v>
      </c>
      <c r="E117" s="103" t="s">
        <v>297</v>
      </c>
      <c r="F117" s="103" t="s">
        <v>212</v>
      </c>
      <c r="G117" s="103" t="s">
        <v>526</v>
      </c>
      <c r="H117" s="103" t="s">
        <v>478</v>
      </c>
      <c r="I117">
        <v>60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Q117">
        <v>25</v>
      </c>
      <c r="R117">
        <v>1000</v>
      </c>
      <c r="T117">
        <v>0</v>
      </c>
      <c r="U117">
        <v>1000</v>
      </c>
      <c r="W117">
        <v>0</v>
      </c>
      <c r="X117">
        <v>0</v>
      </c>
      <c r="Y117">
        <v>0</v>
      </c>
      <c r="AB117" t="s">
        <v>843</v>
      </c>
      <c r="AE117">
        <v>0</v>
      </c>
      <c r="AG117" t="s">
        <v>843</v>
      </c>
      <c r="AI117">
        <v>60</v>
      </c>
      <c r="CB117" s="103" t="s">
        <v>311</v>
      </c>
      <c r="CC117" s="103" t="s">
        <v>387</v>
      </c>
      <c r="CD117" s="103" t="s">
        <v>287</v>
      </c>
      <c r="CE117" s="103" t="s">
        <v>296</v>
      </c>
      <c r="CF117">
        <v>4</v>
      </c>
      <c r="CG117">
        <v>25</v>
      </c>
      <c r="CH117">
        <v>1000</v>
      </c>
      <c r="CI117">
        <v>25</v>
      </c>
      <c r="CJ117">
        <v>25000</v>
      </c>
      <c r="CN117" s="103"/>
      <c r="CP117" s="103"/>
      <c r="CQ117">
        <v>0</v>
      </c>
      <c r="CS117">
        <v>0</v>
      </c>
      <c r="CT117">
        <v>0</v>
      </c>
      <c r="CU117">
        <v>0</v>
      </c>
    </row>
    <row r="118" spans="1:99" x14ac:dyDescent="0.35">
      <c r="A118" s="102">
        <v>44378</v>
      </c>
      <c r="B118" s="102">
        <v>44378</v>
      </c>
      <c r="C118" s="104">
        <v>44383</v>
      </c>
      <c r="D118" s="103" t="s">
        <v>384</v>
      </c>
      <c r="E118" s="103" t="s">
        <v>297</v>
      </c>
      <c r="F118" s="103" t="s">
        <v>212</v>
      </c>
      <c r="G118" s="103" t="s">
        <v>527</v>
      </c>
      <c r="H118" s="103" t="s">
        <v>482</v>
      </c>
      <c r="I118">
        <v>60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25</v>
      </c>
      <c r="R118">
        <v>1000</v>
      </c>
      <c r="T118">
        <v>0</v>
      </c>
      <c r="U118">
        <v>1000</v>
      </c>
      <c r="W118">
        <v>0</v>
      </c>
      <c r="X118">
        <v>0</v>
      </c>
      <c r="Y118">
        <v>0</v>
      </c>
      <c r="AB118" t="s">
        <v>843</v>
      </c>
      <c r="AE118">
        <v>0</v>
      </c>
      <c r="AG118" t="s">
        <v>843</v>
      </c>
      <c r="AI118">
        <v>60</v>
      </c>
      <c r="CB118" s="103" t="s">
        <v>311</v>
      </c>
      <c r="CC118" s="103" t="s">
        <v>387</v>
      </c>
      <c r="CD118" s="103" t="s">
        <v>287</v>
      </c>
      <c r="CE118" s="103" t="s">
        <v>296</v>
      </c>
      <c r="CF118">
        <v>3</v>
      </c>
      <c r="CG118">
        <v>25</v>
      </c>
      <c r="CH118">
        <v>1000</v>
      </c>
      <c r="CI118">
        <v>25</v>
      </c>
      <c r="CJ118">
        <v>25000</v>
      </c>
      <c r="CN118" s="103"/>
      <c r="CP118" s="103"/>
      <c r="CQ118">
        <v>0</v>
      </c>
      <c r="CS118">
        <v>0</v>
      </c>
      <c r="CT118">
        <v>0</v>
      </c>
      <c r="CU118">
        <v>0</v>
      </c>
    </row>
    <row r="119" spans="1:99" x14ac:dyDescent="0.35">
      <c r="A119" s="102">
        <v>44378</v>
      </c>
      <c r="B119" s="102">
        <v>44378</v>
      </c>
      <c r="C119" s="104">
        <v>44383</v>
      </c>
      <c r="D119" s="103" t="s">
        <v>384</v>
      </c>
      <c r="E119" s="103" t="s">
        <v>297</v>
      </c>
      <c r="F119" s="103" t="s">
        <v>212</v>
      </c>
      <c r="G119" s="103" t="s">
        <v>528</v>
      </c>
      <c r="H119" s="103" t="s">
        <v>487</v>
      </c>
      <c r="I119">
        <v>60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Q119">
        <v>25</v>
      </c>
      <c r="R119">
        <v>1000</v>
      </c>
      <c r="T119">
        <v>0</v>
      </c>
      <c r="U119">
        <v>1000</v>
      </c>
      <c r="W119">
        <v>0</v>
      </c>
      <c r="X119">
        <v>0</v>
      </c>
      <c r="Y119">
        <v>0</v>
      </c>
      <c r="AB119" t="s">
        <v>843</v>
      </c>
      <c r="AE119">
        <v>0</v>
      </c>
      <c r="AG119" t="s">
        <v>843</v>
      </c>
      <c r="AI119">
        <v>60</v>
      </c>
      <c r="CB119" s="103" t="s">
        <v>311</v>
      </c>
      <c r="CC119" s="103" t="s">
        <v>387</v>
      </c>
      <c r="CD119" s="103" t="s">
        <v>287</v>
      </c>
      <c r="CE119" s="103" t="s">
        <v>296</v>
      </c>
      <c r="CF119">
        <v>4</v>
      </c>
      <c r="CG119">
        <v>25</v>
      </c>
      <c r="CH119">
        <v>1000</v>
      </c>
      <c r="CI119">
        <v>25</v>
      </c>
      <c r="CJ119">
        <v>25000</v>
      </c>
      <c r="CN119" s="103"/>
      <c r="CP119" s="103"/>
      <c r="CQ119">
        <v>0</v>
      </c>
      <c r="CS119">
        <v>0</v>
      </c>
      <c r="CT119">
        <v>0</v>
      </c>
      <c r="CU119">
        <v>0</v>
      </c>
    </row>
    <row r="120" spans="1:99" x14ac:dyDescent="0.35">
      <c r="A120" s="102">
        <v>44378</v>
      </c>
      <c r="B120" s="102">
        <v>44378</v>
      </c>
      <c r="C120" s="104">
        <v>44383</v>
      </c>
      <c r="D120" s="103" t="s">
        <v>384</v>
      </c>
      <c r="E120" s="103" t="s">
        <v>297</v>
      </c>
      <c r="F120" s="103" t="s">
        <v>212</v>
      </c>
      <c r="G120" s="103" t="s">
        <v>529</v>
      </c>
      <c r="H120" s="103" t="s">
        <v>492</v>
      </c>
      <c r="I120">
        <v>60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Q120">
        <v>25</v>
      </c>
      <c r="R120">
        <v>1000</v>
      </c>
      <c r="T120">
        <v>0</v>
      </c>
      <c r="U120">
        <v>1000</v>
      </c>
      <c r="W120">
        <v>0</v>
      </c>
      <c r="X120">
        <v>0</v>
      </c>
      <c r="Y120">
        <v>0</v>
      </c>
      <c r="AB120" t="s">
        <v>843</v>
      </c>
      <c r="AE120">
        <v>0</v>
      </c>
      <c r="AG120" t="s">
        <v>843</v>
      </c>
      <c r="AI120">
        <v>60</v>
      </c>
      <c r="CB120" s="103" t="s">
        <v>311</v>
      </c>
      <c r="CC120" s="103" t="s">
        <v>387</v>
      </c>
      <c r="CD120" s="103" t="s">
        <v>287</v>
      </c>
      <c r="CE120" s="103" t="s">
        <v>296</v>
      </c>
      <c r="CF120">
        <v>3</v>
      </c>
      <c r="CG120">
        <v>25</v>
      </c>
      <c r="CH120">
        <v>1000</v>
      </c>
      <c r="CI120">
        <v>25</v>
      </c>
      <c r="CJ120">
        <v>25000</v>
      </c>
      <c r="CN120" s="103"/>
      <c r="CP120" s="103"/>
      <c r="CQ120">
        <v>0</v>
      </c>
      <c r="CS120">
        <v>0</v>
      </c>
      <c r="CT120">
        <v>0</v>
      </c>
      <c r="CU120">
        <v>0</v>
      </c>
    </row>
    <row r="121" spans="1:99" x14ac:dyDescent="0.35">
      <c r="A121" s="102">
        <v>44378</v>
      </c>
      <c r="B121" s="102">
        <v>44378</v>
      </c>
      <c r="C121" s="104">
        <v>44383</v>
      </c>
      <c r="D121" s="103" t="s">
        <v>384</v>
      </c>
      <c r="E121" s="103" t="s">
        <v>297</v>
      </c>
      <c r="F121" s="103" t="s">
        <v>212</v>
      </c>
      <c r="G121" s="103" t="s">
        <v>530</v>
      </c>
      <c r="H121" s="103" t="s">
        <v>497</v>
      </c>
      <c r="I121">
        <v>60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25</v>
      </c>
      <c r="R121">
        <v>1000</v>
      </c>
      <c r="T121">
        <v>0</v>
      </c>
      <c r="U121">
        <v>1000</v>
      </c>
      <c r="W121">
        <v>0</v>
      </c>
      <c r="X121">
        <v>0</v>
      </c>
      <c r="Y121">
        <v>0</v>
      </c>
      <c r="AB121" t="s">
        <v>843</v>
      </c>
      <c r="AE121">
        <v>0</v>
      </c>
      <c r="AG121" t="s">
        <v>843</v>
      </c>
      <c r="AI121">
        <v>60</v>
      </c>
      <c r="CB121" s="103" t="s">
        <v>311</v>
      </c>
      <c r="CC121" s="103" t="s">
        <v>387</v>
      </c>
      <c r="CD121" s="103" t="s">
        <v>287</v>
      </c>
      <c r="CE121" s="103" t="s">
        <v>296</v>
      </c>
      <c r="CF121">
        <v>4</v>
      </c>
      <c r="CG121">
        <v>25</v>
      </c>
      <c r="CH121">
        <v>1000</v>
      </c>
      <c r="CI121">
        <v>25</v>
      </c>
      <c r="CJ121">
        <v>25000</v>
      </c>
      <c r="CN121" s="103"/>
      <c r="CP121" s="103"/>
      <c r="CQ121">
        <v>0</v>
      </c>
      <c r="CS121">
        <v>0</v>
      </c>
      <c r="CT121">
        <v>0</v>
      </c>
      <c r="CU121">
        <v>0</v>
      </c>
    </row>
    <row r="122" spans="1:99" x14ac:dyDescent="0.35">
      <c r="A122" s="102">
        <v>44378</v>
      </c>
      <c r="B122" s="102">
        <v>44378</v>
      </c>
      <c r="C122" s="104">
        <v>44383</v>
      </c>
      <c r="D122" s="103" t="s">
        <v>408</v>
      </c>
      <c r="E122" s="103" t="s">
        <v>297</v>
      </c>
      <c r="F122" s="103" t="s">
        <v>209</v>
      </c>
      <c r="G122" s="103" t="s">
        <v>510</v>
      </c>
      <c r="H122" s="103" t="s">
        <v>281</v>
      </c>
      <c r="I122">
        <v>30</v>
      </c>
      <c r="J122">
        <v>0</v>
      </c>
      <c r="K122">
        <v>0</v>
      </c>
      <c r="L122">
        <v>30</v>
      </c>
      <c r="M122">
        <v>0</v>
      </c>
      <c r="N122">
        <v>0</v>
      </c>
      <c r="O122">
        <v>0</v>
      </c>
      <c r="Q122">
        <v>25</v>
      </c>
      <c r="R122">
        <v>1000</v>
      </c>
      <c r="T122">
        <v>0</v>
      </c>
      <c r="U122">
        <v>1000</v>
      </c>
      <c r="W122">
        <v>0</v>
      </c>
      <c r="X122">
        <v>0</v>
      </c>
      <c r="Y122">
        <v>0</v>
      </c>
      <c r="AB122" t="s">
        <v>843</v>
      </c>
      <c r="AE122">
        <v>0</v>
      </c>
      <c r="AG122" t="s">
        <v>843</v>
      </c>
      <c r="AI122">
        <v>30</v>
      </c>
      <c r="BA122">
        <v>10</v>
      </c>
      <c r="BB122">
        <v>20</v>
      </c>
      <c r="CB122" s="103" t="s">
        <v>311</v>
      </c>
      <c r="CC122" s="103" t="s">
        <v>387</v>
      </c>
      <c r="CD122" s="103" t="s">
        <v>287</v>
      </c>
      <c r="CE122" s="103" t="s">
        <v>296</v>
      </c>
      <c r="CF122">
        <v>3</v>
      </c>
      <c r="CG122">
        <v>25</v>
      </c>
      <c r="CH122">
        <v>1000</v>
      </c>
      <c r="CI122">
        <v>50</v>
      </c>
      <c r="CJ122">
        <v>25000</v>
      </c>
      <c r="CN122" s="103"/>
      <c r="CP122" s="103"/>
      <c r="CQ122">
        <v>0</v>
      </c>
      <c r="CS122">
        <v>0</v>
      </c>
      <c r="CT122">
        <v>0</v>
      </c>
      <c r="CU122">
        <v>0</v>
      </c>
    </row>
    <row r="123" spans="1:99" x14ac:dyDescent="0.35">
      <c r="A123" s="102">
        <v>44378</v>
      </c>
      <c r="B123" s="102">
        <v>44378</v>
      </c>
      <c r="C123" s="104">
        <v>44383</v>
      </c>
      <c r="D123" s="103" t="s">
        <v>408</v>
      </c>
      <c r="E123" s="103" t="s">
        <v>297</v>
      </c>
      <c r="F123" s="103" t="s">
        <v>209</v>
      </c>
      <c r="G123" s="103" t="s">
        <v>511</v>
      </c>
      <c r="H123" s="103" t="s">
        <v>301</v>
      </c>
      <c r="I123">
        <v>50</v>
      </c>
      <c r="J123">
        <v>0</v>
      </c>
      <c r="K123">
        <v>0</v>
      </c>
      <c r="L123">
        <v>10</v>
      </c>
      <c r="M123">
        <v>0</v>
      </c>
      <c r="N123">
        <v>0</v>
      </c>
      <c r="O123">
        <v>0</v>
      </c>
      <c r="Q123">
        <v>25</v>
      </c>
      <c r="R123">
        <v>1000</v>
      </c>
      <c r="T123">
        <v>0</v>
      </c>
      <c r="U123">
        <v>1000</v>
      </c>
      <c r="W123">
        <v>0</v>
      </c>
      <c r="X123">
        <v>0</v>
      </c>
      <c r="Y123">
        <v>0</v>
      </c>
      <c r="AB123" t="s">
        <v>843</v>
      </c>
      <c r="AE123">
        <v>0</v>
      </c>
      <c r="AG123" t="s">
        <v>843</v>
      </c>
      <c r="AI123">
        <v>50</v>
      </c>
      <c r="BO123">
        <v>10</v>
      </c>
      <c r="CB123" s="103" t="s">
        <v>311</v>
      </c>
      <c r="CC123" s="103" t="s">
        <v>387</v>
      </c>
      <c r="CD123" s="103" t="s">
        <v>287</v>
      </c>
      <c r="CE123" s="103" t="s">
        <v>296</v>
      </c>
      <c r="CF123">
        <v>4</v>
      </c>
      <c r="CG123">
        <v>25</v>
      </c>
      <c r="CH123">
        <v>1000</v>
      </c>
      <c r="CI123">
        <v>30</v>
      </c>
      <c r="CJ123">
        <v>25000</v>
      </c>
      <c r="CN123" s="103"/>
      <c r="CP123" s="103"/>
      <c r="CQ123">
        <v>0</v>
      </c>
      <c r="CS123">
        <v>0</v>
      </c>
      <c r="CT123">
        <v>0</v>
      </c>
      <c r="CU123">
        <v>0</v>
      </c>
    </row>
    <row r="124" spans="1:99" x14ac:dyDescent="0.35">
      <c r="A124" s="102">
        <v>44378</v>
      </c>
      <c r="B124" s="102">
        <v>44378</v>
      </c>
      <c r="C124" s="104">
        <v>44383</v>
      </c>
      <c r="D124" s="103" t="s">
        <v>408</v>
      </c>
      <c r="E124" s="103" t="s">
        <v>297</v>
      </c>
      <c r="F124" s="103" t="s">
        <v>209</v>
      </c>
      <c r="G124" s="103" t="s">
        <v>512</v>
      </c>
      <c r="H124" s="103" t="s">
        <v>317</v>
      </c>
      <c r="I124">
        <v>50</v>
      </c>
      <c r="J124">
        <v>0</v>
      </c>
      <c r="K124">
        <v>0</v>
      </c>
      <c r="L124">
        <v>10</v>
      </c>
      <c r="M124">
        <v>0</v>
      </c>
      <c r="N124">
        <v>0</v>
      </c>
      <c r="O124">
        <v>0</v>
      </c>
      <c r="Q124">
        <v>25</v>
      </c>
      <c r="R124">
        <v>1000</v>
      </c>
      <c r="T124">
        <v>0</v>
      </c>
      <c r="U124">
        <v>1000</v>
      </c>
      <c r="W124">
        <v>0</v>
      </c>
      <c r="X124">
        <v>0</v>
      </c>
      <c r="Y124">
        <v>0</v>
      </c>
      <c r="AB124" t="s">
        <v>843</v>
      </c>
      <c r="AE124">
        <v>0</v>
      </c>
      <c r="AG124" t="s">
        <v>843</v>
      </c>
      <c r="AI124">
        <v>50</v>
      </c>
      <c r="BI124">
        <v>10</v>
      </c>
      <c r="CB124" s="103" t="s">
        <v>311</v>
      </c>
      <c r="CC124" s="103" t="s">
        <v>387</v>
      </c>
      <c r="CD124" s="103" t="s">
        <v>287</v>
      </c>
      <c r="CE124" s="103" t="s">
        <v>296</v>
      </c>
      <c r="CF124">
        <v>3</v>
      </c>
      <c r="CG124">
        <v>25</v>
      </c>
      <c r="CH124">
        <v>1000</v>
      </c>
      <c r="CI124">
        <v>30</v>
      </c>
      <c r="CJ124">
        <v>25000</v>
      </c>
      <c r="CN124" s="103"/>
      <c r="CP124" s="103"/>
      <c r="CQ124">
        <v>0</v>
      </c>
      <c r="CS124">
        <v>0</v>
      </c>
      <c r="CT124">
        <v>0</v>
      </c>
      <c r="CU124">
        <v>0</v>
      </c>
    </row>
    <row r="125" spans="1:99" x14ac:dyDescent="0.35">
      <c r="A125" s="102">
        <v>44378</v>
      </c>
      <c r="B125" s="102">
        <v>44378</v>
      </c>
      <c r="C125" s="104">
        <v>44383</v>
      </c>
      <c r="D125" s="103" t="s">
        <v>408</v>
      </c>
      <c r="E125" s="103" t="s">
        <v>297</v>
      </c>
      <c r="F125" s="103" t="s">
        <v>209</v>
      </c>
      <c r="G125" s="103" t="s">
        <v>513</v>
      </c>
      <c r="H125" s="103" t="s">
        <v>334</v>
      </c>
      <c r="I125">
        <v>50</v>
      </c>
      <c r="J125">
        <v>0</v>
      </c>
      <c r="K125">
        <v>0</v>
      </c>
      <c r="L125">
        <v>10</v>
      </c>
      <c r="M125">
        <v>0</v>
      </c>
      <c r="N125">
        <v>0</v>
      </c>
      <c r="O125">
        <v>0</v>
      </c>
      <c r="Q125">
        <v>25</v>
      </c>
      <c r="R125">
        <v>1000</v>
      </c>
      <c r="T125">
        <v>0</v>
      </c>
      <c r="U125">
        <v>1000</v>
      </c>
      <c r="W125">
        <v>0</v>
      </c>
      <c r="X125">
        <v>0</v>
      </c>
      <c r="Y125">
        <v>0</v>
      </c>
      <c r="AB125" t="s">
        <v>843</v>
      </c>
      <c r="AE125">
        <v>0</v>
      </c>
      <c r="AG125" t="s">
        <v>843</v>
      </c>
      <c r="AI125">
        <v>50</v>
      </c>
      <c r="BJ125">
        <v>10</v>
      </c>
      <c r="CB125" s="103" t="s">
        <v>311</v>
      </c>
      <c r="CC125" s="103" t="s">
        <v>387</v>
      </c>
      <c r="CD125" s="103" t="s">
        <v>287</v>
      </c>
      <c r="CE125" s="103" t="s">
        <v>296</v>
      </c>
      <c r="CF125">
        <v>4</v>
      </c>
      <c r="CG125">
        <v>25</v>
      </c>
      <c r="CH125">
        <v>1000</v>
      </c>
      <c r="CI125">
        <v>30</v>
      </c>
      <c r="CJ125">
        <v>25000</v>
      </c>
      <c r="CN125" s="103"/>
      <c r="CP125" s="103"/>
      <c r="CQ125">
        <v>0</v>
      </c>
      <c r="CS125">
        <v>0</v>
      </c>
      <c r="CT125">
        <v>0</v>
      </c>
      <c r="CU125">
        <v>0</v>
      </c>
    </row>
    <row r="126" spans="1:99" x14ac:dyDescent="0.35">
      <c r="A126" s="102">
        <v>44378</v>
      </c>
      <c r="B126" s="102">
        <v>44378</v>
      </c>
      <c r="C126" s="104">
        <v>44383</v>
      </c>
      <c r="D126" s="103" t="s">
        <v>408</v>
      </c>
      <c r="E126" s="103" t="s">
        <v>297</v>
      </c>
      <c r="F126" s="103" t="s">
        <v>209</v>
      </c>
      <c r="G126" s="103" t="s">
        <v>514</v>
      </c>
      <c r="H126" s="103" t="s">
        <v>348</v>
      </c>
      <c r="I126">
        <v>60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25</v>
      </c>
      <c r="R126">
        <v>1000</v>
      </c>
      <c r="T126">
        <v>0</v>
      </c>
      <c r="U126">
        <v>1000</v>
      </c>
      <c r="W126">
        <v>0</v>
      </c>
      <c r="X126">
        <v>0</v>
      </c>
      <c r="Y126">
        <v>0</v>
      </c>
      <c r="AB126" t="s">
        <v>843</v>
      </c>
      <c r="AE126">
        <v>0</v>
      </c>
      <c r="AG126" t="s">
        <v>843</v>
      </c>
      <c r="AI126">
        <v>60</v>
      </c>
      <c r="CB126" s="103" t="s">
        <v>311</v>
      </c>
      <c r="CC126" s="103" t="s">
        <v>387</v>
      </c>
      <c r="CD126" s="103" t="s">
        <v>287</v>
      </c>
      <c r="CE126" s="103" t="s">
        <v>296</v>
      </c>
      <c r="CF126">
        <v>4</v>
      </c>
      <c r="CG126">
        <v>25</v>
      </c>
      <c r="CH126">
        <v>1000</v>
      </c>
      <c r="CI126">
        <v>25</v>
      </c>
      <c r="CJ126">
        <v>25000</v>
      </c>
      <c r="CN126" s="103"/>
      <c r="CP126" s="103"/>
      <c r="CQ126">
        <v>0</v>
      </c>
      <c r="CS126">
        <v>0</v>
      </c>
      <c r="CT126">
        <v>0</v>
      </c>
      <c r="CU126">
        <v>0</v>
      </c>
    </row>
    <row r="127" spans="1:99" x14ac:dyDescent="0.35">
      <c r="A127" s="102">
        <v>44378</v>
      </c>
      <c r="B127" s="102">
        <v>44378</v>
      </c>
      <c r="C127" s="104">
        <v>44383</v>
      </c>
      <c r="D127" s="103" t="s">
        <v>408</v>
      </c>
      <c r="E127" s="103" t="s">
        <v>297</v>
      </c>
      <c r="F127" s="103" t="s">
        <v>209</v>
      </c>
      <c r="G127" s="103" t="s">
        <v>515</v>
      </c>
      <c r="H127" s="103" t="s">
        <v>364</v>
      </c>
      <c r="I127">
        <v>60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Q127">
        <v>25</v>
      </c>
      <c r="R127">
        <v>1000</v>
      </c>
      <c r="T127">
        <v>0</v>
      </c>
      <c r="U127">
        <v>1000</v>
      </c>
      <c r="W127">
        <v>0</v>
      </c>
      <c r="X127">
        <v>0</v>
      </c>
      <c r="Y127">
        <v>0</v>
      </c>
      <c r="AB127" t="s">
        <v>843</v>
      </c>
      <c r="AE127">
        <v>0</v>
      </c>
      <c r="AG127" t="s">
        <v>843</v>
      </c>
      <c r="AI127">
        <v>60</v>
      </c>
      <c r="CB127" s="103" t="s">
        <v>311</v>
      </c>
      <c r="CC127" s="103" t="s">
        <v>387</v>
      </c>
      <c r="CD127" s="103" t="s">
        <v>287</v>
      </c>
      <c r="CE127" s="103" t="s">
        <v>296</v>
      </c>
      <c r="CF127">
        <v>3</v>
      </c>
      <c r="CG127">
        <v>25</v>
      </c>
      <c r="CH127">
        <v>1000</v>
      </c>
      <c r="CI127">
        <v>25</v>
      </c>
      <c r="CJ127">
        <v>25000</v>
      </c>
      <c r="CN127" s="103"/>
      <c r="CP127" s="103"/>
      <c r="CQ127">
        <v>0</v>
      </c>
      <c r="CS127">
        <v>0</v>
      </c>
      <c r="CT127">
        <v>0</v>
      </c>
      <c r="CU127">
        <v>0</v>
      </c>
    </row>
    <row r="128" spans="1:99" x14ac:dyDescent="0.35">
      <c r="A128" s="102">
        <v>44378</v>
      </c>
      <c r="B128" s="102">
        <v>44378</v>
      </c>
      <c r="C128" s="104">
        <v>44383</v>
      </c>
      <c r="D128" s="103" t="s">
        <v>408</v>
      </c>
      <c r="E128" s="103" t="s">
        <v>297</v>
      </c>
      <c r="F128" s="103" t="s">
        <v>209</v>
      </c>
      <c r="G128" s="103" t="s">
        <v>516</v>
      </c>
      <c r="H128" s="103" t="s">
        <v>378</v>
      </c>
      <c r="I128">
        <v>0</v>
      </c>
      <c r="J128">
        <v>0</v>
      </c>
      <c r="K128">
        <v>0</v>
      </c>
      <c r="L128">
        <v>60</v>
      </c>
      <c r="M128">
        <v>0</v>
      </c>
      <c r="N128">
        <v>0</v>
      </c>
      <c r="O128">
        <v>0</v>
      </c>
      <c r="Q128">
        <v>25</v>
      </c>
      <c r="R128">
        <v>1000</v>
      </c>
      <c r="T128">
        <v>0</v>
      </c>
      <c r="U128">
        <v>1000</v>
      </c>
      <c r="W128">
        <v>0</v>
      </c>
      <c r="X128">
        <v>0</v>
      </c>
      <c r="Y128">
        <v>0</v>
      </c>
      <c r="AB128" t="s">
        <v>843</v>
      </c>
      <c r="AE128">
        <v>0</v>
      </c>
      <c r="AG128" t="s">
        <v>843</v>
      </c>
      <c r="BH128">
        <v>60</v>
      </c>
      <c r="CB128" s="103" t="s">
        <v>311</v>
      </c>
      <c r="CC128" s="103" t="s">
        <v>387</v>
      </c>
      <c r="CD128" s="103" t="s">
        <v>287</v>
      </c>
      <c r="CE128" s="103" t="s">
        <v>296</v>
      </c>
      <c r="CG128">
        <v>25</v>
      </c>
      <c r="CH128">
        <v>1000</v>
      </c>
      <c r="CI128">
        <v>0</v>
      </c>
      <c r="CJ128">
        <v>25000</v>
      </c>
      <c r="CN128" s="103"/>
      <c r="CP128" s="103"/>
      <c r="CQ128">
        <v>0</v>
      </c>
      <c r="CS128">
        <v>0</v>
      </c>
      <c r="CT128">
        <v>0</v>
      </c>
      <c r="CU128">
        <v>0</v>
      </c>
    </row>
    <row r="129" spans="1:99" x14ac:dyDescent="0.35">
      <c r="A129" s="102">
        <v>44378</v>
      </c>
      <c r="B129" s="102">
        <v>44378</v>
      </c>
      <c r="C129" s="104">
        <v>44383</v>
      </c>
      <c r="D129" s="103" t="s">
        <v>408</v>
      </c>
      <c r="E129" s="103" t="s">
        <v>297</v>
      </c>
      <c r="F129" s="103" t="s">
        <v>209</v>
      </c>
      <c r="G129" s="103" t="s">
        <v>517</v>
      </c>
      <c r="H129" s="103" t="s">
        <v>392</v>
      </c>
      <c r="I129">
        <v>60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25</v>
      </c>
      <c r="R129">
        <v>1000</v>
      </c>
      <c r="T129">
        <v>0</v>
      </c>
      <c r="U129">
        <v>1000</v>
      </c>
      <c r="W129">
        <v>0</v>
      </c>
      <c r="X129">
        <v>0</v>
      </c>
      <c r="Y129">
        <v>0</v>
      </c>
      <c r="AB129" t="s">
        <v>843</v>
      </c>
      <c r="AE129">
        <v>0</v>
      </c>
      <c r="AG129" t="s">
        <v>843</v>
      </c>
      <c r="AI129">
        <v>60</v>
      </c>
      <c r="CB129" s="103" t="s">
        <v>311</v>
      </c>
      <c r="CC129" s="103" t="s">
        <v>387</v>
      </c>
      <c r="CD129" s="103" t="s">
        <v>287</v>
      </c>
      <c r="CE129" s="103" t="s">
        <v>296</v>
      </c>
      <c r="CF129">
        <v>3</v>
      </c>
      <c r="CG129">
        <v>25</v>
      </c>
      <c r="CH129">
        <v>1000</v>
      </c>
      <c r="CI129">
        <v>25</v>
      </c>
      <c r="CJ129">
        <v>25000</v>
      </c>
      <c r="CN129" s="103"/>
      <c r="CP129" s="103"/>
      <c r="CQ129">
        <v>0</v>
      </c>
      <c r="CS129">
        <v>0</v>
      </c>
      <c r="CT129">
        <v>0</v>
      </c>
      <c r="CU129">
        <v>0</v>
      </c>
    </row>
    <row r="130" spans="1:99" x14ac:dyDescent="0.35">
      <c r="A130" s="102">
        <v>44378</v>
      </c>
      <c r="B130" s="102">
        <v>44378</v>
      </c>
      <c r="C130" s="104">
        <v>44383</v>
      </c>
      <c r="D130" s="103" t="s">
        <v>408</v>
      </c>
      <c r="E130" s="103" t="s">
        <v>297</v>
      </c>
      <c r="F130" s="103" t="s">
        <v>209</v>
      </c>
      <c r="G130" s="103" t="s">
        <v>518</v>
      </c>
      <c r="H130" s="103" t="s">
        <v>402</v>
      </c>
      <c r="I130">
        <v>60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Q130">
        <v>25</v>
      </c>
      <c r="R130">
        <v>1000</v>
      </c>
      <c r="T130">
        <v>0</v>
      </c>
      <c r="U130">
        <v>1000</v>
      </c>
      <c r="W130">
        <v>0</v>
      </c>
      <c r="X130">
        <v>0</v>
      </c>
      <c r="Y130">
        <v>0</v>
      </c>
      <c r="AB130" t="s">
        <v>843</v>
      </c>
      <c r="AE130">
        <v>0</v>
      </c>
      <c r="AG130" t="s">
        <v>843</v>
      </c>
      <c r="AI130">
        <v>60</v>
      </c>
      <c r="CB130" s="103" t="s">
        <v>311</v>
      </c>
      <c r="CC130" s="103" t="s">
        <v>387</v>
      </c>
      <c r="CD130" s="103" t="s">
        <v>287</v>
      </c>
      <c r="CE130" s="103" t="s">
        <v>296</v>
      </c>
      <c r="CF130">
        <v>3</v>
      </c>
      <c r="CG130">
        <v>25</v>
      </c>
      <c r="CH130">
        <v>1000</v>
      </c>
      <c r="CI130">
        <v>25</v>
      </c>
      <c r="CJ130">
        <v>25000</v>
      </c>
      <c r="CN130" s="103"/>
      <c r="CP130" s="103"/>
      <c r="CQ130">
        <v>0</v>
      </c>
      <c r="CS130">
        <v>0</v>
      </c>
      <c r="CT130">
        <v>0</v>
      </c>
      <c r="CU130">
        <v>0</v>
      </c>
    </row>
    <row r="131" spans="1:99" x14ac:dyDescent="0.35">
      <c r="A131" s="102">
        <v>44378</v>
      </c>
      <c r="B131" s="102">
        <v>44378</v>
      </c>
      <c r="C131" s="104">
        <v>44383</v>
      </c>
      <c r="D131" s="103" t="s">
        <v>408</v>
      </c>
      <c r="E131" s="103" t="s">
        <v>297</v>
      </c>
      <c r="F131" s="103" t="s">
        <v>209</v>
      </c>
      <c r="G131" s="103" t="s">
        <v>21</v>
      </c>
      <c r="H131" s="103" t="s">
        <v>412</v>
      </c>
      <c r="I131">
        <v>40</v>
      </c>
      <c r="J131">
        <v>0</v>
      </c>
      <c r="K131">
        <v>0</v>
      </c>
      <c r="L131">
        <v>20</v>
      </c>
      <c r="M131">
        <v>0</v>
      </c>
      <c r="N131">
        <v>0</v>
      </c>
      <c r="O131">
        <v>0</v>
      </c>
      <c r="Q131">
        <v>25</v>
      </c>
      <c r="R131">
        <v>1000</v>
      </c>
      <c r="T131">
        <v>0</v>
      </c>
      <c r="U131">
        <v>1000</v>
      </c>
      <c r="W131">
        <v>0</v>
      </c>
      <c r="X131">
        <v>0</v>
      </c>
      <c r="Y131">
        <v>0</v>
      </c>
      <c r="AB131" t="s">
        <v>843</v>
      </c>
      <c r="AE131">
        <v>0</v>
      </c>
      <c r="AG131" t="s">
        <v>843</v>
      </c>
      <c r="AI131">
        <v>40</v>
      </c>
      <c r="BN131">
        <v>20</v>
      </c>
      <c r="CB131" s="103" t="s">
        <v>311</v>
      </c>
      <c r="CC131" s="103" t="s">
        <v>387</v>
      </c>
      <c r="CD131" s="103" t="s">
        <v>287</v>
      </c>
      <c r="CE131" s="103" t="s">
        <v>296</v>
      </c>
      <c r="CF131">
        <v>3</v>
      </c>
      <c r="CG131">
        <v>25</v>
      </c>
      <c r="CH131">
        <v>1000</v>
      </c>
      <c r="CI131">
        <v>37.5</v>
      </c>
      <c r="CJ131">
        <v>25000</v>
      </c>
      <c r="CN131" s="103"/>
      <c r="CP131" s="103"/>
      <c r="CQ131">
        <v>0</v>
      </c>
      <c r="CS131">
        <v>0</v>
      </c>
      <c r="CT131">
        <v>0</v>
      </c>
      <c r="CU131">
        <v>0</v>
      </c>
    </row>
    <row r="132" spans="1:99" x14ac:dyDescent="0.35">
      <c r="A132" s="102">
        <v>44378</v>
      </c>
      <c r="B132" s="102">
        <v>44378</v>
      </c>
      <c r="C132" s="104">
        <v>44383</v>
      </c>
      <c r="D132" s="103" t="s">
        <v>408</v>
      </c>
      <c r="E132" s="103" t="s">
        <v>297</v>
      </c>
      <c r="F132" s="103" t="s">
        <v>209</v>
      </c>
      <c r="G132" s="103" t="s">
        <v>22</v>
      </c>
      <c r="H132" s="103" t="s">
        <v>424</v>
      </c>
      <c r="I132">
        <v>60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Q132">
        <v>25</v>
      </c>
      <c r="R132">
        <v>1000</v>
      </c>
      <c r="T132">
        <v>0</v>
      </c>
      <c r="U132">
        <v>1000</v>
      </c>
      <c r="W132">
        <v>0</v>
      </c>
      <c r="X132">
        <v>0</v>
      </c>
      <c r="Y132">
        <v>0</v>
      </c>
      <c r="AB132" t="s">
        <v>843</v>
      </c>
      <c r="AE132">
        <v>0</v>
      </c>
      <c r="AG132" t="s">
        <v>843</v>
      </c>
      <c r="AI132">
        <v>60</v>
      </c>
      <c r="CB132" s="103" t="s">
        <v>311</v>
      </c>
      <c r="CC132" s="103" t="s">
        <v>387</v>
      </c>
      <c r="CD132" s="103" t="s">
        <v>287</v>
      </c>
      <c r="CE132" s="103" t="s">
        <v>296</v>
      </c>
      <c r="CF132">
        <v>3</v>
      </c>
      <c r="CG132">
        <v>25</v>
      </c>
      <c r="CH132">
        <v>1000</v>
      </c>
      <c r="CI132">
        <v>25</v>
      </c>
      <c r="CJ132">
        <v>25000</v>
      </c>
      <c r="CN132" s="103"/>
      <c r="CP132" s="103"/>
      <c r="CQ132">
        <v>0</v>
      </c>
      <c r="CS132">
        <v>0</v>
      </c>
      <c r="CT132">
        <v>0</v>
      </c>
      <c r="CU132">
        <v>0</v>
      </c>
    </row>
    <row r="133" spans="1:99" x14ac:dyDescent="0.35">
      <c r="A133" s="102">
        <v>44378</v>
      </c>
      <c r="B133" s="102">
        <v>44378</v>
      </c>
      <c r="C133" s="104">
        <v>44383</v>
      </c>
      <c r="D133" s="103" t="s">
        <v>408</v>
      </c>
      <c r="E133" s="103" t="s">
        <v>297</v>
      </c>
      <c r="F133" s="103" t="s">
        <v>209</v>
      </c>
      <c r="G133" s="103" t="s">
        <v>559</v>
      </c>
      <c r="H133" s="103" t="s">
        <v>437</v>
      </c>
      <c r="I133">
        <v>55</v>
      </c>
      <c r="J133">
        <v>0</v>
      </c>
      <c r="K133">
        <v>0</v>
      </c>
      <c r="L133">
        <v>5</v>
      </c>
      <c r="M133">
        <v>0</v>
      </c>
      <c r="N133">
        <v>0</v>
      </c>
      <c r="O133">
        <v>0</v>
      </c>
      <c r="Q133">
        <v>25</v>
      </c>
      <c r="R133">
        <v>1000</v>
      </c>
      <c r="T133">
        <v>0</v>
      </c>
      <c r="U133">
        <v>1000</v>
      </c>
      <c r="W133">
        <v>0</v>
      </c>
      <c r="X133">
        <v>0</v>
      </c>
      <c r="Y133">
        <v>0</v>
      </c>
      <c r="AB133" t="s">
        <v>843</v>
      </c>
      <c r="AE133">
        <v>0</v>
      </c>
      <c r="AG133" t="s">
        <v>843</v>
      </c>
      <c r="AI133">
        <v>55</v>
      </c>
      <c r="BL133">
        <v>5</v>
      </c>
      <c r="CB133" s="103" t="s">
        <v>311</v>
      </c>
      <c r="CC133" s="103" t="s">
        <v>387</v>
      </c>
      <c r="CD133" s="103" t="s">
        <v>287</v>
      </c>
      <c r="CE133" s="103" t="s">
        <v>296</v>
      </c>
      <c r="CF133">
        <v>3</v>
      </c>
      <c r="CG133">
        <v>25</v>
      </c>
      <c r="CH133">
        <v>1000</v>
      </c>
      <c r="CI133">
        <v>27.27272727272727</v>
      </c>
      <c r="CJ133">
        <v>25000</v>
      </c>
      <c r="CN133" s="103"/>
      <c r="CP133" s="103"/>
      <c r="CQ133">
        <v>0</v>
      </c>
      <c r="CS133">
        <v>0</v>
      </c>
      <c r="CT133">
        <v>0</v>
      </c>
      <c r="CU133">
        <v>0</v>
      </c>
    </row>
    <row r="134" spans="1:99" x14ac:dyDescent="0.35">
      <c r="A134" s="102">
        <v>44378</v>
      </c>
      <c r="B134" s="102">
        <v>44378</v>
      </c>
      <c r="C134" s="104">
        <v>44383</v>
      </c>
      <c r="D134" s="103" t="s">
        <v>408</v>
      </c>
      <c r="E134" s="103" t="s">
        <v>297</v>
      </c>
      <c r="F134" s="103" t="s">
        <v>212</v>
      </c>
      <c r="G134" s="103" t="s">
        <v>519</v>
      </c>
      <c r="H134" s="103" t="s">
        <v>448</v>
      </c>
      <c r="I134">
        <v>60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25</v>
      </c>
      <c r="R134">
        <v>1000</v>
      </c>
      <c r="T134">
        <v>0</v>
      </c>
      <c r="U134">
        <v>1000</v>
      </c>
      <c r="W134">
        <v>0</v>
      </c>
      <c r="X134">
        <v>0</v>
      </c>
      <c r="Y134">
        <v>0</v>
      </c>
      <c r="AB134" t="s">
        <v>843</v>
      </c>
      <c r="AE134">
        <v>0</v>
      </c>
      <c r="AG134" t="s">
        <v>843</v>
      </c>
      <c r="AI134">
        <v>60</v>
      </c>
      <c r="CB134" s="103" t="s">
        <v>311</v>
      </c>
      <c r="CC134" s="103" t="s">
        <v>387</v>
      </c>
      <c r="CD134" s="103" t="s">
        <v>287</v>
      </c>
      <c r="CE134" s="103" t="s">
        <v>296</v>
      </c>
      <c r="CF134">
        <v>3</v>
      </c>
      <c r="CG134">
        <v>25</v>
      </c>
      <c r="CH134">
        <v>1000</v>
      </c>
      <c r="CI134">
        <v>25</v>
      </c>
      <c r="CJ134">
        <v>25000</v>
      </c>
      <c r="CN134" s="103"/>
      <c r="CP134" s="103"/>
      <c r="CQ134">
        <v>0</v>
      </c>
      <c r="CS134">
        <v>0</v>
      </c>
      <c r="CT134">
        <v>0</v>
      </c>
      <c r="CU134">
        <v>0</v>
      </c>
    </row>
    <row r="135" spans="1:99" x14ac:dyDescent="0.35">
      <c r="A135" s="102">
        <v>44378</v>
      </c>
      <c r="B135" s="102">
        <v>44378</v>
      </c>
      <c r="C135" s="104">
        <v>44383</v>
      </c>
      <c r="D135" s="103" t="s">
        <v>408</v>
      </c>
      <c r="E135" s="103" t="s">
        <v>297</v>
      </c>
      <c r="F135" s="103" t="s">
        <v>212</v>
      </c>
      <c r="G135" s="103" t="s">
        <v>520</v>
      </c>
      <c r="H135" s="103" t="s">
        <v>453</v>
      </c>
      <c r="I135">
        <v>60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Q135">
        <v>25</v>
      </c>
      <c r="R135">
        <v>1000</v>
      </c>
      <c r="T135">
        <v>0</v>
      </c>
      <c r="U135">
        <v>1000</v>
      </c>
      <c r="W135">
        <v>0</v>
      </c>
      <c r="X135">
        <v>0</v>
      </c>
      <c r="Y135">
        <v>0</v>
      </c>
      <c r="AB135" t="s">
        <v>843</v>
      </c>
      <c r="AE135">
        <v>0</v>
      </c>
      <c r="AG135" t="s">
        <v>843</v>
      </c>
      <c r="AI135">
        <v>60</v>
      </c>
      <c r="CB135" s="103" t="s">
        <v>311</v>
      </c>
      <c r="CC135" s="103" t="s">
        <v>387</v>
      </c>
      <c r="CD135" s="103" t="s">
        <v>287</v>
      </c>
      <c r="CE135" s="103" t="s">
        <v>296</v>
      </c>
      <c r="CF135">
        <v>4</v>
      </c>
      <c r="CG135">
        <v>25</v>
      </c>
      <c r="CH135">
        <v>1000</v>
      </c>
      <c r="CI135">
        <v>25</v>
      </c>
      <c r="CJ135">
        <v>25000</v>
      </c>
      <c r="CN135" s="103"/>
      <c r="CP135" s="103"/>
      <c r="CQ135">
        <v>0</v>
      </c>
      <c r="CS135">
        <v>0</v>
      </c>
      <c r="CT135">
        <v>0</v>
      </c>
      <c r="CU135">
        <v>0</v>
      </c>
    </row>
    <row r="136" spans="1:99" x14ac:dyDescent="0.35">
      <c r="A136" s="102">
        <v>44378</v>
      </c>
      <c r="B136" s="102">
        <v>44378</v>
      </c>
      <c r="C136" s="104">
        <v>44383</v>
      </c>
      <c r="D136" s="103" t="s">
        <v>408</v>
      </c>
      <c r="E136" s="103" t="s">
        <v>297</v>
      </c>
      <c r="F136" s="103" t="s">
        <v>212</v>
      </c>
      <c r="G136" s="103" t="s">
        <v>521</v>
      </c>
      <c r="H136" s="103" t="s">
        <v>457</v>
      </c>
      <c r="I136">
        <v>60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Q136">
        <v>25</v>
      </c>
      <c r="R136">
        <v>1000</v>
      </c>
      <c r="T136">
        <v>0</v>
      </c>
      <c r="U136">
        <v>1000</v>
      </c>
      <c r="W136">
        <v>0</v>
      </c>
      <c r="X136">
        <v>0</v>
      </c>
      <c r="Y136">
        <v>0</v>
      </c>
      <c r="AB136" t="s">
        <v>843</v>
      </c>
      <c r="AE136">
        <v>0</v>
      </c>
      <c r="AG136" t="s">
        <v>843</v>
      </c>
      <c r="AI136">
        <v>60</v>
      </c>
      <c r="CB136" s="103" t="s">
        <v>311</v>
      </c>
      <c r="CC136" s="103" t="s">
        <v>387</v>
      </c>
      <c r="CD136" s="103" t="s">
        <v>287</v>
      </c>
      <c r="CE136" s="103" t="s">
        <v>296</v>
      </c>
      <c r="CF136">
        <v>4</v>
      </c>
      <c r="CG136">
        <v>25</v>
      </c>
      <c r="CH136">
        <v>1000</v>
      </c>
      <c r="CI136">
        <v>25</v>
      </c>
      <c r="CJ136">
        <v>25000</v>
      </c>
      <c r="CN136" s="103"/>
      <c r="CP136" s="103"/>
      <c r="CQ136">
        <v>0</v>
      </c>
      <c r="CS136">
        <v>0</v>
      </c>
      <c r="CT136">
        <v>0</v>
      </c>
      <c r="CU136">
        <v>0</v>
      </c>
    </row>
    <row r="137" spans="1:99" x14ac:dyDescent="0.35">
      <c r="A137" s="102">
        <v>44378</v>
      </c>
      <c r="B137" s="102">
        <v>44378</v>
      </c>
      <c r="C137" s="104">
        <v>44383</v>
      </c>
      <c r="D137" s="103" t="s">
        <v>408</v>
      </c>
      <c r="E137" s="103" t="s">
        <v>297</v>
      </c>
      <c r="F137" s="103" t="s">
        <v>212</v>
      </c>
      <c r="G137" s="103" t="s">
        <v>522</v>
      </c>
      <c r="H137" s="103" t="s">
        <v>461</v>
      </c>
      <c r="I137">
        <v>60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25</v>
      </c>
      <c r="R137">
        <v>1000</v>
      </c>
      <c r="T137">
        <v>0</v>
      </c>
      <c r="U137">
        <v>1000</v>
      </c>
      <c r="W137">
        <v>0</v>
      </c>
      <c r="X137">
        <v>0</v>
      </c>
      <c r="Y137">
        <v>0</v>
      </c>
      <c r="AB137" t="s">
        <v>843</v>
      </c>
      <c r="AE137">
        <v>0</v>
      </c>
      <c r="AG137" t="s">
        <v>843</v>
      </c>
      <c r="AI137">
        <v>60</v>
      </c>
      <c r="CB137" s="103" t="s">
        <v>311</v>
      </c>
      <c r="CC137" s="103" t="s">
        <v>387</v>
      </c>
      <c r="CD137" s="103" t="s">
        <v>287</v>
      </c>
      <c r="CE137" s="103" t="s">
        <v>296</v>
      </c>
      <c r="CF137">
        <v>4</v>
      </c>
      <c r="CG137">
        <v>25</v>
      </c>
      <c r="CH137">
        <v>1000</v>
      </c>
      <c r="CI137">
        <v>25</v>
      </c>
      <c r="CJ137">
        <v>25000</v>
      </c>
      <c r="CN137" s="103"/>
      <c r="CP137" s="103"/>
      <c r="CQ137">
        <v>0</v>
      </c>
      <c r="CS137">
        <v>0</v>
      </c>
      <c r="CT137">
        <v>0</v>
      </c>
      <c r="CU137">
        <v>0</v>
      </c>
    </row>
    <row r="138" spans="1:99" x14ac:dyDescent="0.35">
      <c r="A138" s="102">
        <v>44378</v>
      </c>
      <c r="B138" s="102">
        <v>44378</v>
      </c>
      <c r="C138" s="104">
        <v>44383</v>
      </c>
      <c r="D138" s="103" t="s">
        <v>408</v>
      </c>
      <c r="E138" s="103" t="s">
        <v>297</v>
      </c>
      <c r="F138" s="103" t="s">
        <v>212</v>
      </c>
      <c r="G138" s="103" t="s">
        <v>523</v>
      </c>
      <c r="H138" s="103" t="s">
        <v>466</v>
      </c>
      <c r="I138">
        <v>60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Q138">
        <v>25</v>
      </c>
      <c r="R138">
        <v>1000</v>
      </c>
      <c r="T138">
        <v>0</v>
      </c>
      <c r="U138">
        <v>1000</v>
      </c>
      <c r="W138">
        <v>0</v>
      </c>
      <c r="X138">
        <v>0</v>
      </c>
      <c r="Y138">
        <v>0</v>
      </c>
      <c r="AB138" t="s">
        <v>843</v>
      </c>
      <c r="AE138">
        <v>0</v>
      </c>
      <c r="AG138" t="s">
        <v>843</v>
      </c>
      <c r="AI138">
        <v>60</v>
      </c>
      <c r="CB138" s="103" t="s">
        <v>311</v>
      </c>
      <c r="CC138" s="103" t="s">
        <v>387</v>
      </c>
      <c r="CD138" s="103" t="s">
        <v>287</v>
      </c>
      <c r="CE138" s="103" t="s">
        <v>296</v>
      </c>
      <c r="CF138">
        <v>4</v>
      </c>
      <c r="CG138">
        <v>25</v>
      </c>
      <c r="CH138">
        <v>1000</v>
      </c>
      <c r="CI138">
        <v>25</v>
      </c>
      <c r="CJ138">
        <v>25000</v>
      </c>
      <c r="CN138" s="103"/>
      <c r="CP138" s="103"/>
      <c r="CQ138">
        <v>0</v>
      </c>
      <c r="CS138">
        <v>0</v>
      </c>
      <c r="CT138">
        <v>0</v>
      </c>
      <c r="CU138">
        <v>0</v>
      </c>
    </row>
    <row r="139" spans="1:99" x14ac:dyDescent="0.35">
      <c r="A139" s="102">
        <v>44378</v>
      </c>
      <c r="B139" s="102">
        <v>44378</v>
      </c>
      <c r="C139" s="104">
        <v>44383</v>
      </c>
      <c r="D139" s="103" t="s">
        <v>408</v>
      </c>
      <c r="E139" s="103" t="s">
        <v>297</v>
      </c>
      <c r="F139" s="103" t="s">
        <v>212</v>
      </c>
      <c r="G139" s="103" t="s">
        <v>524</v>
      </c>
      <c r="H139" s="103" t="s">
        <v>469</v>
      </c>
      <c r="I139">
        <v>60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25</v>
      </c>
      <c r="R139">
        <v>1000</v>
      </c>
      <c r="T139">
        <v>0</v>
      </c>
      <c r="U139">
        <v>1000</v>
      </c>
      <c r="W139">
        <v>0</v>
      </c>
      <c r="X139">
        <v>0</v>
      </c>
      <c r="Y139">
        <v>0</v>
      </c>
      <c r="AB139" t="s">
        <v>843</v>
      </c>
      <c r="AE139">
        <v>0</v>
      </c>
      <c r="AG139" t="s">
        <v>843</v>
      </c>
      <c r="AI139">
        <v>60</v>
      </c>
      <c r="CB139" s="103" t="s">
        <v>311</v>
      </c>
      <c r="CC139" s="103" t="s">
        <v>387</v>
      </c>
      <c r="CD139" s="103" t="s">
        <v>287</v>
      </c>
      <c r="CE139" s="103" t="s">
        <v>296</v>
      </c>
      <c r="CF139">
        <v>4</v>
      </c>
      <c r="CG139">
        <v>25</v>
      </c>
      <c r="CH139">
        <v>1000</v>
      </c>
      <c r="CI139">
        <v>25</v>
      </c>
      <c r="CJ139">
        <v>25000</v>
      </c>
      <c r="CN139" s="103"/>
      <c r="CP139" s="103"/>
      <c r="CQ139">
        <v>0</v>
      </c>
      <c r="CS139">
        <v>0</v>
      </c>
      <c r="CT139">
        <v>0</v>
      </c>
      <c r="CU139">
        <v>0</v>
      </c>
    </row>
    <row r="140" spans="1:99" x14ac:dyDescent="0.35">
      <c r="A140" s="102">
        <v>44378</v>
      </c>
      <c r="B140" s="102">
        <v>44378</v>
      </c>
      <c r="C140" s="104">
        <v>44383</v>
      </c>
      <c r="D140" s="103" t="s">
        <v>408</v>
      </c>
      <c r="E140" s="103" t="s">
        <v>297</v>
      </c>
      <c r="F140" s="103" t="s">
        <v>212</v>
      </c>
      <c r="G140" s="103" t="s">
        <v>525</v>
      </c>
      <c r="H140" s="103" t="s">
        <v>472</v>
      </c>
      <c r="I140">
        <v>0</v>
      </c>
      <c r="J140">
        <v>0</v>
      </c>
      <c r="K140">
        <v>0</v>
      </c>
      <c r="L140">
        <v>60</v>
      </c>
      <c r="M140">
        <v>0</v>
      </c>
      <c r="N140">
        <v>0</v>
      </c>
      <c r="O140">
        <v>0</v>
      </c>
      <c r="Q140">
        <v>25</v>
      </c>
      <c r="R140">
        <v>1000</v>
      </c>
      <c r="T140">
        <v>0</v>
      </c>
      <c r="U140">
        <v>1000</v>
      </c>
      <c r="W140">
        <v>0</v>
      </c>
      <c r="X140">
        <v>0</v>
      </c>
      <c r="Y140">
        <v>0</v>
      </c>
      <c r="AB140" t="s">
        <v>843</v>
      </c>
      <c r="AE140">
        <v>0</v>
      </c>
      <c r="AG140" t="s">
        <v>843</v>
      </c>
      <c r="BH140">
        <v>60</v>
      </c>
      <c r="CB140" s="103" t="s">
        <v>311</v>
      </c>
      <c r="CC140" s="103" t="s">
        <v>387</v>
      </c>
      <c r="CD140" s="103" t="s">
        <v>287</v>
      </c>
      <c r="CE140" s="103" t="s">
        <v>296</v>
      </c>
      <c r="CG140">
        <v>25</v>
      </c>
      <c r="CH140">
        <v>1000</v>
      </c>
      <c r="CI140">
        <v>0</v>
      </c>
      <c r="CJ140">
        <v>25000</v>
      </c>
      <c r="CN140" s="103"/>
      <c r="CP140" s="103"/>
      <c r="CQ140">
        <v>0</v>
      </c>
      <c r="CS140">
        <v>0</v>
      </c>
      <c r="CT140">
        <v>0</v>
      </c>
      <c r="CU140">
        <v>0</v>
      </c>
    </row>
    <row r="141" spans="1:99" x14ac:dyDescent="0.35">
      <c r="A141" s="102">
        <v>44378</v>
      </c>
      <c r="B141" s="102">
        <v>44378</v>
      </c>
      <c r="C141" s="104">
        <v>44383</v>
      </c>
      <c r="D141" s="103" t="s">
        <v>408</v>
      </c>
      <c r="E141" s="103" t="s">
        <v>297</v>
      </c>
      <c r="F141" s="103" t="s">
        <v>212</v>
      </c>
      <c r="G141" s="103" t="s">
        <v>526</v>
      </c>
      <c r="H141" s="103" t="s">
        <v>478</v>
      </c>
      <c r="I141">
        <v>60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Q141">
        <v>25</v>
      </c>
      <c r="R141">
        <v>1000</v>
      </c>
      <c r="T141">
        <v>0</v>
      </c>
      <c r="U141">
        <v>1000</v>
      </c>
      <c r="W141">
        <v>0</v>
      </c>
      <c r="X141">
        <v>0</v>
      </c>
      <c r="Y141">
        <v>0</v>
      </c>
      <c r="AB141" t="s">
        <v>843</v>
      </c>
      <c r="AE141">
        <v>0</v>
      </c>
      <c r="AG141" t="s">
        <v>843</v>
      </c>
      <c r="AI141">
        <v>60</v>
      </c>
      <c r="CB141" s="103" t="s">
        <v>311</v>
      </c>
      <c r="CC141" s="103" t="s">
        <v>387</v>
      </c>
      <c r="CD141" s="103" t="s">
        <v>287</v>
      </c>
      <c r="CE141" s="103" t="s">
        <v>296</v>
      </c>
      <c r="CF141">
        <v>3</v>
      </c>
      <c r="CG141">
        <v>25</v>
      </c>
      <c r="CH141">
        <v>1000</v>
      </c>
      <c r="CI141">
        <v>25</v>
      </c>
      <c r="CJ141">
        <v>25000</v>
      </c>
      <c r="CN141" s="103"/>
      <c r="CP141" s="103"/>
      <c r="CQ141">
        <v>0</v>
      </c>
      <c r="CS141">
        <v>0</v>
      </c>
      <c r="CT141">
        <v>0</v>
      </c>
      <c r="CU141">
        <v>0</v>
      </c>
    </row>
    <row r="142" spans="1:99" x14ac:dyDescent="0.35">
      <c r="A142" s="102">
        <v>44378</v>
      </c>
      <c r="B142" s="102">
        <v>44378</v>
      </c>
      <c r="C142" s="104">
        <v>44383</v>
      </c>
      <c r="D142" s="103" t="s">
        <v>408</v>
      </c>
      <c r="E142" s="103" t="s">
        <v>297</v>
      </c>
      <c r="F142" s="103" t="s">
        <v>212</v>
      </c>
      <c r="G142" s="103" t="s">
        <v>527</v>
      </c>
      <c r="H142" s="103" t="s">
        <v>482</v>
      </c>
      <c r="I142">
        <v>60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25</v>
      </c>
      <c r="R142">
        <v>1000</v>
      </c>
      <c r="T142">
        <v>0</v>
      </c>
      <c r="U142">
        <v>1000</v>
      </c>
      <c r="W142">
        <v>0</v>
      </c>
      <c r="X142">
        <v>0</v>
      </c>
      <c r="Y142">
        <v>0</v>
      </c>
      <c r="AB142" t="s">
        <v>843</v>
      </c>
      <c r="AE142">
        <v>0</v>
      </c>
      <c r="AG142" t="s">
        <v>843</v>
      </c>
      <c r="AI142">
        <v>60</v>
      </c>
      <c r="CB142" s="103" t="s">
        <v>311</v>
      </c>
      <c r="CC142" s="103" t="s">
        <v>387</v>
      </c>
      <c r="CD142" s="103" t="s">
        <v>287</v>
      </c>
      <c r="CE142" s="103" t="s">
        <v>296</v>
      </c>
      <c r="CF142">
        <v>3</v>
      </c>
      <c r="CG142">
        <v>25</v>
      </c>
      <c r="CH142">
        <v>1000</v>
      </c>
      <c r="CI142">
        <v>25</v>
      </c>
      <c r="CJ142">
        <v>25000</v>
      </c>
      <c r="CN142" s="103"/>
      <c r="CP142" s="103"/>
      <c r="CQ142">
        <v>0</v>
      </c>
      <c r="CS142">
        <v>0</v>
      </c>
      <c r="CT142">
        <v>0</v>
      </c>
      <c r="CU142">
        <v>0</v>
      </c>
    </row>
    <row r="143" spans="1:99" x14ac:dyDescent="0.35">
      <c r="A143" s="102">
        <v>44378</v>
      </c>
      <c r="B143" s="102">
        <v>44378</v>
      </c>
      <c r="C143" s="104">
        <v>44383</v>
      </c>
      <c r="D143" s="103" t="s">
        <v>408</v>
      </c>
      <c r="E143" s="103" t="s">
        <v>297</v>
      </c>
      <c r="F143" s="103" t="s">
        <v>212</v>
      </c>
      <c r="G143" s="103" t="s">
        <v>528</v>
      </c>
      <c r="H143" s="103" t="s">
        <v>487</v>
      </c>
      <c r="I143">
        <v>60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Q143">
        <v>25</v>
      </c>
      <c r="R143">
        <v>1000</v>
      </c>
      <c r="T143">
        <v>0</v>
      </c>
      <c r="U143">
        <v>1000</v>
      </c>
      <c r="W143">
        <v>0</v>
      </c>
      <c r="X143">
        <v>0</v>
      </c>
      <c r="Y143">
        <v>0</v>
      </c>
      <c r="AB143" t="s">
        <v>843</v>
      </c>
      <c r="AE143">
        <v>0</v>
      </c>
      <c r="AG143" t="s">
        <v>843</v>
      </c>
      <c r="AI143">
        <v>60</v>
      </c>
      <c r="CB143" s="103" t="s">
        <v>311</v>
      </c>
      <c r="CC143" s="103" t="s">
        <v>387</v>
      </c>
      <c r="CD143" s="103" t="s">
        <v>287</v>
      </c>
      <c r="CE143" s="103" t="s">
        <v>296</v>
      </c>
      <c r="CF143">
        <v>3</v>
      </c>
      <c r="CG143">
        <v>25</v>
      </c>
      <c r="CH143">
        <v>1000</v>
      </c>
      <c r="CI143">
        <v>25</v>
      </c>
      <c r="CJ143">
        <v>25000</v>
      </c>
      <c r="CN143" s="103"/>
      <c r="CP143" s="103"/>
      <c r="CQ143">
        <v>0</v>
      </c>
      <c r="CS143">
        <v>0</v>
      </c>
      <c r="CT143">
        <v>0</v>
      </c>
      <c r="CU143">
        <v>0</v>
      </c>
    </row>
    <row r="144" spans="1:99" x14ac:dyDescent="0.35">
      <c r="A144" s="102">
        <v>44378</v>
      </c>
      <c r="B144" s="102">
        <v>44378</v>
      </c>
      <c r="C144" s="104">
        <v>44383</v>
      </c>
      <c r="D144" s="103" t="s">
        <v>408</v>
      </c>
      <c r="E144" s="103" t="s">
        <v>297</v>
      </c>
      <c r="F144" s="103" t="s">
        <v>212</v>
      </c>
      <c r="G144" s="103" t="s">
        <v>529</v>
      </c>
      <c r="H144" s="103" t="s">
        <v>492</v>
      </c>
      <c r="I144">
        <v>60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Q144">
        <v>25</v>
      </c>
      <c r="R144">
        <v>1000</v>
      </c>
      <c r="T144">
        <v>0</v>
      </c>
      <c r="U144">
        <v>1000</v>
      </c>
      <c r="W144">
        <v>0</v>
      </c>
      <c r="X144">
        <v>0</v>
      </c>
      <c r="Y144">
        <v>0</v>
      </c>
      <c r="AB144" t="s">
        <v>843</v>
      </c>
      <c r="AE144">
        <v>0</v>
      </c>
      <c r="AG144" t="s">
        <v>843</v>
      </c>
      <c r="AI144">
        <v>60</v>
      </c>
      <c r="CB144" s="103" t="s">
        <v>311</v>
      </c>
      <c r="CC144" s="103" t="s">
        <v>387</v>
      </c>
      <c r="CD144" s="103" t="s">
        <v>287</v>
      </c>
      <c r="CE144" s="103" t="s">
        <v>296</v>
      </c>
      <c r="CF144">
        <v>3</v>
      </c>
      <c r="CG144">
        <v>25</v>
      </c>
      <c r="CH144">
        <v>1000</v>
      </c>
      <c r="CI144">
        <v>25</v>
      </c>
      <c r="CJ144">
        <v>25000</v>
      </c>
      <c r="CN144" s="103"/>
      <c r="CP144" s="103"/>
      <c r="CQ144">
        <v>0</v>
      </c>
      <c r="CS144">
        <v>0</v>
      </c>
      <c r="CT144">
        <v>0</v>
      </c>
      <c r="CU144">
        <v>0</v>
      </c>
    </row>
    <row r="145" spans="1:99" x14ac:dyDescent="0.35">
      <c r="A145" s="102">
        <v>44378</v>
      </c>
      <c r="B145" s="102">
        <v>44378</v>
      </c>
      <c r="C145" s="104">
        <v>44383</v>
      </c>
      <c r="D145" s="103" t="s">
        <v>408</v>
      </c>
      <c r="E145" s="103" t="s">
        <v>297</v>
      </c>
      <c r="F145" s="103" t="s">
        <v>212</v>
      </c>
      <c r="G145" s="103" t="s">
        <v>530</v>
      </c>
      <c r="H145" s="103" t="s">
        <v>497</v>
      </c>
      <c r="I145">
        <v>60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25</v>
      </c>
      <c r="R145">
        <v>1000</v>
      </c>
      <c r="T145">
        <v>0</v>
      </c>
      <c r="U145">
        <v>1000</v>
      </c>
      <c r="W145">
        <v>0</v>
      </c>
      <c r="X145">
        <v>0</v>
      </c>
      <c r="Y145">
        <v>0</v>
      </c>
      <c r="AB145" t="s">
        <v>843</v>
      </c>
      <c r="AE145">
        <v>0</v>
      </c>
      <c r="AG145" t="s">
        <v>843</v>
      </c>
      <c r="AI145">
        <v>60</v>
      </c>
      <c r="CB145" s="103" t="s">
        <v>311</v>
      </c>
      <c r="CC145" s="103" t="s">
        <v>387</v>
      </c>
      <c r="CD145" s="103" t="s">
        <v>287</v>
      </c>
      <c r="CE145" s="103" t="s">
        <v>296</v>
      </c>
      <c r="CF145">
        <v>3</v>
      </c>
      <c r="CG145">
        <v>25</v>
      </c>
      <c r="CH145">
        <v>1000</v>
      </c>
      <c r="CI145">
        <v>25</v>
      </c>
      <c r="CJ145">
        <v>25000</v>
      </c>
      <c r="CN145" s="103"/>
      <c r="CP145" s="103"/>
      <c r="CQ145">
        <v>0</v>
      </c>
      <c r="CS145">
        <v>0</v>
      </c>
      <c r="CT145">
        <v>0</v>
      </c>
      <c r="CU145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tabColor rgb="FF00B050"/>
  </sheetPr>
  <dimension ref="A1:AW49"/>
  <sheetViews>
    <sheetView workbookViewId="0">
      <selection activeCell="G23" sqref="G23"/>
    </sheetView>
  </sheetViews>
  <sheetFormatPr defaultRowHeight="14.5" x14ac:dyDescent="0.35"/>
  <cols>
    <col min="1" max="2" width="10.54296875" bestFit="1" customWidth="1"/>
    <col min="3" max="3" width="15.7265625" bestFit="1" customWidth="1"/>
    <col min="4" max="4" width="14.81640625" bestFit="1" customWidth="1"/>
    <col min="5" max="5" width="11.26953125" bestFit="1" customWidth="1"/>
    <col min="6" max="6" width="7.1796875" bestFit="1" customWidth="1"/>
    <col min="7" max="7" width="7.54296875" bestFit="1" customWidth="1"/>
    <col min="8" max="8" width="10.7265625" bestFit="1" customWidth="1"/>
    <col min="9" max="9" width="14.1796875" bestFit="1" customWidth="1"/>
    <col min="10" max="10" width="13.26953125" bestFit="1" customWidth="1"/>
    <col min="11" max="11" width="6.81640625" bestFit="1" customWidth="1"/>
    <col min="12" max="12" width="13.26953125" bestFit="1" customWidth="1"/>
    <col min="13" max="13" width="14.453125" bestFit="1" customWidth="1"/>
    <col min="14" max="14" width="12.26953125" bestFit="1" customWidth="1"/>
    <col min="15" max="15" width="13.453125" bestFit="1" customWidth="1"/>
    <col min="16" max="16" width="8.7265625" bestFit="1" customWidth="1"/>
    <col min="17" max="17" width="7.81640625" bestFit="1" customWidth="1"/>
    <col min="18" max="18" width="6.26953125" bestFit="1" customWidth="1"/>
    <col min="19" max="19" width="6.453125" bestFit="1" customWidth="1"/>
    <col min="20" max="20" width="6.26953125" bestFit="1" customWidth="1"/>
    <col min="21" max="21" width="6.54296875" bestFit="1" customWidth="1"/>
    <col min="22" max="22" width="32.26953125" bestFit="1" customWidth="1"/>
    <col min="23" max="23" width="14.26953125" bestFit="1" customWidth="1"/>
    <col min="24" max="24" width="15.453125" bestFit="1" customWidth="1"/>
    <col min="25" max="25" width="23" bestFit="1" customWidth="1"/>
    <col min="26" max="26" width="19.7265625" bestFit="1" customWidth="1"/>
    <col min="27" max="27" width="20.54296875" bestFit="1" customWidth="1"/>
    <col min="28" max="28" width="12.1796875" bestFit="1" customWidth="1"/>
    <col min="29" max="29" width="13" bestFit="1" customWidth="1"/>
    <col min="30" max="30" width="19.54296875" bestFit="1" customWidth="1"/>
    <col min="31" max="31" width="20.54296875" bestFit="1" customWidth="1"/>
    <col min="32" max="32" width="13.7265625" bestFit="1" customWidth="1"/>
    <col min="33" max="33" width="7.81640625" bestFit="1" customWidth="1"/>
    <col min="34" max="34" width="9.81640625" bestFit="1" customWidth="1"/>
    <col min="35" max="35" width="18.54296875" bestFit="1" customWidth="1"/>
    <col min="36" max="36" width="11" bestFit="1" customWidth="1"/>
    <col min="37" max="38" width="9" bestFit="1" customWidth="1"/>
    <col min="39" max="39" width="18" bestFit="1" customWidth="1"/>
    <col min="40" max="40" width="22.81640625" bestFit="1" customWidth="1"/>
    <col min="41" max="41" width="21.81640625" bestFit="1" customWidth="1"/>
    <col min="42" max="42" width="19.7265625" bestFit="1" customWidth="1"/>
    <col min="43" max="43" width="26.7265625" bestFit="1" customWidth="1"/>
    <col min="44" max="44" width="19.1796875" bestFit="1" customWidth="1"/>
    <col min="45" max="45" width="25.7265625" bestFit="1" customWidth="1"/>
    <col min="46" max="46" width="23.7265625" bestFit="1" customWidth="1"/>
    <col min="47" max="47" width="6.26953125" bestFit="1" customWidth="1"/>
    <col min="48" max="48" width="8.1796875" bestFit="1" customWidth="1"/>
    <col min="49" max="49" width="7.7265625" bestFit="1" customWidth="1"/>
  </cols>
  <sheetData>
    <row r="1" spans="1:49" x14ac:dyDescent="0.3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550</v>
      </c>
      <c r="J1" t="s">
        <v>545</v>
      </c>
      <c r="K1" t="s">
        <v>546</v>
      </c>
      <c r="L1" t="s">
        <v>82</v>
      </c>
      <c r="M1" t="s">
        <v>83</v>
      </c>
      <c r="N1" t="s">
        <v>38</v>
      </c>
      <c r="O1" t="s">
        <v>549</v>
      </c>
      <c r="P1" t="s">
        <v>542</v>
      </c>
      <c r="Q1" t="s">
        <v>17</v>
      </c>
      <c r="R1" t="s">
        <v>18</v>
      </c>
      <c r="S1" t="s">
        <v>541</v>
      </c>
      <c r="T1" t="s">
        <v>540</v>
      </c>
      <c r="U1" t="s">
        <v>152</v>
      </c>
      <c r="V1" t="s">
        <v>153</v>
      </c>
      <c r="W1" t="s">
        <v>154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AD1" t="s">
        <v>161</v>
      </c>
      <c r="AE1" t="s">
        <v>162</v>
      </c>
      <c r="AF1" t="s">
        <v>163</v>
      </c>
      <c r="AG1" t="s">
        <v>164</v>
      </c>
      <c r="AH1" t="s">
        <v>165</v>
      </c>
      <c r="AI1" t="s">
        <v>166</v>
      </c>
      <c r="AJ1" t="s">
        <v>167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552</v>
      </c>
      <c r="AV1" t="s">
        <v>553</v>
      </c>
      <c r="AW1" t="s">
        <v>554</v>
      </c>
    </row>
    <row r="2" spans="1:49" x14ac:dyDescent="0.35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547</v>
      </c>
      <c r="G2" s="103" t="s">
        <v>510</v>
      </c>
      <c r="H2" s="103" t="s">
        <v>281</v>
      </c>
      <c r="I2" s="103" t="s">
        <v>311</v>
      </c>
      <c r="J2">
        <v>350</v>
      </c>
      <c r="N2">
        <v>466.66666666666669</v>
      </c>
      <c r="O2">
        <v>0</v>
      </c>
      <c r="P2">
        <v>60</v>
      </c>
      <c r="Q2">
        <v>15</v>
      </c>
      <c r="R2">
        <v>0</v>
      </c>
      <c r="S2">
        <v>0</v>
      </c>
      <c r="T2">
        <v>45</v>
      </c>
      <c r="U2">
        <v>10</v>
      </c>
      <c r="W2">
        <v>5</v>
      </c>
      <c r="AV2">
        <v>0</v>
      </c>
      <c r="AW2">
        <v>0</v>
      </c>
    </row>
    <row r="3" spans="1:49" x14ac:dyDescent="0.35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547</v>
      </c>
      <c r="G3" s="103" t="s">
        <v>511</v>
      </c>
      <c r="H3" s="103" t="s">
        <v>301</v>
      </c>
      <c r="I3" s="103" t="s">
        <v>311</v>
      </c>
      <c r="J3">
        <v>500</v>
      </c>
      <c r="N3">
        <v>500</v>
      </c>
      <c r="O3">
        <v>0</v>
      </c>
      <c r="P3">
        <v>60</v>
      </c>
      <c r="Q3">
        <v>0</v>
      </c>
      <c r="R3">
        <v>0</v>
      </c>
      <c r="S3">
        <v>0</v>
      </c>
      <c r="T3">
        <v>60</v>
      </c>
      <c r="AV3">
        <v>0</v>
      </c>
      <c r="AW3">
        <v>0</v>
      </c>
    </row>
    <row r="4" spans="1:49" x14ac:dyDescent="0.35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547</v>
      </c>
      <c r="G4" s="103" t="s">
        <v>512</v>
      </c>
      <c r="H4" s="103" t="s">
        <v>317</v>
      </c>
      <c r="I4" s="103" t="s">
        <v>311</v>
      </c>
      <c r="J4">
        <v>0</v>
      </c>
      <c r="N4">
        <v>0</v>
      </c>
      <c r="O4">
        <v>0</v>
      </c>
      <c r="P4">
        <v>60</v>
      </c>
      <c r="Q4">
        <v>0</v>
      </c>
      <c r="R4">
        <v>60</v>
      </c>
      <c r="S4">
        <v>0</v>
      </c>
      <c r="T4">
        <v>0</v>
      </c>
      <c r="AK4">
        <v>60</v>
      </c>
      <c r="AV4">
        <v>0</v>
      </c>
      <c r="AW4">
        <v>0</v>
      </c>
    </row>
    <row r="5" spans="1:49" x14ac:dyDescent="0.35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547</v>
      </c>
      <c r="G5" s="103" t="s">
        <v>513</v>
      </c>
      <c r="H5" s="103" t="s">
        <v>334</v>
      </c>
      <c r="I5" s="103" t="s">
        <v>311</v>
      </c>
      <c r="J5">
        <v>0</v>
      </c>
      <c r="N5">
        <v>0</v>
      </c>
      <c r="O5">
        <v>0</v>
      </c>
      <c r="P5">
        <v>60</v>
      </c>
      <c r="Q5">
        <v>0</v>
      </c>
      <c r="R5">
        <v>60</v>
      </c>
      <c r="S5">
        <v>0</v>
      </c>
      <c r="T5">
        <v>0</v>
      </c>
      <c r="AK5">
        <v>60</v>
      </c>
      <c r="AV5">
        <v>0</v>
      </c>
      <c r="AW5">
        <v>0</v>
      </c>
    </row>
    <row r="6" spans="1:49" x14ac:dyDescent="0.35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547</v>
      </c>
      <c r="G6" s="103" t="s">
        <v>514</v>
      </c>
      <c r="H6" s="103" t="s">
        <v>348</v>
      </c>
      <c r="I6" s="103" t="s">
        <v>311</v>
      </c>
      <c r="J6">
        <v>450</v>
      </c>
      <c r="N6">
        <v>450</v>
      </c>
      <c r="O6">
        <v>0</v>
      </c>
      <c r="P6">
        <v>60</v>
      </c>
      <c r="Q6">
        <v>0</v>
      </c>
      <c r="R6">
        <v>0</v>
      </c>
      <c r="S6">
        <v>0</v>
      </c>
      <c r="T6">
        <v>60</v>
      </c>
      <c r="AV6">
        <v>0</v>
      </c>
      <c r="AW6">
        <v>0</v>
      </c>
    </row>
    <row r="7" spans="1:49" x14ac:dyDescent="0.35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547</v>
      </c>
      <c r="G7" s="103" t="s">
        <v>515</v>
      </c>
      <c r="H7" s="103" t="s">
        <v>364</v>
      </c>
      <c r="I7" s="103" t="s">
        <v>311</v>
      </c>
      <c r="J7">
        <v>450</v>
      </c>
      <c r="N7">
        <v>450</v>
      </c>
      <c r="O7">
        <v>0</v>
      </c>
      <c r="P7">
        <v>60</v>
      </c>
      <c r="Q7">
        <v>0</v>
      </c>
      <c r="R7">
        <v>0</v>
      </c>
      <c r="S7">
        <v>0</v>
      </c>
      <c r="T7">
        <v>60</v>
      </c>
      <c r="AV7">
        <v>0</v>
      </c>
      <c r="AW7">
        <v>0</v>
      </c>
    </row>
    <row r="8" spans="1:49" x14ac:dyDescent="0.35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547</v>
      </c>
      <c r="G8" s="103" t="s">
        <v>516</v>
      </c>
      <c r="H8" s="103" t="s">
        <v>378</v>
      </c>
      <c r="I8" s="103" t="s">
        <v>311</v>
      </c>
      <c r="J8">
        <v>0</v>
      </c>
      <c r="N8">
        <v>0</v>
      </c>
      <c r="O8">
        <v>0</v>
      </c>
      <c r="P8">
        <v>60</v>
      </c>
      <c r="Q8">
        <v>60</v>
      </c>
      <c r="R8">
        <v>0</v>
      </c>
      <c r="S8">
        <v>0</v>
      </c>
      <c r="T8">
        <v>0</v>
      </c>
      <c r="AB8">
        <v>60</v>
      </c>
      <c r="AV8">
        <v>0</v>
      </c>
      <c r="AW8">
        <v>0</v>
      </c>
    </row>
    <row r="9" spans="1:49" x14ac:dyDescent="0.35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547</v>
      </c>
      <c r="G9" s="103" t="s">
        <v>517</v>
      </c>
      <c r="H9" s="103" t="s">
        <v>392</v>
      </c>
      <c r="I9" s="103" t="s">
        <v>311</v>
      </c>
      <c r="J9">
        <v>400</v>
      </c>
      <c r="N9">
        <v>400</v>
      </c>
      <c r="O9">
        <v>0</v>
      </c>
      <c r="P9">
        <v>60</v>
      </c>
      <c r="Q9">
        <v>0</v>
      </c>
      <c r="R9">
        <v>0</v>
      </c>
      <c r="S9">
        <v>0</v>
      </c>
      <c r="T9">
        <v>60</v>
      </c>
      <c r="AV9">
        <v>0</v>
      </c>
      <c r="AW9">
        <v>0</v>
      </c>
    </row>
    <row r="10" spans="1:49" x14ac:dyDescent="0.35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547</v>
      </c>
      <c r="G10" s="103" t="s">
        <v>518</v>
      </c>
      <c r="H10" s="103" t="s">
        <v>402</v>
      </c>
      <c r="I10" s="103" t="s">
        <v>311</v>
      </c>
      <c r="J10">
        <v>400</v>
      </c>
      <c r="N10">
        <v>400</v>
      </c>
      <c r="O10">
        <v>0</v>
      </c>
      <c r="P10">
        <v>60</v>
      </c>
      <c r="Q10">
        <v>0</v>
      </c>
      <c r="R10">
        <v>0</v>
      </c>
      <c r="S10">
        <v>0</v>
      </c>
      <c r="T10">
        <v>60</v>
      </c>
      <c r="AV10">
        <v>0</v>
      </c>
      <c r="AW10">
        <v>0</v>
      </c>
    </row>
    <row r="11" spans="1:49" x14ac:dyDescent="0.35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547</v>
      </c>
      <c r="G11" s="103" t="s">
        <v>21</v>
      </c>
      <c r="H11" s="103" t="s">
        <v>412</v>
      </c>
      <c r="I11" s="103" t="s">
        <v>311</v>
      </c>
      <c r="J11">
        <v>400</v>
      </c>
      <c r="N11">
        <v>400</v>
      </c>
      <c r="O11">
        <v>0</v>
      </c>
      <c r="P11">
        <v>60</v>
      </c>
      <c r="Q11">
        <v>0</v>
      </c>
      <c r="R11">
        <v>0</v>
      </c>
      <c r="S11">
        <v>0</v>
      </c>
      <c r="T11">
        <v>60</v>
      </c>
      <c r="AV11">
        <v>0</v>
      </c>
      <c r="AW11">
        <v>0</v>
      </c>
    </row>
    <row r="12" spans="1:49" x14ac:dyDescent="0.35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547</v>
      </c>
      <c r="G12" s="103" t="s">
        <v>22</v>
      </c>
      <c r="H12" s="103" t="s">
        <v>424</v>
      </c>
      <c r="I12" s="103" t="s">
        <v>311</v>
      </c>
      <c r="J12">
        <v>400</v>
      </c>
      <c r="N12">
        <v>421.0526315789474</v>
      </c>
      <c r="O12">
        <v>0</v>
      </c>
      <c r="P12">
        <v>60</v>
      </c>
      <c r="Q12">
        <v>3</v>
      </c>
      <c r="R12">
        <v>0</v>
      </c>
      <c r="S12">
        <v>0</v>
      </c>
      <c r="T12">
        <v>57</v>
      </c>
      <c r="W12">
        <v>3</v>
      </c>
      <c r="AV12">
        <v>0</v>
      </c>
      <c r="AW12">
        <v>0</v>
      </c>
    </row>
    <row r="13" spans="1:49" x14ac:dyDescent="0.35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547</v>
      </c>
      <c r="G13" s="103" t="s">
        <v>559</v>
      </c>
      <c r="H13" s="103" t="s">
        <v>437</v>
      </c>
      <c r="I13" s="103" t="s">
        <v>311</v>
      </c>
      <c r="J13">
        <v>400</v>
      </c>
      <c r="N13">
        <v>480</v>
      </c>
      <c r="O13">
        <v>0</v>
      </c>
      <c r="P13">
        <v>60</v>
      </c>
      <c r="Q13">
        <v>10</v>
      </c>
      <c r="R13">
        <v>0</v>
      </c>
      <c r="S13">
        <v>0</v>
      </c>
      <c r="T13">
        <v>50</v>
      </c>
      <c r="AA13">
        <v>10</v>
      </c>
      <c r="AV13">
        <v>0</v>
      </c>
      <c r="AW13">
        <v>0</v>
      </c>
    </row>
    <row r="14" spans="1:49" x14ac:dyDescent="0.35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548</v>
      </c>
      <c r="G14" s="103" t="s">
        <v>519</v>
      </c>
      <c r="H14" s="103" t="s">
        <v>448</v>
      </c>
      <c r="I14" s="103" t="s">
        <v>311</v>
      </c>
      <c r="J14">
        <v>400</v>
      </c>
      <c r="N14">
        <v>480</v>
      </c>
      <c r="O14">
        <v>0</v>
      </c>
      <c r="P14">
        <v>60</v>
      </c>
      <c r="Q14">
        <v>10</v>
      </c>
      <c r="R14">
        <v>0</v>
      </c>
      <c r="S14">
        <v>0</v>
      </c>
      <c r="T14">
        <v>50</v>
      </c>
      <c r="U14">
        <v>10</v>
      </c>
      <c r="AV14">
        <v>0</v>
      </c>
      <c r="AW14">
        <v>0</v>
      </c>
    </row>
    <row r="15" spans="1:49" x14ac:dyDescent="0.35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548</v>
      </c>
      <c r="G15" s="103" t="s">
        <v>520</v>
      </c>
      <c r="H15" s="103" t="s">
        <v>453</v>
      </c>
      <c r="I15" s="103" t="s">
        <v>311</v>
      </c>
      <c r="J15">
        <v>400</v>
      </c>
      <c r="N15">
        <v>400</v>
      </c>
      <c r="O15">
        <v>0</v>
      </c>
      <c r="P15">
        <v>60</v>
      </c>
      <c r="Q15">
        <v>0</v>
      </c>
      <c r="R15">
        <v>0</v>
      </c>
      <c r="S15">
        <v>0</v>
      </c>
      <c r="T15">
        <v>60</v>
      </c>
      <c r="AV15">
        <v>0</v>
      </c>
      <c r="AW15">
        <v>0</v>
      </c>
    </row>
    <row r="16" spans="1:49" x14ac:dyDescent="0.35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548</v>
      </c>
      <c r="G16" s="103" t="s">
        <v>521</v>
      </c>
      <c r="H16" s="103" t="s">
        <v>457</v>
      </c>
      <c r="I16" s="103" t="s">
        <v>311</v>
      </c>
      <c r="J16">
        <v>400</v>
      </c>
      <c r="N16">
        <v>400</v>
      </c>
      <c r="O16">
        <v>0</v>
      </c>
      <c r="P16">
        <v>60</v>
      </c>
      <c r="Q16">
        <v>0</v>
      </c>
      <c r="R16">
        <v>0</v>
      </c>
      <c r="S16">
        <v>0</v>
      </c>
      <c r="T16">
        <v>60</v>
      </c>
      <c r="AV16">
        <v>0</v>
      </c>
      <c r="AW16">
        <v>0</v>
      </c>
    </row>
    <row r="17" spans="1:49" x14ac:dyDescent="0.35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548</v>
      </c>
      <c r="G17" s="103" t="s">
        <v>522</v>
      </c>
      <c r="H17" s="103" t="s">
        <v>461</v>
      </c>
      <c r="I17" s="103" t="s">
        <v>311</v>
      </c>
      <c r="J17">
        <v>400</v>
      </c>
      <c r="N17">
        <v>400</v>
      </c>
      <c r="O17">
        <v>0</v>
      </c>
      <c r="P17">
        <v>60</v>
      </c>
      <c r="Q17">
        <v>0</v>
      </c>
      <c r="R17">
        <v>0</v>
      </c>
      <c r="S17">
        <v>0</v>
      </c>
      <c r="T17">
        <v>60</v>
      </c>
      <c r="AV17">
        <v>0</v>
      </c>
      <c r="AW17">
        <v>0</v>
      </c>
    </row>
    <row r="18" spans="1:49" x14ac:dyDescent="0.35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548</v>
      </c>
      <c r="G18" s="103" t="s">
        <v>523</v>
      </c>
      <c r="H18" s="103" t="s">
        <v>466</v>
      </c>
      <c r="I18" s="103" t="s">
        <v>311</v>
      </c>
      <c r="J18">
        <v>400</v>
      </c>
      <c r="N18">
        <v>400</v>
      </c>
      <c r="O18">
        <v>0</v>
      </c>
      <c r="P18">
        <v>60</v>
      </c>
      <c r="Q18">
        <v>0</v>
      </c>
      <c r="R18">
        <v>0</v>
      </c>
      <c r="S18">
        <v>0</v>
      </c>
      <c r="T18">
        <v>60</v>
      </c>
      <c r="AV18">
        <v>0</v>
      </c>
      <c r="AW18">
        <v>0</v>
      </c>
    </row>
    <row r="19" spans="1:49" x14ac:dyDescent="0.35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548</v>
      </c>
      <c r="G19" s="103" t="s">
        <v>524</v>
      </c>
      <c r="H19" s="103" t="s">
        <v>469</v>
      </c>
      <c r="I19" s="103" t="s">
        <v>311</v>
      </c>
      <c r="J19">
        <v>400</v>
      </c>
      <c r="N19">
        <v>400</v>
      </c>
      <c r="O19">
        <v>0</v>
      </c>
      <c r="P19">
        <v>60</v>
      </c>
      <c r="Q19">
        <v>0</v>
      </c>
      <c r="R19">
        <v>0</v>
      </c>
      <c r="S19">
        <v>0</v>
      </c>
      <c r="T19">
        <v>60</v>
      </c>
      <c r="AV19">
        <v>0</v>
      </c>
      <c r="AW19">
        <v>0</v>
      </c>
    </row>
    <row r="20" spans="1:49" x14ac:dyDescent="0.35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548</v>
      </c>
      <c r="G20" s="103" t="s">
        <v>525</v>
      </c>
      <c r="H20" s="103" t="s">
        <v>472</v>
      </c>
      <c r="I20" s="103" t="s">
        <v>311</v>
      </c>
      <c r="J20">
        <v>0</v>
      </c>
      <c r="N20">
        <v>0</v>
      </c>
      <c r="O20">
        <v>0</v>
      </c>
      <c r="P20">
        <v>60</v>
      </c>
      <c r="Q20">
        <v>60</v>
      </c>
      <c r="R20">
        <v>0</v>
      </c>
      <c r="S20">
        <v>0</v>
      </c>
      <c r="T20">
        <v>0</v>
      </c>
      <c r="AB20">
        <v>60</v>
      </c>
      <c r="AV20">
        <v>0</v>
      </c>
      <c r="AW20">
        <v>0</v>
      </c>
    </row>
    <row r="21" spans="1:49" x14ac:dyDescent="0.35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548</v>
      </c>
      <c r="G21" s="103" t="s">
        <v>526</v>
      </c>
      <c r="H21" s="103" t="s">
        <v>478</v>
      </c>
      <c r="I21" s="103" t="s">
        <v>311</v>
      </c>
      <c r="J21">
        <v>400</v>
      </c>
      <c r="N21">
        <v>400</v>
      </c>
      <c r="O21">
        <v>0</v>
      </c>
      <c r="P21">
        <v>60</v>
      </c>
      <c r="Q21">
        <v>0</v>
      </c>
      <c r="R21">
        <v>0</v>
      </c>
      <c r="S21">
        <v>0</v>
      </c>
      <c r="T21">
        <v>60</v>
      </c>
      <c r="AV21">
        <v>0</v>
      </c>
      <c r="AW21">
        <v>0</v>
      </c>
    </row>
    <row r="22" spans="1:49" x14ac:dyDescent="0.35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548</v>
      </c>
      <c r="G22" s="103" t="s">
        <v>527</v>
      </c>
      <c r="H22" s="103" t="s">
        <v>482</v>
      </c>
      <c r="I22" s="103" t="s">
        <v>311</v>
      </c>
      <c r="J22">
        <v>400</v>
      </c>
      <c r="N22">
        <v>400</v>
      </c>
      <c r="O22">
        <v>0</v>
      </c>
      <c r="P22">
        <v>60</v>
      </c>
      <c r="Q22">
        <v>0</v>
      </c>
      <c r="R22">
        <v>0</v>
      </c>
      <c r="S22">
        <v>0</v>
      </c>
      <c r="T22">
        <v>60</v>
      </c>
      <c r="AV22">
        <v>0</v>
      </c>
      <c r="AW22">
        <v>0</v>
      </c>
    </row>
    <row r="23" spans="1:49" x14ac:dyDescent="0.35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548</v>
      </c>
      <c r="G23" s="103" t="s">
        <v>528</v>
      </c>
      <c r="H23" s="103" t="s">
        <v>487</v>
      </c>
      <c r="I23" s="103" t="s">
        <v>311</v>
      </c>
      <c r="J23">
        <v>400</v>
      </c>
      <c r="N23">
        <v>400</v>
      </c>
      <c r="O23">
        <v>0</v>
      </c>
      <c r="P23">
        <v>60</v>
      </c>
      <c r="Q23">
        <v>0</v>
      </c>
      <c r="R23">
        <v>0</v>
      </c>
      <c r="S23">
        <v>0</v>
      </c>
      <c r="T23">
        <v>60</v>
      </c>
      <c r="AV23">
        <v>0</v>
      </c>
      <c r="AW23">
        <v>0</v>
      </c>
    </row>
    <row r="24" spans="1:49" x14ac:dyDescent="0.35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548</v>
      </c>
      <c r="G24" s="103" t="s">
        <v>529</v>
      </c>
      <c r="H24" s="103" t="s">
        <v>492</v>
      </c>
      <c r="I24" s="103" t="s">
        <v>311</v>
      </c>
      <c r="J24">
        <v>400</v>
      </c>
      <c r="N24">
        <v>400</v>
      </c>
      <c r="O24">
        <v>0</v>
      </c>
      <c r="P24">
        <v>60</v>
      </c>
      <c r="Q24">
        <v>0</v>
      </c>
      <c r="R24">
        <v>0</v>
      </c>
      <c r="S24">
        <v>0</v>
      </c>
      <c r="T24">
        <v>60</v>
      </c>
      <c r="AV24">
        <v>0</v>
      </c>
      <c r="AW24">
        <v>0</v>
      </c>
    </row>
    <row r="25" spans="1:49" x14ac:dyDescent="0.35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548</v>
      </c>
      <c r="G25" s="103" t="s">
        <v>530</v>
      </c>
      <c r="H25" s="103" t="s">
        <v>497</v>
      </c>
      <c r="I25" s="103" t="s">
        <v>311</v>
      </c>
      <c r="J25">
        <v>400</v>
      </c>
      <c r="N25">
        <v>400</v>
      </c>
      <c r="O25">
        <v>0</v>
      </c>
      <c r="P25">
        <v>60</v>
      </c>
      <c r="Q25">
        <v>0</v>
      </c>
      <c r="R25">
        <v>0</v>
      </c>
      <c r="S25">
        <v>0</v>
      </c>
      <c r="T25">
        <v>60</v>
      </c>
      <c r="AV25">
        <v>0</v>
      </c>
      <c r="AW25">
        <v>0</v>
      </c>
    </row>
    <row r="26" spans="1:49" x14ac:dyDescent="0.35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547</v>
      </c>
      <c r="G26" s="103" t="s">
        <v>510</v>
      </c>
      <c r="H26" s="103" t="s">
        <v>281</v>
      </c>
      <c r="I26" s="103" t="s">
        <v>311</v>
      </c>
      <c r="K26">
        <v>180</v>
      </c>
      <c r="N26">
        <v>0</v>
      </c>
      <c r="O26">
        <v>240</v>
      </c>
      <c r="P26">
        <v>60</v>
      </c>
      <c r="Q26">
        <v>15</v>
      </c>
      <c r="R26">
        <v>0</v>
      </c>
      <c r="S26">
        <v>0</v>
      </c>
      <c r="T26">
        <v>45</v>
      </c>
      <c r="U26">
        <v>10</v>
      </c>
      <c r="W26">
        <v>5</v>
      </c>
      <c r="AV26">
        <v>0</v>
      </c>
      <c r="AW26">
        <v>0</v>
      </c>
    </row>
    <row r="27" spans="1:49" x14ac:dyDescent="0.35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547</v>
      </c>
      <c r="G27" s="103" t="s">
        <v>511</v>
      </c>
      <c r="H27" s="103" t="s">
        <v>301</v>
      </c>
      <c r="I27" s="103" t="s">
        <v>311</v>
      </c>
      <c r="N27">
        <v>0</v>
      </c>
      <c r="O27">
        <v>0</v>
      </c>
      <c r="P27">
        <v>60</v>
      </c>
      <c r="Q27">
        <v>0</v>
      </c>
      <c r="R27">
        <v>0</v>
      </c>
      <c r="S27">
        <v>60</v>
      </c>
      <c r="T27">
        <v>0</v>
      </c>
      <c r="AP27">
        <v>60</v>
      </c>
      <c r="AV27">
        <v>0</v>
      </c>
      <c r="AW27">
        <v>0</v>
      </c>
    </row>
    <row r="28" spans="1:49" x14ac:dyDescent="0.35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547</v>
      </c>
      <c r="G28" s="103" t="s">
        <v>512</v>
      </c>
      <c r="H28" s="103" t="s">
        <v>317</v>
      </c>
      <c r="I28" s="103" t="s">
        <v>311</v>
      </c>
      <c r="N28">
        <v>0</v>
      </c>
      <c r="O28">
        <v>0</v>
      </c>
      <c r="P28">
        <v>60</v>
      </c>
      <c r="Q28">
        <v>0</v>
      </c>
      <c r="R28">
        <v>60</v>
      </c>
      <c r="S28">
        <v>0</v>
      </c>
      <c r="T28">
        <v>0</v>
      </c>
      <c r="AK28">
        <v>60</v>
      </c>
      <c r="AV28">
        <v>0</v>
      </c>
      <c r="AW28">
        <v>0</v>
      </c>
    </row>
    <row r="29" spans="1:49" x14ac:dyDescent="0.35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547</v>
      </c>
      <c r="G29" s="103" t="s">
        <v>513</v>
      </c>
      <c r="H29" s="103" t="s">
        <v>334</v>
      </c>
      <c r="I29" s="103" t="s">
        <v>311</v>
      </c>
      <c r="N29">
        <v>0</v>
      </c>
      <c r="O29">
        <v>0</v>
      </c>
      <c r="P29">
        <v>60</v>
      </c>
      <c r="Q29">
        <v>0</v>
      </c>
      <c r="R29">
        <v>60</v>
      </c>
      <c r="S29">
        <v>0</v>
      </c>
      <c r="T29">
        <v>0</v>
      </c>
      <c r="AK29">
        <v>60</v>
      </c>
      <c r="AV29">
        <v>0</v>
      </c>
      <c r="AW29">
        <v>0</v>
      </c>
    </row>
    <row r="30" spans="1:49" x14ac:dyDescent="0.35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547</v>
      </c>
      <c r="G30" s="103" t="s">
        <v>514</v>
      </c>
      <c r="H30" s="103" t="s">
        <v>348</v>
      </c>
      <c r="I30" s="103" t="s">
        <v>311</v>
      </c>
      <c r="N30">
        <v>0</v>
      </c>
      <c r="O30">
        <v>0</v>
      </c>
      <c r="P30">
        <v>60</v>
      </c>
      <c r="Q30">
        <v>0</v>
      </c>
      <c r="R30">
        <v>0</v>
      </c>
      <c r="S30">
        <v>60</v>
      </c>
      <c r="T30">
        <v>0</v>
      </c>
      <c r="AP30">
        <v>60</v>
      </c>
      <c r="AV30">
        <v>0</v>
      </c>
      <c r="AW30">
        <v>0</v>
      </c>
    </row>
    <row r="31" spans="1:49" x14ac:dyDescent="0.35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547</v>
      </c>
      <c r="G31" s="103" t="s">
        <v>515</v>
      </c>
      <c r="H31" s="103" t="s">
        <v>364</v>
      </c>
      <c r="I31" s="103" t="s">
        <v>311</v>
      </c>
      <c r="K31">
        <v>240</v>
      </c>
      <c r="N31">
        <v>0</v>
      </c>
      <c r="O31">
        <v>240</v>
      </c>
      <c r="P31">
        <v>60</v>
      </c>
      <c r="Q31">
        <v>0</v>
      </c>
      <c r="R31">
        <v>0</v>
      </c>
      <c r="S31">
        <v>0</v>
      </c>
      <c r="T31">
        <v>60</v>
      </c>
      <c r="AV31">
        <v>0</v>
      </c>
      <c r="AW31">
        <v>0</v>
      </c>
    </row>
    <row r="32" spans="1:49" x14ac:dyDescent="0.35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547</v>
      </c>
      <c r="G32" s="103" t="s">
        <v>516</v>
      </c>
      <c r="H32" s="103" t="s">
        <v>378</v>
      </c>
      <c r="I32" s="103" t="s">
        <v>311</v>
      </c>
      <c r="N32">
        <v>0</v>
      </c>
      <c r="O32">
        <v>0</v>
      </c>
      <c r="P32">
        <v>60</v>
      </c>
      <c r="Q32">
        <v>60</v>
      </c>
      <c r="R32">
        <v>0</v>
      </c>
      <c r="S32">
        <v>0</v>
      </c>
      <c r="T32">
        <v>0</v>
      </c>
      <c r="AB32">
        <v>60</v>
      </c>
      <c r="AV32">
        <v>0</v>
      </c>
      <c r="AW32">
        <v>0</v>
      </c>
    </row>
    <row r="33" spans="1:49" x14ac:dyDescent="0.35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547</v>
      </c>
      <c r="G33" s="103" t="s">
        <v>517</v>
      </c>
      <c r="H33" s="103" t="s">
        <v>392</v>
      </c>
      <c r="I33" s="103" t="s">
        <v>311</v>
      </c>
      <c r="K33">
        <v>240</v>
      </c>
      <c r="N33">
        <v>0</v>
      </c>
      <c r="O33">
        <v>240</v>
      </c>
      <c r="P33">
        <v>60</v>
      </c>
      <c r="Q33">
        <v>0</v>
      </c>
      <c r="R33">
        <v>0</v>
      </c>
      <c r="S33">
        <v>0</v>
      </c>
      <c r="T33">
        <v>60</v>
      </c>
      <c r="AV33">
        <v>0</v>
      </c>
      <c r="AW33">
        <v>0</v>
      </c>
    </row>
    <row r="34" spans="1:49" x14ac:dyDescent="0.35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547</v>
      </c>
      <c r="G34" s="103" t="s">
        <v>518</v>
      </c>
      <c r="H34" s="103" t="s">
        <v>402</v>
      </c>
      <c r="I34" s="103" t="s">
        <v>311</v>
      </c>
      <c r="K34">
        <v>240</v>
      </c>
      <c r="N34">
        <v>0</v>
      </c>
      <c r="O34">
        <v>240</v>
      </c>
      <c r="P34">
        <v>60</v>
      </c>
      <c r="Q34">
        <v>0</v>
      </c>
      <c r="R34">
        <v>0</v>
      </c>
      <c r="S34">
        <v>0</v>
      </c>
      <c r="T34">
        <v>60</v>
      </c>
      <c r="AV34">
        <v>0</v>
      </c>
      <c r="AW34">
        <v>0</v>
      </c>
    </row>
    <row r="35" spans="1:49" x14ac:dyDescent="0.35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547</v>
      </c>
      <c r="G35" s="103" t="s">
        <v>21</v>
      </c>
      <c r="H35" s="103" t="s">
        <v>412</v>
      </c>
      <c r="I35" s="103" t="s">
        <v>311</v>
      </c>
      <c r="K35">
        <v>240</v>
      </c>
      <c r="N35">
        <v>0</v>
      </c>
      <c r="O35">
        <v>240</v>
      </c>
      <c r="P35">
        <v>60</v>
      </c>
      <c r="Q35">
        <v>0</v>
      </c>
      <c r="R35">
        <v>0</v>
      </c>
      <c r="S35">
        <v>0</v>
      </c>
      <c r="T35">
        <v>60</v>
      </c>
      <c r="AV35">
        <v>0</v>
      </c>
      <c r="AW35">
        <v>0</v>
      </c>
    </row>
    <row r="36" spans="1:49" x14ac:dyDescent="0.35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547</v>
      </c>
      <c r="G36" s="103" t="s">
        <v>22</v>
      </c>
      <c r="H36" s="103" t="s">
        <v>424</v>
      </c>
      <c r="I36" s="103" t="s">
        <v>311</v>
      </c>
      <c r="K36">
        <v>230</v>
      </c>
      <c r="N36">
        <v>0</v>
      </c>
      <c r="O36">
        <v>242.10526315789474</v>
      </c>
      <c r="P36">
        <v>60</v>
      </c>
      <c r="Q36">
        <v>3</v>
      </c>
      <c r="R36">
        <v>0</v>
      </c>
      <c r="S36">
        <v>0</v>
      </c>
      <c r="T36">
        <v>57</v>
      </c>
      <c r="W36">
        <v>3</v>
      </c>
      <c r="AV36">
        <v>0</v>
      </c>
      <c r="AW36">
        <v>0</v>
      </c>
    </row>
    <row r="37" spans="1:49" x14ac:dyDescent="0.35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547</v>
      </c>
      <c r="G37" s="103" t="s">
        <v>559</v>
      </c>
      <c r="H37" s="103" t="s">
        <v>437</v>
      </c>
      <c r="I37" s="103" t="s">
        <v>311</v>
      </c>
      <c r="K37">
        <v>200</v>
      </c>
      <c r="N37">
        <v>0</v>
      </c>
      <c r="O37">
        <v>240</v>
      </c>
      <c r="P37">
        <v>60</v>
      </c>
      <c r="Q37">
        <v>10</v>
      </c>
      <c r="R37">
        <v>0</v>
      </c>
      <c r="S37">
        <v>0</v>
      </c>
      <c r="T37">
        <v>50</v>
      </c>
      <c r="AA37">
        <v>10</v>
      </c>
      <c r="AV37">
        <v>0</v>
      </c>
      <c r="AW37">
        <v>0</v>
      </c>
    </row>
    <row r="38" spans="1:49" x14ac:dyDescent="0.35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548</v>
      </c>
      <c r="G38" s="103" t="s">
        <v>519</v>
      </c>
      <c r="H38" s="103" t="s">
        <v>448</v>
      </c>
      <c r="I38" s="103" t="s">
        <v>311</v>
      </c>
      <c r="K38">
        <v>200</v>
      </c>
      <c r="N38">
        <v>0</v>
      </c>
      <c r="O38">
        <v>240</v>
      </c>
      <c r="P38">
        <v>60</v>
      </c>
      <c r="Q38">
        <v>10</v>
      </c>
      <c r="R38">
        <v>0</v>
      </c>
      <c r="S38">
        <v>0</v>
      </c>
      <c r="T38">
        <v>50</v>
      </c>
      <c r="U38">
        <v>10</v>
      </c>
      <c r="AV38">
        <v>0</v>
      </c>
      <c r="AW38">
        <v>0</v>
      </c>
    </row>
    <row r="39" spans="1:49" x14ac:dyDescent="0.35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548</v>
      </c>
      <c r="G39" s="103" t="s">
        <v>520</v>
      </c>
      <c r="H39" s="103" t="s">
        <v>453</v>
      </c>
      <c r="I39" s="103" t="s">
        <v>311</v>
      </c>
      <c r="K39">
        <v>240</v>
      </c>
      <c r="N39">
        <v>0</v>
      </c>
      <c r="O39">
        <v>240</v>
      </c>
      <c r="P39">
        <v>60</v>
      </c>
      <c r="Q39">
        <v>0</v>
      </c>
      <c r="R39">
        <v>0</v>
      </c>
      <c r="S39">
        <v>0</v>
      </c>
      <c r="T39">
        <v>60</v>
      </c>
      <c r="AV39">
        <v>0</v>
      </c>
      <c r="AW39">
        <v>0</v>
      </c>
    </row>
    <row r="40" spans="1:49" x14ac:dyDescent="0.35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548</v>
      </c>
      <c r="G40" s="103" t="s">
        <v>521</v>
      </c>
      <c r="H40" s="103" t="s">
        <v>457</v>
      </c>
      <c r="I40" s="103" t="s">
        <v>311</v>
      </c>
      <c r="K40">
        <v>240</v>
      </c>
      <c r="N40">
        <v>0</v>
      </c>
      <c r="O40">
        <v>240</v>
      </c>
      <c r="P40">
        <v>60</v>
      </c>
      <c r="Q40">
        <v>0</v>
      </c>
      <c r="R40">
        <v>0</v>
      </c>
      <c r="S40">
        <v>0</v>
      </c>
      <c r="T40">
        <v>60</v>
      </c>
      <c r="AV40">
        <v>0</v>
      </c>
      <c r="AW40">
        <v>0</v>
      </c>
    </row>
    <row r="41" spans="1:49" x14ac:dyDescent="0.35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548</v>
      </c>
      <c r="G41" s="103" t="s">
        <v>522</v>
      </c>
      <c r="H41" s="103" t="s">
        <v>461</v>
      </c>
      <c r="I41" s="103" t="s">
        <v>311</v>
      </c>
      <c r="K41">
        <v>240</v>
      </c>
      <c r="N41">
        <v>0</v>
      </c>
      <c r="O41">
        <v>240</v>
      </c>
      <c r="P41">
        <v>60</v>
      </c>
      <c r="Q41">
        <v>0</v>
      </c>
      <c r="R41">
        <v>0</v>
      </c>
      <c r="S41">
        <v>0</v>
      </c>
      <c r="T41">
        <v>60</v>
      </c>
      <c r="AV41">
        <v>0</v>
      </c>
      <c r="AW41">
        <v>0</v>
      </c>
    </row>
    <row r="42" spans="1:49" x14ac:dyDescent="0.35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548</v>
      </c>
      <c r="G42" s="103" t="s">
        <v>523</v>
      </c>
      <c r="H42" s="103" t="s">
        <v>466</v>
      </c>
      <c r="I42" s="103" t="s">
        <v>311</v>
      </c>
      <c r="K42">
        <v>240</v>
      </c>
      <c r="N42">
        <v>0</v>
      </c>
      <c r="O42">
        <v>240</v>
      </c>
      <c r="P42">
        <v>60</v>
      </c>
      <c r="Q42">
        <v>0</v>
      </c>
      <c r="R42">
        <v>0</v>
      </c>
      <c r="S42">
        <v>0</v>
      </c>
      <c r="T42">
        <v>60</v>
      </c>
      <c r="AV42">
        <v>0</v>
      </c>
      <c r="AW42">
        <v>0</v>
      </c>
    </row>
    <row r="43" spans="1:49" x14ac:dyDescent="0.35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548</v>
      </c>
      <c r="G43" s="103" t="s">
        <v>524</v>
      </c>
      <c r="H43" s="103" t="s">
        <v>469</v>
      </c>
      <c r="I43" s="103" t="s">
        <v>311</v>
      </c>
      <c r="K43">
        <v>240</v>
      </c>
      <c r="N43">
        <v>0</v>
      </c>
      <c r="O43">
        <v>240</v>
      </c>
      <c r="P43">
        <v>60</v>
      </c>
      <c r="Q43">
        <v>0</v>
      </c>
      <c r="R43">
        <v>0</v>
      </c>
      <c r="S43">
        <v>0</v>
      </c>
      <c r="T43">
        <v>60</v>
      </c>
      <c r="AV43">
        <v>0</v>
      </c>
      <c r="AW43">
        <v>0</v>
      </c>
    </row>
    <row r="44" spans="1:49" x14ac:dyDescent="0.35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548</v>
      </c>
      <c r="G44" s="103" t="s">
        <v>525</v>
      </c>
      <c r="H44" s="103" t="s">
        <v>472</v>
      </c>
      <c r="I44" s="103" t="s">
        <v>311</v>
      </c>
      <c r="N44">
        <v>0</v>
      </c>
      <c r="O44">
        <v>0</v>
      </c>
      <c r="P44">
        <v>60</v>
      </c>
      <c r="Q44">
        <v>60</v>
      </c>
      <c r="R44">
        <v>0</v>
      </c>
      <c r="S44">
        <v>0</v>
      </c>
      <c r="T44">
        <v>0</v>
      </c>
      <c r="AB44">
        <v>60</v>
      </c>
      <c r="AV44">
        <v>0</v>
      </c>
      <c r="AW44">
        <v>0</v>
      </c>
    </row>
    <row r="45" spans="1:49" x14ac:dyDescent="0.35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548</v>
      </c>
      <c r="G45" s="103" t="s">
        <v>526</v>
      </c>
      <c r="H45" s="103" t="s">
        <v>478</v>
      </c>
      <c r="I45" s="103" t="s">
        <v>311</v>
      </c>
      <c r="K45">
        <v>240</v>
      </c>
      <c r="N45">
        <v>0</v>
      </c>
      <c r="O45">
        <v>240</v>
      </c>
      <c r="P45">
        <v>60</v>
      </c>
      <c r="Q45">
        <v>0</v>
      </c>
      <c r="R45">
        <v>0</v>
      </c>
      <c r="S45">
        <v>0</v>
      </c>
      <c r="T45">
        <v>60</v>
      </c>
      <c r="AV45">
        <v>0</v>
      </c>
      <c r="AW45">
        <v>0</v>
      </c>
    </row>
    <row r="46" spans="1:49" x14ac:dyDescent="0.35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548</v>
      </c>
      <c r="G46" s="103" t="s">
        <v>527</v>
      </c>
      <c r="H46" s="103" t="s">
        <v>482</v>
      </c>
      <c r="I46" s="103" t="s">
        <v>311</v>
      </c>
      <c r="K46">
        <v>240</v>
      </c>
      <c r="N46">
        <v>0</v>
      </c>
      <c r="O46">
        <v>240</v>
      </c>
      <c r="P46">
        <v>60</v>
      </c>
      <c r="Q46">
        <v>0</v>
      </c>
      <c r="R46">
        <v>0</v>
      </c>
      <c r="S46">
        <v>0</v>
      </c>
      <c r="T46">
        <v>60</v>
      </c>
      <c r="AV46">
        <v>0</v>
      </c>
      <c r="AW46">
        <v>0</v>
      </c>
    </row>
    <row r="47" spans="1:49" x14ac:dyDescent="0.35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548</v>
      </c>
      <c r="G47" s="103" t="s">
        <v>528</v>
      </c>
      <c r="H47" s="103" t="s">
        <v>487</v>
      </c>
      <c r="I47" s="103" t="s">
        <v>311</v>
      </c>
      <c r="K47">
        <v>240</v>
      </c>
      <c r="N47">
        <v>0</v>
      </c>
      <c r="O47">
        <v>240</v>
      </c>
      <c r="P47">
        <v>60</v>
      </c>
      <c r="Q47">
        <v>0</v>
      </c>
      <c r="R47">
        <v>0</v>
      </c>
      <c r="S47">
        <v>0</v>
      </c>
      <c r="T47">
        <v>60</v>
      </c>
      <c r="AV47">
        <v>0</v>
      </c>
      <c r="AW47">
        <v>0</v>
      </c>
    </row>
    <row r="48" spans="1:49" x14ac:dyDescent="0.35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548</v>
      </c>
      <c r="G48" s="103" t="s">
        <v>529</v>
      </c>
      <c r="H48" s="103" t="s">
        <v>492</v>
      </c>
      <c r="I48" s="103" t="s">
        <v>311</v>
      </c>
      <c r="K48">
        <v>240</v>
      </c>
      <c r="N48">
        <v>0</v>
      </c>
      <c r="O48">
        <v>240</v>
      </c>
      <c r="P48">
        <v>60</v>
      </c>
      <c r="Q48">
        <v>0</v>
      </c>
      <c r="R48">
        <v>0</v>
      </c>
      <c r="S48">
        <v>0</v>
      </c>
      <c r="T48">
        <v>60</v>
      </c>
      <c r="AV48">
        <v>0</v>
      </c>
      <c r="AW48">
        <v>0</v>
      </c>
    </row>
    <row r="49" spans="1:49" x14ac:dyDescent="0.35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548</v>
      </c>
      <c r="G49" s="103" t="s">
        <v>530</v>
      </c>
      <c r="H49" s="103" t="s">
        <v>497</v>
      </c>
      <c r="I49" s="103" t="s">
        <v>311</v>
      </c>
      <c r="K49">
        <v>240</v>
      </c>
      <c r="N49">
        <v>0</v>
      </c>
      <c r="O49">
        <v>240</v>
      </c>
      <c r="P49">
        <v>60</v>
      </c>
      <c r="Q49">
        <v>0</v>
      </c>
      <c r="R49">
        <v>0</v>
      </c>
      <c r="S49">
        <v>0</v>
      </c>
      <c r="T49">
        <v>60</v>
      </c>
      <c r="AV49">
        <v>0</v>
      </c>
      <c r="AW49">
        <v>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Jalil" label="UDU Time Sheet V1.11">
        <group id="GrpTools" label="Setup">
          <button id="InputAPIKey" label="Select Link and Input Api Key" size="large" onAction="InputAPIKey" imageMso="AdpPrimaryKey"/>
        </group>
        <group id="GrpRefreshQuery" label="Refresh Web API Data">
          <button id="RefreshAllAPI" label="Synchronize Data with Server" size="large" onAction="UpdatePartialSynch" imageMso="BroadcastSlideShow"/>
        </group>
        <group id="GrpInputProgress" label="Input Progress">
          <button id="RefreshReport" label="Refresh Input Progress Query" size="large" onAction="UpdateQryInput2Web" imageMso="BusinessDataSyncWithLocalCache"/>
          <button id="ExportTimeSheet" label="Export Input Progress Query" size="large" onAction="Export2JSON" imageMso="BuildingBlocksSaveCoverPage"/>
        </group>
        <group id="GrpRefreshFormula" label="Clear data and Refresh Formula in Sheet Progress and Plan">
          <button id="CleanSheetInput" label="Clear Sheet Input Progress" size="large" onAction="ClearTableInput" imageMso="CatalogMergeMergeToNewPublication"/>
          <button id="CleanSheetPlan" label="Clear Sheet Plan" size="large" onAction="ClearTablePlan" imageMso="ChangeResponseButtonMenu"/>
          <button id="RefreshFormulaProgress" label="Refresh formula Progress" size="large" onAction="RunRefreshFormula_Actual" imageMso="AdpStoredProcedureQueryUpdate"/>
          <button id="RefreshFormulaPlan" label="Refresh formula Plan" size="large" onAction="RunRefreshFormula_Plan" imageMso="AdpStoredProcedureQueryMakeTable"/>
        </group>
        <group id="GrpInputPlan" label="Input Plan">
          <button id="RefreshPlanReport" label="Refresh Input Plan Query" size="large" onAction="UpdateQryPlanProductivity" imageMso="AfterUpdate"/>
          <button id="ExportPlan" label="Export Input Plan Query" size="large" onAction="ExportPlan" imageMso="BuildingBlocksSaveTableOfContents"/>
        </group>
        <group id="GrpResetSync" label="Refresh Web API Data">
          <button id="ResetData" label="Reset Data/Full Synchronize" size="large" onAction="UpdateAllConnectionNonInput" imageMso="AdpVerifySqlSynta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B1753-7E96-49A7-8BDD-B09353BC6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db</vt:lpstr>
      <vt:lpstr>dbAPI</vt:lpstr>
      <vt:lpstr>JSONImport</vt:lpstr>
      <vt:lpstr>Data Input Progress</vt:lpstr>
      <vt:lpstr>Data Input Plan</vt:lpstr>
      <vt:lpstr>ValidationPlan</vt:lpstr>
      <vt:lpstr>ValidationActualProgress</vt:lpstr>
      <vt:lpstr>InputData2Web</vt:lpstr>
      <vt:lpstr>PlanProductivity</vt:lpstr>
      <vt:lpstr>SM_Analys_Input</vt:lpstr>
      <vt:lpstr>SM_Actualinput</vt:lpstr>
      <vt:lpstr>SM_Inputplan</vt:lpstr>
      <vt:lpstr>ActiveURL</vt:lpstr>
      <vt:lpstr>API_Key</vt:lpstr>
      <vt:lpstr>LastUpdate</vt:lpstr>
      <vt:lpstr>rowke</vt:lpstr>
      <vt:lpstr>StatusUpdate</vt:lpstr>
      <vt:lpstr>WebLink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Dawud Prionggodo</dc:creator>
  <cp:lastModifiedBy>User</cp:lastModifiedBy>
  <cp:lastPrinted>2021-07-15T18:38:48Z</cp:lastPrinted>
  <dcterms:created xsi:type="dcterms:W3CDTF">2021-07-09T08:38:21Z</dcterms:created>
  <dcterms:modified xsi:type="dcterms:W3CDTF">2021-10-26T06:47:28Z</dcterms:modified>
</cp:coreProperties>
</file>